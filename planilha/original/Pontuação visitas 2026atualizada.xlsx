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uario\Desktop\"/>
    </mc:Choice>
  </mc:AlternateContent>
  <xr:revisionPtr revIDLastSave="0" documentId="13_ncr:1_{04E88C97-8B46-4F4C-BCF0-6D3973512B40}" xr6:coauthVersionLast="47" xr6:coauthVersionMax="47" xr10:uidLastSave="{00000000-0000-0000-0000-000000000000}"/>
  <bookViews>
    <workbookView xWindow="-120" yWindow="-120" windowWidth="29040" windowHeight="15840" tabRatio="940" firstSheet="9" activeTab="5" xr2:uid="{991CBF76-3E98-47FF-B713-84EAAE2E2680}"/>
  </bookViews>
  <sheets>
    <sheet name="UAD" sheetId="5" r:id="rId1"/>
    <sheet name="UBS J. São Paulo" sheetId="52" r:id="rId2"/>
    <sheet name="H. M.Urg. e Emerg." sheetId="53" r:id="rId3"/>
    <sheet name="UPA D. Rosa" sheetId="55" r:id="rId4"/>
    <sheet name="Banco de Sangue" sheetId="56" r:id="rId5"/>
    <sheet name="UBS Parque Gramado" sheetId="57" r:id="rId6"/>
    <sheet name="ESF São José" sheetId="58" r:id="rId7"/>
    <sheet name="ESF Praia Azul" sheetId="59" r:id="rId8"/>
    <sheet name="ESF Jardim Brasil" sheetId="60" r:id="rId9"/>
    <sheet name="Caps Adulto" sheetId="54" r:id="rId10"/>
    <sheet name="UBS Mathiensen" sheetId="8" r:id="rId11"/>
    <sheet name="UBS São Vito" sheetId="61" r:id="rId12"/>
    <sheet name="Caps Infantil" sheetId="64" r:id="rId13"/>
    <sheet name="UBS Parque das Nações" sheetId="62" r:id="rId14"/>
    <sheet name="ESF Liberdade" sheetId="67" r:id="rId15"/>
    <sheet name="ESF Jaguari" sheetId="68" r:id="rId16"/>
    <sheet name="ESF Zanaga I" sheetId="65" r:id="rId17"/>
    <sheet name="ESF Zanaga II" sheetId="66" r:id="rId18"/>
    <sheet name="ADAM" sheetId="32" r:id="rId19"/>
    <sheet name="AEPHIVA" sheetId="33" r:id="rId20"/>
    <sheet name="UBS Cariobinha " sheetId="9" r:id="rId21"/>
    <sheet name="UNACON" sheetId="10" r:id="rId22"/>
    <sheet name="APAE" sheetId="43" r:id="rId23"/>
    <sheet name="UVISA" sheetId="44" r:id="rId24"/>
    <sheet name="SAE DST" sheetId="45" r:id="rId25"/>
    <sheet name="Clínica Jones" sheetId="46" r:id="rId26"/>
    <sheet name="UBS Vila Gallo" sheetId="13" r:id="rId27"/>
    <sheet name="CCZ " sheetId="14" r:id="rId28"/>
    <sheet name="CTA" sheetId="15" r:id="rId29"/>
    <sheet name="UBS Jardim Ipiranga" sheetId="16" r:id="rId30"/>
    <sheet name="CAPS Alcool e Drogas" sheetId="17" r:id="rId31"/>
    <sheet name="PA Zanaga" sheetId="18" r:id="rId32"/>
    <sheet name="UBS Dona Rosa" sheetId="19" r:id="rId33"/>
    <sheet name="UBS Jd Boer " sheetId="20" r:id="rId34"/>
    <sheet name="ESF Alvorada " sheetId="21" r:id="rId35"/>
    <sheet name="ESF Mário Covas" sheetId="22" r:id="rId36"/>
    <sheet name="Núcleo Especialidades " sheetId="23" r:id="rId37"/>
    <sheet name="UBS São Domingos " sheetId="24" r:id="rId38"/>
    <sheet name="UBS Guanabara " sheetId="25" r:id="rId39"/>
    <sheet name="UBS LIBERDADE" sheetId="73" r:id="rId40"/>
    <sheet name="Clínica Mod.  ZANAGA" sheetId="74" r:id="rId41"/>
    <sheet name="Farmácia Central (2)" sheetId="76" r:id="rId42"/>
    <sheet name="CEO" sheetId="75" r:id="rId43"/>
    <sheet name="Performance Unidades 2023" sheetId="12" r:id="rId44"/>
    <sheet name="DADOS" sheetId="30" r:id="rId45"/>
    <sheet name="Avaliação Global" sheetId="31" r:id="rId46"/>
    <sheet name="Planilha3" sheetId="29" r:id="rId47"/>
    <sheet name="Planilha2" sheetId="71" r:id="rId48"/>
  </sheets>
  <externalReferences>
    <externalReference r:id="rId49"/>
  </externalReferenc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6" i="76" l="1"/>
  <c r="D26" i="76"/>
  <c r="C26" i="76"/>
  <c r="B26" i="76"/>
  <c r="G25" i="76"/>
  <c r="H25" i="76" s="1"/>
  <c r="H24" i="76"/>
  <c r="G24" i="76"/>
  <c r="H23" i="76"/>
  <c r="G23" i="76"/>
  <c r="H22" i="76"/>
  <c r="H26" i="76" s="1"/>
  <c r="G22" i="76"/>
  <c r="I18" i="76"/>
  <c r="H18" i="76"/>
  <c r="J16" i="76"/>
  <c r="J11" i="76"/>
  <c r="J4" i="76"/>
  <c r="J18" i="76" s="1"/>
  <c r="F26" i="75"/>
  <c r="D26" i="75"/>
  <c r="C26" i="75"/>
  <c r="B26" i="75"/>
  <c r="G25" i="75"/>
  <c r="H25" i="75" s="1"/>
  <c r="G24" i="75"/>
  <c r="H24" i="75" s="1"/>
  <c r="G23" i="75"/>
  <c r="H23" i="75" s="1"/>
  <c r="G22" i="75"/>
  <c r="H22" i="75" s="1"/>
  <c r="I18" i="75"/>
  <c r="H18" i="75"/>
  <c r="J16" i="75"/>
  <c r="J11" i="75"/>
  <c r="J4" i="75"/>
  <c r="F26" i="74"/>
  <c r="D26" i="74"/>
  <c r="C26" i="74"/>
  <c r="B26" i="74"/>
  <c r="G25" i="74"/>
  <c r="H25" i="74" s="1"/>
  <c r="H24" i="74"/>
  <c r="G24" i="74"/>
  <c r="G23" i="74"/>
  <c r="H23" i="74" s="1"/>
  <c r="G22" i="74"/>
  <c r="H22" i="74" s="1"/>
  <c r="I18" i="74"/>
  <c r="H18" i="74"/>
  <c r="J16" i="74"/>
  <c r="J15" i="74"/>
  <c r="J11" i="74"/>
  <c r="J4" i="74"/>
  <c r="F26" i="73"/>
  <c r="D26" i="73"/>
  <c r="C26" i="73"/>
  <c r="B26" i="73"/>
  <c r="H25" i="73"/>
  <c r="G25" i="73"/>
  <c r="G24" i="73"/>
  <c r="H24" i="73" s="1"/>
  <c r="H23" i="73"/>
  <c r="G23" i="73"/>
  <c r="G22" i="73"/>
  <c r="H22" i="73" s="1"/>
  <c r="J18" i="73"/>
  <c r="I18" i="73"/>
  <c r="H18" i="73"/>
  <c r="J16" i="73"/>
  <c r="J15" i="73"/>
  <c r="J11" i="73"/>
  <c r="J4" i="73"/>
  <c r="F27" i="32"/>
  <c r="D27" i="32"/>
  <c r="C27" i="32"/>
  <c r="B27" i="32"/>
  <c r="H26" i="32"/>
  <c r="G26" i="32"/>
  <c r="H25" i="32"/>
  <c r="G25" i="32"/>
  <c r="H24" i="32"/>
  <c r="G24" i="32"/>
  <c r="H23" i="32"/>
  <c r="H27" i="32" s="1"/>
  <c r="G23" i="32"/>
  <c r="I18" i="32"/>
  <c r="H18" i="32"/>
  <c r="J16" i="32"/>
  <c r="J15" i="32"/>
  <c r="J11" i="32"/>
  <c r="J4" i="32"/>
  <c r="J18" i="32" s="1"/>
  <c r="F27" i="46"/>
  <c r="D27" i="46"/>
  <c r="C27" i="46"/>
  <c r="B27" i="46"/>
  <c r="H26" i="46"/>
  <c r="G26" i="46"/>
  <c r="H25" i="46"/>
  <c r="G25" i="46"/>
  <c r="H24" i="46"/>
  <c r="G24" i="46"/>
  <c r="H23" i="46"/>
  <c r="H27" i="46" s="1"/>
  <c r="G23" i="46"/>
  <c r="I18" i="46"/>
  <c r="H18" i="46"/>
  <c r="J16" i="46"/>
  <c r="J15" i="46"/>
  <c r="J11" i="46"/>
  <c r="J4" i="46"/>
  <c r="J18" i="46" s="1"/>
  <c r="F27" i="45"/>
  <c r="D27" i="45"/>
  <c r="C27" i="45"/>
  <c r="B27" i="45"/>
  <c r="G25" i="45"/>
  <c r="H25" i="45" s="1"/>
  <c r="G24" i="45"/>
  <c r="H24" i="45" s="1"/>
  <c r="G23" i="45"/>
  <c r="H23" i="45" s="1"/>
  <c r="I18" i="45"/>
  <c r="H18" i="45"/>
  <c r="J16" i="45"/>
  <c r="J15" i="45"/>
  <c r="J11" i="45"/>
  <c r="J4" i="45"/>
  <c r="J18" i="45" s="1"/>
  <c r="F27" i="44"/>
  <c r="D27" i="44"/>
  <c r="C27" i="44"/>
  <c r="B27" i="44"/>
  <c r="G26" i="44"/>
  <c r="H26" i="44" s="1"/>
  <c r="H25" i="44"/>
  <c r="G25" i="44"/>
  <c r="H24" i="44"/>
  <c r="G24" i="44"/>
  <c r="G23" i="44"/>
  <c r="H23" i="44" s="1"/>
  <c r="I18" i="44"/>
  <c r="H18" i="44"/>
  <c r="J16" i="44"/>
  <c r="J15" i="44"/>
  <c r="J11" i="44"/>
  <c r="J4" i="44"/>
  <c r="F27" i="43"/>
  <c r="D27" i="43"/>
  <c r="C27" i="43"/>
  <c r="B27" i="43"/>
  <c r="G26" i="43"/>
  <c r="H26" i="43" s="1"/>
  <c r="H25" i="43"/>
  <c r="G25" i="43"/>
  <c r="G24" i="43"/>
  <c r="H24" i="43" s="1"/>
  <c r="G23" i="43"/>
  <c r="H23" i="43" s="1"/>
  <c r="I18" i="43"/>
  <c r="H18" i="43"/>
  <c r="J16" i="43"/>
  <c r="J15" i="43"/>
  <c r="J11" i="43"/>
  <c r="J4" i="43"/>
  <c r="F27" i="33"/>
  <c r="D27" i="33"/>
  <c r="C27" i="33"/>
  <c r="B27" i="33"/>
  <c r="G26" i="33"/>
  <c r="H26" i="33" s="1"/>
  <c r="H25" i="33"/>
  <c r="G25" i="33"/>
  <c r="H24" i="33"/>
  <c r="G24" i="33"/>
  <c r="H23" i="33"/>
  <c r="G23" i="33"/>
  <c r="I18" i="33"/>
  <c r="H18" i="33"/>
  <c r="J16" i="33"/>
  <c r="J15" i="33"/>
  <c r="J11" i="33"/>
  <c r="J4" i="33"/>
  <c r="J18" i="33" s="1"/>
  <c r="F27" i="66"/>
  <c r="D27" i="66"/>
  <c r="C27" i="66"/>
  <c r="B27" i="66"/>
  <c r="G26" i="66"/>
  <c r="H26" i="66" s="1"/>
  <c r="H25" i="66"/>
  <c r="G25" i="66"/>
  <c r="G24" i="66"/>
  <c r="H24" i="66" s="1"/>
  <c r="H23" i="66"/>
  <c r="G23" i="66"/>
  <c r="I18" i="66"/>
  <c r="H18" i="66"/>
  <c r="J16" i="66"/>
  <c r="J15" i="66"/>
  <c r="J11" i="66"/>
  <c r="J4" i="66"/>
  <c r="J18" i="66" s="1"/>
  <c r="F27" i="65"/>
  <c r="D27" i="65"/>
  <c r="C27" i="65"/>
  <c r="B27" i="65"/>
  <c r="G26" i="65"/>
  <c r="H26" i="65" s="1"/>
  <c r="H25" i="65"/>
  <c r="G25" i="65"/>
  <c r="G24" i="65"/>
  <c r="H24" i="65" s="1"/>
  <c r="G23" i="65"/>
  <c r="H23" i="65" s="1"/>
  <c r="I18" i="65"/>
  <c r="H18" i="65"/>
  <c r="J16" i="65"/>
  <c r="J15" i="65"/>
  <c r="J11" i="65"/>
  <c r="J4" i="65"/>
  <c r="F27" i="68"/>
  <c r="D27" i="68"/>
  <c r="C27" i="68"/>
  <c r="B27" i="68"/>
  <c r="G26" i="68"/>
  <c r="H26" i="68" s="1"/>
  <c r="G25" i="68"/>
  <c r="H25" i="68" s="1"/>
  <c r="G24" i="68"/>
  <c r="H24" i="68" s="1"/>
  <c r="G23" i="68"/>
  <c r="H23" i="68" s="1"/>
  <c r="I18" i="68"/>
  <c r="H18" i="68"/>
  <c r="J16" i="68"/>
  <c r="J15" i="68"/>
  <c r="J11" i="68"/>
  <c r="J4" i="68"/>
  <c r="F27" i="67"/>
  <c r="D27" i="67"/>
  <c r="C27" i="67"/>
  <c r="B27" i="67"/>
  <c r="H26" i="67"/>
  <c r="G26" i="67"/>
  <c r="H25" i="67"/>
  <c r="G25" i="67"/>
  <c r="H24" i="67"/>
  <c r="G24" i="67"/>
  <c r="G23" i="67"/>
  <c r="H23" i="67" s="1"/>
  <c r="H27" i="67" s="1"/>
  <c r="I18" i="67"/>
  <c r="H18" i="67"/>
  <c r="J16" i="67"/>
  <c r="J15" i="67"/>
  <c r="J11" i="67"/>
  <c r="J4" i="67"/>
  <c r="F27" i="62"/>
  <c r="D27" i="62"/>
  <c r="C27" i="62"/>
  <c r="B27" i="62"/>
  <c r="H26" i="62"/>
  <c r="G26" i="62"/>
  <c r="H25" i="62"/>
  <c r="G25" i="62"/>
  <c r="G24" i="62"/>
  <c r="H24" i="62" s="1"/>
  <c r="G23" i="62"/>
  <c r="H23" i="62" s="1"/>
  <c r="I18" i="62"/>
  <c r="H18" i="62"/>
  <c r="J16" i="62"/>
  <c r="J15" i="62"/>
  <c r="J11" i="62"/>
  <c r="J4" i="62"/>
  <c r="J18" i="62" s="1"/>
  <c r="F27" i="64"/>
  <c r="D27" i="64"/>
  <c r="C27" i="64"/>
  <c r="B27" i="64"/>
  <c r="G26" i="64"/>
  <c r="H26" i="64" s="1"/>
  <c r="H25" i="64"/>
  <c r="G25" i="64"/>
  <c r="G24" i="64"/>
  <c r="H24" i="64" s="1"/>
  <c r="H23" i="64"/>
  <c r="G23" i="64"/>
  <c r="I18" i="64"/>
  <c r="H18" i="64"/>
  <c r="J16" i="64"/>
  <c r="J15" i="64"/>
  <c r="J11" i="64"/>
  <c r="J4" i="64"/>
  <c r="F27" i="61"/>
  <c r="D27" i="61"/>
  <c r="C27" i="61"/>
  <c r="B27" i="61"/>
  <c r="G26" i="61"/>
  <c r="H26" i="61" s="1"/>
  <c r="H25" i="61"/>
  <c r="G25" i="61"/>
  <c r="G24" i="61"/>
  <c r="H24" i="61" s="1"/>
  <c r="G23" i="61"/>
  <c r="H23" i="61" s="1"/>
  <c r="I18" i="61"/>
  <c r="H18" i="61"/>
  <c r="J16" i="61"/>
  <c r="J15" i="61"/>
  <c r="J11" i="61"/>
  <c r="J4" i="61"/>
  <c r="F27" i="54"/>
  <c r="D27" i="54"/>
  <c r="C27" i="54"/>
  <c r="B27" i="54"/>
  <c r="G26" i="54"/>
  <c r="H26" i="54" s="1"/>
  <c r="G25" i="54"/>
  <c r="H25" i="54" s="1"/>
  <c r="H24" i="54"/>
  <c r="G24" i="54"/>
  <c r="G23" i="54"/>
  <c r="H23" i="54" s="1"/>
  <c r="I18" i="54"/>
  <c r="H18" i="54"/>
  <c r="J16" i="54"/>
  <c r="J15" i="54"/>
  <c r="J11" i="54"/>
  <c r="J4" i="54"/>
  <c r="F27" i="60"/>
  <c r="D27" i="60"/>
  <c r="C27" i="60"/>
  <c r="B27" i="60"/>
  <c r="G26" i="60"/>
  <c r="H26" i="60" s="1"/>
  <c r="H25" i="60"/>
  <c r="G25" i="60"/>
  <c r="G24" i="60"/>
  <c r="H24" i="60" s="1"/>
  <c r="G23" i="60"/>
  <c r="H23" i="60" s="1"/>
  <c r="I18" i="60"/>
  <c r="H18" i="60"/>
  <c r="J16" i="60"/>
  <c r="J15" i="60"/>
  <c r="J11" i="60"/>
  <c r="J4" i="60"/>
  <c r="F27" i="59"/>
  <c r="D27" i="59"/>
  <c r="C27" i="59"/>
  <c r="B27" i="59"/>
  <c r="G26" i="59"/>
  <c r="H26" i="59" s="1"/>
  <c r="H25" i="59"/>
  <c r="G25" i="59"/>
  <c r="G24" i="59"/>
  <c r="H24" i="59" s="1"/>
  <c r="H23" i="59"/>
  <c r="G23" i="59"/>
  <c r="I18" i="59"/>
  <c r="H18" i="59"/>
  <c r="J16" i="59"/>
  <c r="J15" i="59"/>
  <c r="J11" i="59"/>
  <c r="J4" i="59"/>
  <c r="F27" i="58"/>
  <c r="D27" i="58"/>
  <c r="C27" i="58"/>
  <c r="B27" i="58"/>
  <c r="G26" i="58"/>
  <c r="H26" i="58" s="1"/>
  <c r="H25" i="58"/>
  <c r="G25" i="58"/>
  <c r="G24" i="58"/>
  <c r="H24" i="58" s="1"/>
  <c r="G23" i="58"/>
  <c r="H23" i="58" s="1"/>
  <c r="I18" i="58"/>
  <c r="H18" i="58"/>
  <c r="J16" i="58"/>
  <c r="J15" i="58"/>
  <c r="J11" i="58"/>
  <c r="J4" i="58"/>
  <c r="J18" i="58" s="1"/>
  <c r="F27" i="57"/>
  <c r="D27" i="57"/>
  <c r="C27" i="57"/>
  <c r="B27" i="57"/>
  <c r="G26" i="57"/>
  <c r="H26" i="57" s="1"/>
  <c r="H25" i="57"/>
  <c r="G25" i="57"/>
  <c r="G24" i="57"/>
  <c r="H24" i="57" s="1"/>
  <c r="G23" i="57"/>
  <c r="H23" i="57" s="1"/>
  <c r="I18" i="57"/>
  <c r="H18" i="57"/>
  <c r="J16" i="57"/>
  <c r="J11" i="57"/>
  <c r="J4" i="57"/>
  <c r="F27" i="56"/>
  <c r="D27" i="56"/>
  <c r="C27" i="56"/>
  <c r="B27" i="56"/>
  <c r="H26" i="56"/>
  <c r="G26" i="56"/>
  <c r="G25" i="56"/>
  <c r="H25" i="56" s="1"/>
  <c r="H24" i="56"/>
  <c r="G24" i="56"/>
  <c r="G23" i="56"/>
  <c r="H23" i="56" s="1"/>
  <c r="I18" i="56"/>
  <c r="H18" i="56"/>
  <c r="J16" i="56"/>
  <c r="J15" i="56"/>
  <c r="J11" i="56"/>
  <c r="J4" i="56"/>
  <c r="F27" i="55"/>
  <c r="D27" i="55"/>
  <c r="C27" i="55"/>
  <c r="B27" i="55"/>
  <c r="G26" i="55"/>
  <c r="H26" i="55" s="1"/>
  <c r="H25" i="55"/>
  <c r="G25" i="55"/>
  <c r="G24" i="55"/>
  <c r="H24" i="55" s="1"/>
  <c r="G23" i="55"/>
  <c r="H23" i="55" s="1"/>
  <c r="I18" i="55"/>
  <c r="H18" i="55"/>
  <c r="J16" i="55"/>
  <c r="J15" i="55"/>
  <c r="J11" i="55"/>
  <c r="J4" i="55"/>
  <c r="F27" i="53"/>
  <c r="D27" i="53"/>
  <c r="C27" i="53"/>
  <c r="B27" i="53"/>
  <c r="G26" i="53"/>
  <c r="H26" i="53" s="1"/>
  <c r="H25" i="53"/>
  <c r="G25" i="53"/>
  <c r="G24" i="53"/>
  <c r="H24" i="53" s="1"/>
  <c r="H23" i="53"/>
  <c r="G23" i="53"/>
  <c r="I18" i="53"/>
  <c r="H18" i="53"/>
  <c r="J16" i="53"/>
  <c r="J11" i="53"/>
  <c r="J4" i="53"/>
  <c r="F27" i="52"/>
  <c r="D27" i="52"/>
  <c r="C27" i="52"/>
  <c r="B27" i="52"/>
  <c r="H26" i="52"/>
  <c r="G26" i="52"/>
  <c r="G25" i="52"/>
  <c r="H25" i="52" s="1"/>
  <c r="H24" i="52"/>
  <c r="G24" i="52"/>
  <c r="G23" i="52"/>
  <c r="H23" i="52" s="1"/>
  <c r="I18" i="52"/>
  <c r="H18" i="52"/>
  <c r="J16" i="52"/>
  <c r="J15" i="52"/>
  <c r="J11" i="52"/>
  <c r="J4" i="52"/>
  <c r="O24" i="12"/>
  <c r="O25" i="12"/>
  <c r="O26" i="12"/>
  <c r="N21" i="30" s="1"/>
  <c r="M3" i="30"/>
  <c r="M4" i="30"/>
  <c r="M5" i="30"/>
  <c r="M6" i="30"/>
  <c r="M7" i="30"/>
  <c r="M8" i="30"/>
  <c r="M9" i="30"/>
  <c r="M10" i="30"/>
  <c r="M11" i="30"/>
  <c r="M12" i="30"/>
  <c r="M13" i="30"/>
  <c r="M14" i="30"/>
  <c r="M15" i="30"/>
  <c r="M16" i="30"/>
  <c r="M17" i="30"/>
  <c r="M18" i="30"/>
  <c r="M19" i="30"/>
  <c r="M20" i="30"/>
  <c r="M21" i="30"/>
  <c r="M22" i="30"/>
  <c r="M23" i="30"/>
  <c r="M24" i="30"/>
  <c r="M25" i="30"/>
  <c r="M26" i="30"/>
  <c r="M27" i="30"/>
  <c r="M28" i="30"/>
  <c r="M29" i="30"/>
  <c r="M30" i="30"/>
  <c r="M31" i="30"/>
  <c r="M32" i="30"/>
  <c r="M33" i="30"/>
  <c r="M34" i="30"/>
  <c r="M2" i="30"/>
  <c r="J3" i="30"/>
  <c r="J4" i="30"/>
  <c r="J5" i="30"/>
  <c r="J6" i="30"/>
  <c r="J7" i="30"/>
  <c r="J8" i="30"/>
  <c r="J9" i="30"/>
  <c r="J10" i="30"/>
  <c r="J11" i="30"/>
  <c r="J12" i="30"/>
  <c r="J13" i="30"/>
  <c r="J14" i="30"/>
  <c r="J15" i="30"/>
  <c r="J16" i="30"/>
  <c r="J17" i="30"/>
  <c r="J18" i="30"/>
  <c r="J19" i="30"/>
  <c r="J20" i="30"/>
  <c r="J21" i="30"/>
  <c r="J22" i="30"/>
  <c r="J23" i="30"/>
  <c r="J24" i="30"/>
  <c r="J25" i="30"/>
  <c r="J26" i="30"/>
  <c r="J27" i="30"/>
  <c r="J28" i="30"/>
  <c r="J29" i="30"/>
  <c r="J30" i="30"/>
  <c r="J31" i="30"/>
  <c r="J32" i="30"/>
  <c r="J33" i="30"/>
  <c r="J34" i="30"/>
  <c r="J2" i="30"/>
  <c r="G3" i="30"/>
  <c r="G4" i="30"/>
  <c r="G5" i="30"/>
  <c r="G6" i="30"/>
  <c r="G7" i="30"/>
  <c r="G8" i="30"/>
  <c r="G9" i="30"/>
  <c r="G10" i="30"/>
  <c r="G11" i="30"/>
  <c r="G12" i="30"/>
  <c r="G13" i="30"/>
  <c r="G14" i="30"/>
  <c r="G15" i="30"/>
  <c r="G16" i="30"/>
  <c r="G17" i="30"/>
  <c r="G18" i="30"/>
  <c r="G19" i="30"/>
  <c r="G20" i="30"/>
  <c r="G21" i="30"/>
  <c r="G22" i="30"/>
  <c r="G23" i="30"/>
  <c r="G24" i="30"/>
  <c r="G25" i="30"/>
  <c r="G26" i="30"/>
  <c r="G27" i="30"/>
  <c r="G28" i="30"/>
  <c r="G29" i="30"/>
  <c r="G30" i="30"/>
  <c r="G31" i="30"/>
  <c r="G32" i="30"/>
  <c r="G33" i="30"/>
  <c r="G34" i="30"/>
  <c r="G2" i="30"/>
  <c r="D3" i="30"/>
  <c r="D4" i="30"/>
  <c r="D5" i="30"/>
  <c r="D6"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2" i="30"/>
  <c r="N12" i="30"/>
  <c r="N20" i="30"/>
  <c r="N14" i="30"/>
  <c r="L3" i="30"/>
  <c r="L5" i="30"/>
  <c r="L6" i="30"/>
  <c r="L7" i="30"/>
  <c r="L8" i="30"/>
  <c r="L9" i="30"/>
  <c r="L10" i="30"/>
  <c r="L11" i="30"/>
  <c r="L12" i="30"/>
  <c r="L13" i="30"/>
  <c r="L14" i="30"/>
  <c r="L15" i="30"/>
  <c r="L16" i="30"/>
  <c r="L17" i="30"/>
  <c r="L18" i="30"/>
  <c r="L19" i="30"/>
  <c r="L20" i="30"/>
  <c r="L21" i="30"/>
  <c r="L22" i="30"/>
  <c r="L23" i="30"/>
  <c r="L24" i="30"/>
  <c r="L25" i="30"/>
  <c r="L26" i="30"/>
  <c r="L27" i="30"/>
  <c r="L28" i="30"/>
  <c r="L29" i="30"/>
  <c r="L30" i="30"/>
  <c r="L31" i="30"/>
  <c r="L32" i="30"/>
  <c r="L33" i="30"/>
  <c r="L34" i="30"/>
  <c r="N3" i="30"/>
  <c r="N5" i="30"/>
  <c r="N6" i="30"/>
  <c r="N7" i="30"/>
  <c r="N8" i="30"/>
  <c r="N9" i="30"/>
  <c r="N10" i="30"/>
  <c r="N11" i="30"/>
  <c r="N13" i="30"/>
  <c r="N15" i="30"/>
  <c r="N16" i="30"/>
  <c r="N17" i="30"/>
  <c r="N18" i="30"/>
  <c r="N19" i="30"/>
  <c r="N22" i="30"/>
  <c r="N23" i="30"/>
  <c r="N24" i="30"/>
  <c r="N25" i="30"/>
  <c r="N26" i="30"/>
  <c r="N27" i="30"/>
  <c r="N28" i="30"/>
  <c r="N29" i="30"/>
  <c r="N30" i="30"/>
  <c r="N31" i="30"/>
  <c r="N32" i="30"/>
  <c r="N33" i="30"/>
  <c r="N34" i="30"/>
  <c r="C14" i="30"/>
  <c r="F14" i="30"/>
  <c r="H14" i="30"/>
  <c r="K14" i="30"/>
  <c r="K3" i="30"/>
  <c r="K5" i="30"/>
  <c r="K6" i="30"/>
  <c r="K7" i="30"/>
  <c r="K8" i="30"/>
  <c r="K9" i="30"/>
  <c r="K10" i="30"/>
  <c r="K11" i="30"/>
  <c r="K12" i="30"/>
  <c r="K13" i="30"/>
  <c r="K15" i="30"/>
  <c r="K16" i="30"/>
  <c r="K17" i="30"/>
  <c r="K18" i="30"/>
  <c r="K19" i="30"/>
  <c r="K20" i="30"/>
  <c r="K21" i="30"/>
  <c r="K22" i="30"/>
  <c r="K23" i="30"/>
  <c r="K24" i="30"/>
  <c r="K25" i="30"/>
  <c r="K26" i="30"/>
  <c r="K27" i="30"/>
  <c r="K28" i="30"/>
  <c r="K29" i="30"/>
  <c r="K30" i="30"/>
  <c r="K31" i="30"/>
  <c r="K32" i="30"/>
  <c r="K33" i="30"/>
  <c r="K34" i="30"/>
  <c r="I3" i="30"/>
  <c r="I5" i="30"/>
  <c r="I6" i="30"/>
  <c r="I7" i="30"/>
  <c r="I8" i="30"/>
  <c r="I9" i="30"/>
  <c r="I10" i="30"/>
  <c r="I11" i="30"/>
  <c r="I12" i="30"/>
  <c r="I13" i="30"/>
  <c r="I14" i="30"/>
  <c r="I15" i="30"/>
  <c r="I16" i="30"/>
  <c r="I17" i="30"/>
  <c r="I18" i="30"/>
  <c r="I19" i="30"/>
  <c r="I20" i="30"/>
  <c r="I21" i="30"/>
  <c r="I22" i="30"/>
  <c r="I23" i="30"/>
  <c r="I24" i="30"/>
  <c r="I25" i="30"/>
  <c r="I26" i="30"/>
  <c r="I27" i="30"/>
  <c r="I28" i="30"/>
  <c r="I29" i="30"/>
  <c r="I30" i="30"/>
  <c r="I31" i="30"/>
  <c r="I32" i="30"/>
  <c r="I33" i="30"/>
  <c r="I34" i="30"/>
  <c r="H3" i="30"/>
  <c r="H5" i="30"/>
  <c r="H6" i="30"/>
  <c r="H7" i="30"/>
  <c r="H8" i="30"/>
  <c r="H9" i="30"/>
  <c r="H10" i="30"/>
  <c r="H11" i="30"/>
  <c r="H12" i="30"/>
  <c r="H13" i="30"/>
  <c r="H15" i="30"/>
  <c r="H16" i="30"/>
  <c r="H17" i="30"/>
  <c r="H18" i="30"/>
  <c r="H19" i="30"/>
  <c r="H20" i="30"/>
  <c r="H21" i="30"/>
  <c r="H22" i="30"/>
  <c r="H23" i="30"/>
  <c r="H24" i="30"/>
  <c r="H25" i="30"/>
  <c r="H26" i="30"/>
  <c r="H27" i="30"/>
  <c r="H28" i="30"/>
  <c r="H29" i="30"/>
  <c r="H30" i="30"/>
  <c r="H31" i="30"/>
  <c r="H32" i="30"/>
  <c r="H33" i="30"/>
  <c r="H34" i="30"/>
  <c r="F3" i="30"/>
  <c r="F5" i="30"/>
  <c r="F6" i="30"/>
  <c r="F7" i="30"/>
  <c r="F8" i="30"/>
  <c r="F9" i="30"/>
  <c r="F10" i="30"/>
  <c r="F11" i="30"/>
  <c r="F12" i="30"/>
  <c r="F13" i="30"/>
  <c r="F15" i="30"/>
  <c r="F16" i="30"/>
  <c r="F17" i="30"/>
  <c r="F18" i="30"/>
  <c r="F19" i="30"/>
  <c r="F20" i="30"/>
  <c r="F21" i="30"/>
  <c r="F22" i="30"/>
  <c r="F23" i="30"/>
  <c r="F24" i="30"/>
  <c r="F25" i="30"/>
  <c r="F26" i="30"/>
  <c r="F27" i="30"/>
  <c r="F28" i="30"/>
  <c r="F29" i="30"/>
  <c r="F30" i="30"/>
  <c r="F31" i="30"/>
  <c r="F32" i="30"/>
  <c r="F33" i="30"/>
  <c r="F34" i="30"/>
  <c r="E3" i="30"/>
  <c r="E5" i="30"/>
  <c r="E6" i="30"/>
  <c r="E7" i="30"/>
  <c r="E8" i="30"/>
  <c r="E9" i="30"/>
  <c r="E10" i="30"/>
  <c r="E11" i="30"/>
  <c r="E12" i="30"/>
  <c r="E13" i="30"/>
  <c r="E14" i="30"/>
  <c r="E15" i="30"/>
  <c r="E16" i="30"/>
  <c r="E17" i="30"/>
  <c r="E18" i="30"/>
  <c r="E19" i="30"/>
  <c r="E20" i="30"/>
  <c r="E21" i="30"/>
  <c r="E22" i="30"/>
  <c r="E23" i="30"/>
  <c r="E24" i="30"/>
  <c r="E25" i="30"/>
  <c r="E26" i="30"/>
  <c r="E27" i="30"/>
  <c r="E28" i="30"/>
  <c r="E29" i="30"/>
  <c r="E30" i="30"/>
  <c r="E31" i="30"/>
  <c r="E32" i="30"/>
  <c r="E33" i="30"/>
  <c r="E34" i="30"/>
  <c r="K2" i="30"/>
  <c r="H2" i="30"/>
  <c r="E2" i="30"/>
  <c r="N2" i="30"/>
  <c r="L2" i="30"/>
  <c r="I2" i="30"/>
  <c r="F2" i="30"/>
  <c r="C5" i="30"/>
  <c r="C6" i="30"/>
  <c r="C7" i="30"/>
  <c r="C8" i="30"/>
  <c r="C9" i="30"/>
  <c r="C10" i="30"/>
  <c r="C11" i="30"/>
  <c r="C12" i="30"/>
  <c r="C13" i="30"/>
  <c r="C15" i="30"/>
  <c r="C16" i="30"/>
  <c r="C17" i="30"/>
  <c r="C18" i="30"/>
  <c r="C19" i="30"/>
  <c r="C20" i="30"/>
  <c r="C21" i="30"/>
  <c r="C22" i="30"/>
  <c r="C23" i="30"/>
  <c r="C24" i="30"/>
  <c r="C25" i="30"/>
  <c r="C26" i="30"/>
  <c r="C27" i="30"/>
  <c r="C28" i="30"/>
  <c r="C29" i="30"/>
  <c r="C30" i="30"/>
  <c r="C31" i="30"/>
  <c r="C32" i="30"/>
  <c r="C33" i="30"/>
  <c r="C34" i="30"/>
  <c r="C3" i="30"/>
  <c r="B5" i="30"/>
  <c r="B6" i="30"/>
  <c r="B7" i="30"/>
  <c r="B8" i="30"/>
  <c r="B9" i="30"/>
  <c r="B10" i="30"/>
  <c r="B11" i="30"/>
  <c r="B12" i="30"/>
  <c r="B13" i="30"/>
  <c r="B14" i="30"/>
  <c r="B15" i="30"/>
  <c r="B16" i="30"/>
  <c r="B17" i="30"/>
  <c r="B18" i="30"/>
  <c r="B19" i="30"/>
  <c r="B20" i="30"/>
  <c r="B21" i="30"/>
  <c r="B22" i="30"/>
  <c r="B23" i="30"/>
  <c r="B24" i="30"/>
  <c r="B25" i="30"/>
  <c r="B26" i="30"/>
  <c r="B27" i="30"/>
  <c r="B28" i="30"/>
  <c r="B29" i="30"/>
  <c r="B30" i="30"/>
  <c r="B31" i="30"/>
  <c r="B32" i="30"/>
  <c r="B33" i="30"/>
  <c r="B34" i="30"/>
  <c r="B3" i="30"/>
  <c r="B2" i="30"/>
  <c r="C2" i="30"/>
  <c r="A29" i="30"/>
  <c r="A27" i="30"/>
  <c r="L9" i="12"/>
  <c r="K4" i="30" s="1"/>
  <c r="I9" i="12"/>
  <c r="H4" i="30" s="1"/>
  <c r="F9" i="12"/>
  <c r="E4" i="30" s="1"/>
  <c r="C9" i="12"/>
  <c r="D9" i="12" s="1"/>
  <c r="C4" i="30" s="1"/>
  <c r="D7" i="12"/>
  <c r="G7" i="12"/>
  <c r="J7" i="12"/>
  <c r="M7" i="12"/>
  <c r="O7" i="12"/>
  <c r="D8" i="12"/>
  <c r="G8" i="12"/>
  <c r="J8" i="12"/>
  <c r="M8" i="12"/>
  <c r="O8" i="12"/>
  <c r="D10" i="12"/>
  <c r="G10" i="12"/>
  <c r="J10" i="12"/>
  <c r="M10" i="12"/>
  <c r="O10" i="12"/>
  <c r="D11" i="12"/>
  <c r="G11" i="12"/>
  <c r="J11" i="12"/>
  <c r="M11" i="12"/>
  <c r="O11" i="12"/>
  <c r="D12" i="12"/>
  <c r="G12" i="12"/>
  <c r="J12" i="12"/>
  <c r="M12" i="12"/>
  <c r="O12" i="12"/>
  <c r="D15" i="12"/>
  <c r="G15" i="12"/>
  <c r="J15" i="12"/>
  <c r="M15" i="12"/>
  <c r="O15" i="12"/>
  <c r="D17" i="12"/>
  <c r="D18" i="12"/>
  <c r="G18" i="12"/>
  <c r="J18" i="12"/>
  <c r="M18" i="12"/>
  <c r="O18" i="12"/>
  <c r="D23" i="12"/>
  <c r="G23" i="12"/>
  <c r="J23" i="12"/>
  <c r="M23" i="12"/>
  <c r="O23" i="12"/>
  <c r="D25" i="12"/>
  <c r="D27" i="12"/>
  <c r="G27" i="12"/>
  <c r="J27" i="12"/>
  <c r="M27" i="12"/>
  <c r="O27" i="12"/>
  <c r="D29" i="12"/>
  <c r="G29" i="12"/>
  <c r="J29" i="12"/>
  <c r="M29" i="12"/>
  <c r="O29" i="12"/>
  <c r="B32" i="12"/>
  <c r="D32" i="12"/>
  <c r="G32" i="12"/>
  <c r="J32" i="12"/>
  <c r="M32" i="12"/>
  <c r="O32" i="12"/>
  <c r="B33" i="12"/>
  <c r="D33" i="12"/>
  <c r="G33" i="12"/>
  <c r="M33" i="12"/>
  <c r="O33" i="12"/>
  <c r="B34" i="12"/>
  <c r="D34" i="12"/>
  <c r="G34" i="12"/>
  <c r="J34" i="12"/>
  <c r="M34" i="12"/>
  <c r="O34" i="12"/>
  <c r="D35" i="12"/>
  <c r="G35" i="12"/>
  <c r="J35" i="12"/>
  <c r="M35" i="12"/>
  <c r="O35" i="12"/>
  <c r="D38" i="12"/>
  <c r="G38" i="12"/>
  <c r="J38" i="12"/>
  <c r="M38" i="12"/>
  <c r="O38" i="12"/>
  <c r="D39" i="12"/>
  <c r="G39" i="12"/>
  <c r="J39" i="12"/>
  <c r="M39" i="12"/>
  <c r="O39" i="12"/>
  <c r="F26" i="25"/>
  <c r="D26" i="25"/>
  <c r="C26" i="25"/>
  <c r="B26" i="25"/>
  <c r="G25" i="25"/>
  <c r="H25" i="25" s="1"/>
  <c r="G24" i="25"/>
  <c r="H24" i="25" s="1"/>
  <c r="G23" i="25"/>
  <c r="H23" i="25" s="1"/>
  <c r="G22" i="25"/>
  <c r="H22" i="25" s="1"/>
  <c r="I18" i="25"/>
  <c r="H18" i="25"/>
  <c r="G18" i="25"/>
  <c r="J16" i="25"/>
  <c r="J15" i="25"/>
  <c r="J11" i="25"/>
  <c r="J4" i="25"/>
  <c r="F26" i="24"/>
  <c r="D26" i="24"/>
  <c r="C26" i="24"/>
  <c r="B26" i="24"/>
  <c r="G25" i="24"/>
  <c r="H25" i="24" s="1"/>
  <c r="G24" i="24"/>
  <c r="H24" i="24" s="1"/>
  <c r="G23" i="24"/>
  <c r="H23" i="24" s="1"/>
  <c r="G22" i="24"/>
  <c r="H22" i="24" s="1"/>
  <c r="I18" i="24"/>
  <c r="H18" i="24"/>
  <c r="G18" i="24"/>
  <c r="J16" i="24"/>
  <c r="J15" i="24"/>
  <c r="J11" i="24"/>
  <c r="J4" i="24"/>
  <c r="F26" i="23"/>
  <c r="D26" i="23"/>
  <c r="C26" i="23"/>
  <c r="B26" i="23"/>
  <c r="G25" i="23"/>
  <c r="H25" i="23" s="1"/>
  <c r="G24" i="23"/>
  <c r="H24" i="23" s="1"/>
  <c r="G23" i="23"/>
  <c r="H23" i="23" s="1"/>
  <c r="G22" i="23"/>
  <c r="H22" i="23" s="1"/>
  <c r="I18" i="23"/>
  <c r="H18" i="23"/>
  <c r="G18" i="23"/>
  <c r="J16" i="23"/>
  <c r="J11" i="23"/>
  <c r="J4" i="23"/>
  <c r="F26" i="22"/>
  <c r="D26" i="22"/>
  <c r="C26" i="22"/>
  <c r="B26" i="22"/>
  <c r="G25" i="22"/>
  <c r="H25" i="22" s="1"/>
  <c r="G24" i="22"/>
  <c r="H24" i="22" s="1"/>
  <c r="G23" i="22"/>
  <c r="H23" i="22" s="1"/>
  <c r="G22" i="22"/>
  <c r="H22" i="22" s="1"/>
  <c r="I18" i="22"/>
  <c r="H18" i="22"/>
  <c r="G18" i="22"/>
  <c r="J16" i="22"/>
  <c r="J15" i="22"/>
  <c r="J11" i="22"/>
  <c r="J4" i="22"/>
  <c r="F26" i="21"/>
  <c r="D26" i="21"/>
  <c r="C26" i="21"/>
  <c r="B26" i="21"/>
  <c r="G25" i="21"/>
  <c r="H25" i="21" s="1"/>
  <c r="G24" i="21"/>
  <c r="H24" i="21" s="1"/>
  <c r="G23" i="21"/>
  <c r="H23" i="21" s="1"/>
  <c r="G22" i="21"/>
  <c r="H22" i="21" s="1"/>
  <c r="I18" i="21"/>
  <c r="H18" i="21"/>
  <c r="G18" i="21"/>
  <c r="J16" i="21"/>
  <c r="J11" i="21"/>
  <c r="J4" i="21"/>
  <c r="G18" i="20"/>
  <c r="F26" i="20"/>
  <c r="D26" i="20"/>
  <c r="C26" i="20"/>
  <c r="B26" i="20"/>
  <c r="G25" i="20"/>
  <c r="H25" i="20" s="1"/>
  <c r="G24" i="20"/>
  <c r="H24" i="20" s="1"/>
  <c r="G23" i="20"/>
  <c r="H23" i="20" s="1"/>
  <c r="G22" i="20"/>
  <c r="H22" i="20" s="1"/>
  <c r="I18" i="20"/>
  <c r="H18" i="20"/>
  <c r="J16" i="20"/>
  <c r="J15" i="20"/>
  <c r="J11" i="20"/>
  <c r="J4" i="20"/>
  <c r="F26" i="19"/>
  <c r="D26" i="19"/>
  <c r="C26" i="19"/>
  <c r="B26" i="19"/>
  <c r="G25" i="19"/>
  <c r="H25" i="19" s="1"/>
  <c r="H24" i="19"/>
  <c r="G24" i="19"/>
  <c r="G23" i="19"/>
  <c r="H23" i="19" s="1"/>
  <c r="G22" i="19"/>
  <c r="H22" i="19" s="1"/>
  <c r="I18" i="19"/>
  <c r="H18" i="19"/>
  <c r="J16" i="19"/>
  <c r="J15" i="19"/>
  <c r="J11" i="19"/>
  <c r="J4" i="19"/>
  <c r="F26" i="18"/>
  <c r="D26" i="18"/>
  <c r="C26" i="18"/>
  <c r="B26" i="18"/>
  <c r="G25" i="18"/>
  <c r="H25" i="18" s="1"/>
  <c r="G24" i="18"/>
  <c r="H24" i="18" s="1"/>
  <c r="G23" i="18"/>
  <c r="H23" i="18" s="1"/>
  <c r="G22" i="18"/>
  <c r="H22" i="18" s="1"/>
  <c r="I18" i="18"/>
  <c r="H18" i="18"/>
  <c r="J16" i="18"/>
  <c r="J15" i="18"/>
  <c r="J11" i="18"/>
  <c r="J4" i="18"/>
  <c r="F27" i="17"/>
  <c r="D27" i="17"/>
  <c r="C27" i="17"/>
  <c r="B27" i="17"/>
  <c r="G26" i="17"/>
  <c r="H26" i="17" s="1"/>
  <c r="G25" i="17"/>
  <c r="H25" i="17" s="1"/>
  <c r="G24" i="17"/>
  <c r="H24" i="17" s="1"/>
  <c r="G23" i="17"/>
  <c r="H23" i="17" s="1"/>
  <c r="I18" i="17"/>
  <c r="H18" i="17"/>
  <c r="G18" i="17"/>
  <c r="J16" i="17"/>
  <c r="J15" i="17"/>
  <c r="J11" i="17"/>
  <c r="J4" i="17"/>
  <c r="F27" i="16"/>
  <c r="D27" i="16"/>
  <c r="C27" i="16"/>
  <c r="B27" i="16"/>
  <c r="G26" i="16"/>
  <c r="H26" i="16" s="1"/>
  <c r="G25" i="16"/>
  <c r="H25" i="16" s="1"/>
  <c r="G24" i="16"/>
  <c r="H24" i="16" s="1"/>
  <c r="G23" i="16"/>
  <c r="H23" i="16" s="1"/>
  <c r="I18" i="16"/>
  <c r="H18" i="16"/>
  <c r="G18" i="16"/>
  <c r="J16" i="16"/>
  <c r="J15" i="16"/>
  <c r="J11" i="16"/>
  <c r="J4" i="16"/>
  <c r="F27" i="15"/>
  <c r="D27" i="15"/>
  <c r="C27" i="15"/>
  <c r="B27" i="15"/>
  <c r="G26" i="15"/>
  <c r="H26" i="15" s="1"/>
  <c r="H25" i="15"/>
  <c r="G25" i="15"/>
  <c r="G24" i="15"/>
  <c r="H24" i="15" s="1"/>
  <c r="G23" i="15"/>
  <c r="H23" i="15" s="1"/>
  <c r="I18" i="15"/>
  <c r="H18" i="15"/>
  <c r="G18" i="15"/>
  <c r="J16" i="15"/>
  <c r="J15" i="15"/>
  <c r="J11" i="15"/>
  <c r="J4" i="15"/>
  <c r="G18" i="14"/>
  <c r="F27" i="14"/>
  <c r="D27" i="14"/>
  <c r="C27" i="14"/>
  <c r="B27" i="14"/>
  <c r="G26" i="14"/>
  <c r="H26" i="14" s="1"/>
  <c r="G25" i="14"/>
  <c r="H25" i="14" s="1"/>
  <c r="G24" i="14"/>
  <c r="H24" i="14" s="1"/>
  <c r="G23" i="14"/>
  <c r="H23" i="14" s="1"/>
  <c r="I18" i="14"/>
  <c r="H18" i="14"/>
  <c r="J16" i="14"/>
  <c r="J15" i="14"/>
  <c r="J11" i="14"/>
  <c r="J4" i="14"/>
  <c r="F27" i="13"/>
  <c r="D27" i="13"/>
  <c r="C27" i="13"/>
  <c r="B27" i="13"/>
  <c r="G26" i="13"/>
  <c r="H26" i="13" s="1"/>
  <c r="G25" i="13"/>
  <c r="H25" i="13" s="1"/>
  <c r="G24" i="13"/>
  <c r="H24" i="13" s="1"/>
  <c r="G23" i="13"/>
  <c r="H23" i="13" s="1"/>
  <c r="I18" i="13"/>
  <c r="H18" i="13"/>
  <c r="J16" i="13"/>
  <c r="J15" i="13"/>
  <c r="J11" i="13"/>
  <c r="J4" i="13"/>
  <c r="A1" i="12"/>
  <c r="F27" i="10"/>
  <c r="D27" i="10"/>
  <c r="C27" i="10"/>
  <c r="B27" i="10"/>
  <c r="G26" i="10"/>
  <c r="H26" i="10" s="1"/>
  <c r="G25" i="10"/>
  <c r="H25" i="10" s="1"/>
  <c r="G24" i="10"/>
  <c r="H24" i="10" s="1"/>
  <c r="G23" i="10"/>
  <c r="H23" i="10" s="1"/>
  <c r="I18" i="10"/>
  <c r="H18" i="10"/>
  <c r="J16" i="10"/>
  <c r="J15" i="10"/>
  <c r="J11" i="10"/>
  <c r="J4" i="10"/>
  <c r="F27" i="9"/>
  <c r="D27" i="9"/>
  <c r="C27" i="9"/>
  <c r="B27" i="9"/>
  <c r="G26" i="9"/>
  <c r="H26" i="9" s="1"/>
  <c r="G25" i="9"/>
  <c r="H25" i="9" s="1"/>
  <c r="G24" i="9"/>
  <c r="H24" i="9" s="1"/>
  <c r="G23" i="9"/>
  <c r="H23" i="9" s="1"/>
  <c r="I18" i="9"/>
  <c r="H18" i="9"/>
  <c r="J16" i="9"/>
  <c r="J15" i="9"/>
  <c r="J11" i="9"/>
  <c r="J4" i="9"/>
  <c r="F27" i="8"/>
  <c r="D27" i="8"/>
  <c r="C27" i="8"/>
  <c r="B27" i="8"/>
  <c r="H26" i="8"/>
  <c r="G25" i="8"/>
  <c r="H25" i="8" s="1"/>
  <c r="G24" i="8"/>
  <c r="H24" i="8" s="1"/>
  <c r="G23" i="8"/>
  <c r="H23" i="8" s="1"/>
  <c r="I18" i="8"/>
  <c r="H18" i="8"/>
  <c r="J16" i="8"/>
  <c r="J16" i="5"/>
  <c r="J15" i="5"/>
  <c r="J11" i="5"/>
  <c r="J4" i="5"/>
  <c r="J18" i="43" l="1"/>
  <c r="J18" i="67"/>
  <c r="H27" i="62"/>
  <c r="H27" i="9"/>
  <c r="H27" i="44"/>
  <c r="J18" i="44"/>
  <c r="H26" i="18"/>
  <c r="J18" i="74"/>
  <c r="J18" i="75"/>
  <c r="J18" i="68"/>
  <c r="M9" i="12"/>
  <c r="L4" i="30" s="1"/>
  <c r="J9" i="12"/>
  <c r="I4" i="30" s="1"/>
  <c r="B4" i="30"/>
  <c r="G9" i="12"/>
  <c r="F4" i="30" s="1"/>
  <c r="H26" i="75"/>
  <c r="H26" i="74"/>
  <c r="H26" i="73"/>
  <c r="H26" i="25"/>
  <c r="H27" i="61"/>
  <c r="J18" i="61"/>
  <c r="H27" i="64"/>
  <c r="J18" i="64"/>
  <c r="H27" i="65"/>
  <c r="J18" i="65"/>
  <c r="J18" i="59"/>
  <c r="H27" i="56"/>
  <c r="J18" i="56"/>
  <c r="J18" i="53"/>
  <c r="H27" i="54"/>
  <c r="J18" i="54"/>
  <c r="H27" i="60"/>
  <c r="J18" i="60"/>
  <c r="J18" i="55"/>
  <c r="J18" i="57"/>
  <c r="H27" i="52"/>
  <c r="J18" i="52"/>
  <c r="H27" i="45"/>
  <c r="H27" i="43"/>
  <c r="H27" i="33"/>
  <c r="H27" i="66"/>
  <c r="H27" i="68"/>
  <c r="H27" i="59"/>
  <c r="H27" i="58"/>
  <c r="H27" i="57"/>
  <c r="H27" i="55"/>
  <c r="H27" i="53"/>
  <c r="O9" i="12"/>
  <c r="N4" i="30" s="1"/>
  <c r="J18" i="25"/>
  <c r="J18" i="24"/>
  <c r="H26" i="24"/>
  <c r="H26" i="23"/>
  <c r="J18" i="23"/>
  <c r="J18" i="22"/>
  <c r="H26" i="22"/>
  <c r="J18" i="21"/>
  <c r="H26" i="21"/>
  <c r="H26" i="19"/>
  <c r="J18" i="19"/>
  <c r="H26" i="20"/>
  <c r="J18" i="20"/>
  <c r="J18" i="18"/>
  <c r="J18" i="17"/>
  <c r="H27" i="17"/>
  <c r="H27" i="16"/>
  <c r="J18" i="16"/>
  <c r="J18" i="15"/>
  <c r="H27" i="15"/>
  <c r="J18" i="14"/>
  <c r="H27" i="14"/>
  <c r="H27" i="13"/>
  <c r="J18" i="13"/>
  <c r="H27" i="10"/>
  <c r="J18" i="10"/>
  <c r="J18" i="9"/>
  <c r="H27" i="8"/>
  <c r="J18" i="8"/>
  <c r="F27" i="5" l="1"/>
  <c r="D27" i="5"/>
  <c r="C27" i="5"/>
  <c r="B27" i="5"/>
  <c r="G25" i="5"/>
  <c r="H25" i="5" s="1"/>
  <c r="G24" i="5"/>
  <c r="H24" i="5" s="1"/>
  <c r="G23" i="5"/>
  <c r="H23" i="5" s="1"/>
  <c r="H27" i="5" l="1"/>
  <c r="J18" i="5" l="1"/>
  <c r="I18" i="5"/>
  <c r="H18" i="5"/>
</calcChain>
</file>

<file path=xl/sharedStrings.xml><?xml version="1.0" encoding="utf-8"?>
<sst xmlns="http://schemas.openxmlformats.org/spreadsheetml/2006/main" count="7108" uniqueCount="385">
  <si>
    <t>Dimensões e itens para avaliação global de desempenho dos estabelecimentos municipais de saúde</t>
  </si>
  <si>
    <t>Dimensões</t>
  </si>
  <si>
    <t>ID item indicador</t>
  </si>
  <si>
    <t>Nome do item indicador</t>
  </si>
  <si>
    <t>Meta esperada no item indicador</t>
  </si>
  <si>
    <t>Fonte de observação do dado</t>
  </si>
  <si>
    <t>Periodicidade de observação</t>
  </si>
  <si>
    <t>Pontuação mínima por item</t>
  </si>
  <si>
    <t>Pontuação média por item</t>
  </si>
  <si>
    <t>Pontuação máxima por item</t>
  </si>
  <si>
    <t>Pontuação por dimensão</t>
  </si>
  <si>
    <t>I. Infraestrutura Física</t>
  </si>
  <si>
    <t>I.1</t>
  </si>
  <si>
    <t>Infraestrutura civil</t>
  </si>
  <si>
    <t>Prédio novo ou reformado com paredes e tetos pintados, sem mofo, infiltrações ou goteiras</t>
  </si>
  <si>
    <t>Observações dos conselheiros e entrevista com o coordenador durante visita</t>
  </si>
  <si>
    <r>
      <rPr>
        <sz val="9"/>
        <color rgb="FF002060"/>
        <rFont val="Calibri"/>
        <family val="2"/>
        <scheme val="minor"/>
      </rPr>
      <t>Semestral</t>
    </r>
    <r>
      <rPr>
        <sz val="9"/>
        <color rgb="FF000000"/>
        <rFont val="Calibri"/>
        <family val="2"/>
        <scheme val="minor"/>
      </rPr>
      <t xml:space="preserve"> (exceto hospital - ver cronograma de visitas)</t>
    </r>
  </si>
  <si>
    <t>I.2</t>
  </si>
  <si>
    <t>Infraestrutura elétrica</t>
  </si>
  <si>
    <t>Fiação elétrica em bom estado com equipamentos de manutenção de energia elétrica (no-break e/ou gerador)</t>
  </si>
  <si>
    <t>I.3</t>
  </si>
  <si>
    <t>Infraestrutura hidráulica</t>
  </si>
  <si>
    <t>Canos, calhas e esgotos sem entupimentos ou vazamentos</t>
  </si>
  <si>
    <t>I.4</t>
  </si>
  <si>
    <t>Infraestrutura de comunicação</t>
  </si>
  <si>
    <t>Disponibilidade de internet, telefones e computadores funcionantes e suficientes para todo o serviço</t>
  </si>
  <si>
    <t>I.5</t>
  </si>
  <si>
    <t>Equipamentos</t>
  </si>
  <si>
    <t xml:space="preserve">Número suficiente e condições adequadas de utilização dos equipamentos para prestação do serviço </t>
  </si>
  <si>
    <t>I.6</t>
  </si>
  <si>
    <t>Materiais, medicamentos e insumos</t>
  </si>
  <si>
    <t>Materiais e insumos em quantidade, reposição e condições de armazenamento adequadas</t>
  </si>
  <si>
    <t>I.7</t>
  </si>
  <si>
    <t>Conforto, limpeza e organização</t>
  </si>
  <si>
    <t>Ambiente agradável, organizado, sinalizado, com espaço para circulação, boa luminosidade e sem lixo espalhado pelo estabelecimento</t>
  </si>
  <si>
    <t>II. Infraestrutura Humana</t>
  </si>
  <si>
    <t>II.1</t>
  </si>
  <si>
    <t>Utilização de indicadores de gestão</t>
  </si>
  <si>
    <t xml:space="preserve">Disponibilidade de dados sobre número de atendimentos, capacidade de serviço, número de altas, número de pacientes cadastrados no serviço, principais queixas dos usuários, entre outros. Evidências sobre decisões da coordenação com base nesses dados. </t>
  </si>
  <si>
    <t>Apresentação de dados em fala do coordenador e existência de planilhas com os indicadores medidos na Unidade</t>
  </si>
  <si>
    <t>Semestral (exceto hospital - ver cronograma de visitas)</t>
  </si>
  <si>
    <t>II.2</t>
  </si>
  <si>
    <t>Dimensionamento de equipe</t>
  </si>
  <si>
    <t xml:space="preserve">Presença de escalas de trabalho visíveis e obedecidas pelos funcionários da Unidade com cobertura de todos os horários de atendimento </t>
  </si>
  <si>
    <t>Apresentação, compatibilidade com o trabalho e adequação das escalas e horários de trabalho dos funcionários do estabelecimento de saúde</t>
  </si>
  <si>
    <t>II.3</t>
  </si>
  <si>
    <t>Execução do cronograma de capacitação da equipe de trabalho</t>
  </si>
  <si>
    <t>Mecanismos de Educação Permanente dos funcionários planejados e funcionantes</t>
  </si>
  <si>
    <t>Coordenador da Unidade tem disponível um cronograma de Educação Permanente dos funcionários planejado e realizado</t>
  </si>
  <si>
    <t>II.4.</t>
  </si>
  <si>
    <t>Disponibilidade de agendamento de consultas, exames e procedimentos</t>
  </si>
  <si>
    <t>Disponibilização de vagas mensais de consultas, exames ou procedimentos compatíveis com a capacidade, a demanda e a pactuação com a SMS</t>
  </si>
  <si>
    <t>Há um relatório com comparação do número de vagas mensais ofertadas e utilizadas com as consultas, exames ou procedimentos de responsabilidade do estabelecimento</t>
  </si>
  <si>
    <t>III. Desempenho no Plano Municipal de Saúde</t>
  </si>
  <si>
    <t>III. 1</t>
  </si>
  <si>
    <t>Atendimento aos indicadores do PMS</t>
  </si>
  <si>
    <t xml:space="preserve">O estabelecimento de saúde demonstra o cumprimento de todos os indicadores que assumiu para o ano no Plano Municipal de Saúde </t>
  </si>
  <si>
    <t>Porcentagem de respostas adequadas às questões formuladas para cada indicador do Plano Municipal de Saúde</t>
  </si>
  <si>
    <t>Semestral</t>
  </si>
  <si>
    <t>IV.        Percepção do usuário</t>
  </si>
  <si>
    <t>IV.1</t>
  </si>
  <si>
    <t>Registro de reclamações na Ouvidoria do COMSAUDE</t>
  </si>
  <si>
    <t>Ausência de registros de reclamações dos usuários sobre o serviço e/ou resolução adequada de eventuais demandas de pequena gravidade existentes</t>
  </si>
  <si>
    <t>Relatório com número de demandas apresentadas ao COMSAUDE pelos usuários e suas resoluções</t>
  </si>
  <si>
    <t>IV.2</t>
  </si>
  <si>
    <t>Satisfação dos usuários</t>
  </si>
  <si>
    <t>Estabelecimento de saúde com alto nível de satisfação do usuário (NPS &gt; 80%)</t>
  </si>
  <si>
    <t>Resultado de percepção do usuário  a partir de entrevistas realizadas durante as visitas do COMSAUDE ao estabelecimento de saúde</t>
  </si>
  <si>
    <t>Pontuação total na visita (29/06/2023)</t>
  </si>
  <si>
    <t>Dimensões avaliadas</t>
  </si>
  <si>
    <t>Número de itens pontuados</t>
  </si>
  <si>
    <t>Pontuação máxima possível nas dimensões analisadas</t>
  </si>
  <si>
    <t>Peso da dimensão</t>
  </si>
  <si>
    <r>
      <t xml:space="preserve">Pontos obtidos por dimensão </t>
    </r>
    <r>
      <rPr>
        <sz val="10"/>
        <color rgb="FF000000"/>
        <rFont val="Calibri"/>
        <family val="2"/>
      </rPr>
      <t>(exemplo)</t>
    </r>
  </si>
  <si>
    <r>
      <t xml:space="preserve">% de execução em cada dimensão </t>
    </r>
    <r>
      <rPr>
        <sz val="10"/>
        <color rgb="FF000000"/>
        <rFont val="Calibri"/>
        <family val="2"/>
      </rPr>
      <t>(exemplo)</t>
    </r>
  </si>
  <si>
    <r>
      <t xml:space="preserve">Pontuação final </t>
    </r>
    <r>
      <rPr>
        <sz val="10"/>
        <color rgb="FF000000"/>
        <rFont val="Calibri"/>
        <family val="2"/>
      </rPr>
      <t>(exemplo)</t>
    </r>
  </si>
  <si>
    <t>I - Infraestrutura física (prédios, equipamentos e insumos)</t>
  </si>
  <si>
    <t>II - Infraestrutura humana</t>
  </si>
  <si>
    <t>III - Desempenho no Plano Municipal de Saúde</t>
  </si>
  <si>
    <t>IV - Percepção do usuário</t>
  </si>
  <si>
    <t>Totais</t>
  </si>
  <si>
    <t>-</t>
  </si>
  <si>
    <t>Pontuação total na visita (08/12/2023)</t>
  </si>
  <si>
    <t>Pontuação total na visita (27/11/2023)</t>
  </si>
  <si>
    <t>Pontuação total na visita (30/10/2023)</t>
  </si>
  <si>
    <t>Pontos obtidos por dimensão</t>
  </si>
  <si>
    <t>% de execução em cada dimensão</t>
  </si>
  <si>
    <t>Pontuação final com pesos</t>
  </si>
  <si>
    <t>21/11/2022;                                                                        24/05/2023</t>
  </si>
  <si>
    <t>192 - Serviço de Atendimento de Urgências</t>
  </si>
  <si>
    <t>CAPS Arte &amp; Vida</t>
  </si>
  <si>
    <t>CAPS Infantil Larissa de Almeida</t>
  </si>
  <si>
    <t>CAPS Vida Nova/Álcool e Drogas</t>
  </si>
  <si>
    <t>Centro de Zoonoses</t>
  </si>
  <si>
    <t>CEO - Centro de Especialidades Odontológicas</t>
  </si>
  <si>
    <t>CTA - Centro de Testagem e Aconselhamento</t>
  </si>
  <si>
    <t>ESF - Alvorada</t>
  </si>
  <si>
    <t>ESF - Jaguari</t>
  </si>
  <si>
    <t>ESF - Jardim Brasil</t>
  </si>
  <si>
    <t>ESF - Liberdade</t>
  </si>
  <si>
    <t>ESF - Mário Covas</t>
  </si>
  <si>
    <t>ESF - Praia Azul</t>
  </si>
  <si>
    <t>ESF - São José</t>
  </si>
  <si>
    <t>ESF - Zanaga</t>
  </si>
  <si>
    <t>Farmácia Central</t>
  </si>
  <si>
    <t>Núcleo de Especialidades de Americana</t>
  </si>
  <si>
    <t>UAD -Unidade Atendimento Domiciliar</t>
  </si>
  <si>
    <t>UBS - Cariobinha</t>
  </si>
  <si>
    <t>UBS - Dona Rosa</t>
  </si>
  <si>
    <t>UBS - Guanabara</t>
  </si>
  <si>
    <t>UBS - Jardim Boer</t>
  </si>
  <si>
    <t>UBS - Jardim Ipiranga</t>
  </si>
  <si>
    <t>UBS - Jardim São Paulo</t>
  </si>
  <si>
    <t>UBS - Mathiensen</t>
  </si>
  <si>
    <t>UBS - Parque das Nações</t>
  </si>
  <si>
    <t>UBS - Parque Gramado</t>
  </si>
  <si>
    <t>UBS - São Domingos</t>
  </si>
  <si>
    <t>UBS - São Vito</t>
  </si>
  <si>
    <t>UBS - Vila Gallo</t>
  </si>
  <si>
    <t>UNACON - Unidade de Oncologia</t>
  </si>
  <si>
    <t>UPA - Bairro Antonio Zanaga</t>
  </si>
  <si>
    <t>UPA São José</t>
  </si>
  <si>
    <t>Estabelecimentos de Saúde de Americana</t>
  </si>
  <si>
    <t>PERCEPÇÃO DE OPORTUNIDADES / GANHOS DE PERFORMANCE 2023
EVIDÊNCIAS DAS VISITAS DO CONSELHO MUNICIPAL DE SAÚDE DE AMERICANA</t>
  </si>
  <si>
    <t>Avaliação Dimensão Infraestrutura Física</t>
  </si>
  <si>
    <t>Avaliação Dimensão Infraestrutura Humana</t>
  </si>
  <si>
    <t>Avaliação Dimensão Execução do Plano Municipal de Saúde</t>
  </si>
  <si>
    <t>Avaliação Dimensão Percepção do Usuário</t>
  </si>
  <si>
    <t>Performance do Estabelecimento de Saúde em 2023</t>
  </si>
  <si>
    <t>Total de pontos possíveis na dimensão</t>
  </si>
  <si>
    <t>Estabelecimentos</t>
  </si>
  <si>
    <t>Pontos obtidos</t>
  </si>
  <si>
    <t>Performance na Dimensão (%)</t>
  </si>
  <si>
    <t>Comentários e Oportunidades de melhoria</t>
  </si>
  <si>
    <t>TOTAL</t>
  </si>
  <si>
    <t>Último relatório disponibilizado em 2023</t>
  </si>
  <si>
    <t>Previsão de próxima visita</t>
  </si>
  <si>
    <t xml:space="preserve">Infiltrações em teto, fechaduras de portas e banheiro quebradas; baixa segurança predial com furto recente de 10 CPUs. Encontradas lâmpadas queimadas, geladeira de vacinas e medicamentos aguardando conserto há aproximadamente 1 ano.Sem ar condicionado e com incidência de raios solares em consultório odontológico. Rede de gases não funcionante.
</t>
  </si>
  <si>
    <t>Indicadores de gestão não disponíveis. Falta de integração com Núcleo de Especialidades e serviços de Urgência. Bom controle de agendas com baixo absenteísmo. Territorialização adequada e divulgada.</t>
  </si>
  <si>
    <t>Plano Municipal com execução em andamento, mas não completa em itens ligados à estrutura e integração entre serviços.</t>
  </si>
  <si>
    <t xml:space="preserve">Evidências de boa satisfação dos usuários. </t>
  </si>
  <si>
    <t>Aparelho ECG sem funcionar (sem peras) e pacientes vão ao Jd. São Paulo; rede de gases não funciona há 1,5 ano, não possui desfibrilador. Há falta de vacinas.</t>
  </si>
  <si>
    <t>Unidade com baixo absenteísmo. Não possui farmácia e transfere pacientes para medicamentos no Jd. São Paulo.</t>
  </si>
  <si>
    <t>Alguns indicadores do Plano Municipals de Saúde não são conhecidos na Unidade</t>
  </si>
  <si>
    <t>População que estava no local durante a visita mostra satisfação com atendimento</t>
  </si>
  <si>
    <t xml:space="preserve">Prédio em bom estado e com pedidos para aumento de segurança. Goteiras no consultório odontológico e recepção quando chove. </t>
  </si>
  <si>
    <t xml:space="preserve">Equipe bastante integrada, gentil  e atenta. Sem evidência de utilização de indicadores de gestão e de cronogramas de treinamento.  </t>
  </si>
  <si>
    <t>Plano em andamento</t>
  </si>
  <si>
    <t xml:space="preserve">Usuários satisfeitos </t>
  </si>
  <si>
    <t>nov/23??</t>
  </si>
  <si>
    <t>??</t>
  </si>
  <si>
    <t xml:space="preserve">Predio inaugurado em 12/2022, mas já com goteiras e ar condicionado fora de funcionamento. </t>
  </si>
  <si>
    <t xml:space="preserve">Unidade é UBS e ESF, mas equipe de saúde da Família não tem médico. Gerente da Unidade presente apenas às 5as.-feiras. Ginecologista apenas 1 período na semana. Equipe conhece o território e faz visitas aos usuários apesar de apenas 1 agente disponível no momento. </t>
  </si>
  <si>
    <t xml:space="preserve">Não foi possível evidenciar o cumprimento dos indicadores do Plano Municipal de Saúde pela ausência da gerente. Há evidência de pouca integração entre serviços. </t>
  </si>
  <si>
    <t>Usuários entrevistados mostraram-se satisfeitos com o  estabelecimento.</t>
  </si>
  <si>
    <t xml:space="preserve">Unidade reformada há 8 meses e apresentando todas as paredes com infiltrações. Equipamentos e conforto ok. </t>
  </si>
  <si>
    <t xml:space="preserve">Não evidenciada utilização de indicadores de gestão. Ainda sem treinamento do e-SUS para alguns funcionários. </t>
  </si>
  <si>
    <t>Em andamento adequado</t>
  </si>
  <si>
    <t xml:space="preserve">Não evidenciadas insatisfações. </t>
  </si>
  <si>
    <t xml:space="preserve">Infiltrações, mofo e cahas ruins. Problemas com entregas de alguns isnumos como hipoclorito. 
</t>
  </si>
  <si>
    <t>Equipe necessitando de recepcionistas e técnico de enfermagem. Alto absenteísmo ainda sem entendimento e ações da equipe.</t>
  </si>
  <si>
    <t>Indicadores do Plano Municipal em andamento durante o ano</t>
  </si>
  <si>
    <t xml:space="preserve">População reclama de falta de funcionários, demora em exames e especialistas </t>
  </si>
  <si>
    <t xml:space="preserve">Paredes, pinturas e estrutura já antigas e necessitando reforma. Com promessa de início em breve e transferência de pacientes para UBS Nações. </t>
  </si>
  <si>
    <t xml:space="preserve">Com falta de recepcionista. Cronograma de treinamentos e utilização de indicadores de gestão não evidenciados. </t>
  </si>
  <si>
    <t>Sem evidências de insatisfação.</t>
  </si>
  <si>
    <t>Predia entraria em reforma</t>
  </si>
  <si>
    <t xml:space="preserve">Unidade recém reformada e entregue em dezembro/2023
</t>
  </si>
  <si>
    <t>Não avaliada neste ano</t>
  </si>
  <si>
    <t>Resolver infiltrações telhado e paredes encharcadas</t>
  </si>
  <si>
    <t>Excelente Trinamento de toda equipe e condições de cobertura das funções;</t>
  </si>
  <si>
    <t>Plano Municipal em execução, mas ainda com falahas em treinamentos e integração.</t>
  </si>
  <si>
    <t>Excelente percepção da qualidade dos serviços pelos usuários</t>
  </si>
  <si>
    <t>Relatório de visita incompleto. Foi evidenciado cilindro de ar comprimido quebrado há 5 anos e necessidade de pia com bancada na sala de vacina. Unidade limpa e organizada.</t>
  </si>
  <si>
    <t xml:space="preserve">Farmácia sem cobertura de férias e fechada no mês da visita. </t>
  </si>
  <si>
    <t xml:space="preserve">Insuficiência numérica de agentes de saúde. Sem indicação de utilização de indicadores de gestão. Ausência de cronograma de treinamentos. </t>
  </si>
  <si>
    <t>Em andamento</t>
  </si>
  <si>
    <t>Não evidenciadas reclamações de usuários</t>
  </si>
  <si>
    <t>Unidade recém reformada e entregue em novembro/2023</t>
  </si>
  <si>
    <t>Prédio reformado e entregue há pouco tempo. Falta de dieta enteral sem solução.</t>
  </si>
  <si>
    <t>Indicadores de gestão ainda não utilizados regularmente</t>
  </si>
  <si>
    <t>Plano Municipal em execução</t>
  </si>
  <si>
    <t xml:space="preserve">Reclamações sobre falta de dieta enteral. Entrevistas com usuários ainda não realizadas. </t>
  </si>
  <si>
    <t>26/01/2024 ok</t>
  </si>
  <si>
    <t xml:space="preserve">Predio com infiltrações e goteiras importantes. Telhado com problemas, Lixo não recolhido na área externa. Medicamentos deixados em cima da maca e em armário aberto. Almoxarifado sem organização. Garrafas pet na área externa.  </t>
  </si>
  <si>
    <t>Coordenadora nova no local ainda sem domínio dos indicadores. Alto abasenteísmo sem trabalho para contenção. Não ecidenciados treinamentos da equipe.</t>
  </si>
  <si>
    <t>Dificuldade em entendimento e cumprimento dos indicadores constantes no Plano Municipal de Saúde</t>
  </si>
  <si>
    <t>Sem evidências de reclamações no momento. Não havia usuários presentes na visita.</t>
  </si>
  <si>
    <t xml:space="preserve">Unidade reformada, mas com salas sem condições de uso, recepção pequena e fluxo confuso para usuários. Salas de arquivos desorganizadas e insuficientes. </t>
  </si>
  <si>
    <t>Indicadores de gestão em início de utilização. Dificuldades com médicos especialistas, Sem evidência de cronograma de treinamentos. Assiustentes sociais empenhadas na resolução de problemas dos usuários!</t>
  </si>
  <si>
    <t xml:space="preserve">Plano Municipal em andamentoporém sem demonstração de integração com outras unidades de saúde. Marcação de consultas confusa pela quantidade de sistemas. </t>
  </si>
  <si>
    <t xml:space="preserve">Reclamações frequentes por vagas registradas no COMSAUDE. Usuários insatisfeitos com demora em exames e consultas. </t>
  </si>
  <si>
    <t>Predio, equipamentos e insumos sem problemas</t>
  </si>
  <si>
    <t>Indicadores de gestão ainda não utilizados regularmente. Não há reuniões gerais com OSS e com SMS</t>
  </si>
  <si>
    <t xml:space="preserve">Gestão da OSS não está inteirada do Plano Municipal de Saúde. Não há protocolos unificados. </t>
  </si>
  <si>
    <t>Alta satisfação dos pacientes</t>
  </si>
  <si>
    <t>Indicadores de gestão ainda não utilizados regularmente.</t>
  </si>
  <si>
    <t>Dificuldades em protocolos integrados e treinamentos</t>
  </si>
  <si>
    <t xml:space="preserve">Pacientes presentes apresentaram queixas sobre o atendimento sem humanização. </t>
  </si>
  <si>
    <t xml:space="preserve">Finalizar área de esterilização de instrumentos, resolução sobre elevador. </t>
  </si>
  <si>
    <t>Excelente treinamento das equipes que pode ser benchmarking a outras unidades;</t>
  </si>
  <si>
    <t xml:space="preserve">Não há indicadores desta Unidade previstos no Plano Municipal de Saúde. </t>
  </si>
  <si>
    <t>Ótima percepção nas entrevistas. Solicitação de ampliação horário Farmácia.</t>
  </si>
  <si>
    <t>agosto??</t>
  </si>
  <si>
    <t>Prédio sem nenhuma condição de uso com risco à segurança dos trabalhadores.</t>
  </si>
  <si>
    <t>não há cronograma de treinamentos disponiveis. Sem possibilidade de gestão pela dificuldade no prédio.</t>
  </si>
  <si>
    <t>Predio com goteiras e infiltrações</t>
  </si>
  <si>
    <t>Não há cornogramas de treinamento de equipe e são feitos "quando necessário". Indicadores de gestão são restritos.</t>
  </si>
  <si>
    <t>Alguns itens dos indicadores do Plano Municipal de Saúde  precisam ser revistos e repensados</t>
  </si>
  <si>
    <t>Sem problemas detectados de satisfação de usuários</t>
  </si>
  <si>
    <t>Hospital Municipal Dr. Waldemar Tebaldi</t>
  </si>
  <si>
    <t xml:space="preserve">O Hospital Municipal conta com outro ritmo e programação de visitas. Está em andamento integração entre equipe do COMSAUDE e da UAA para avaliaçãoes complementares. </t>
  </si>
  <si>
    <t>VISITAS EXTRAORDINÁRIAS ADICIONADAS A PARTIR DE AGO-2023</t>
  </si>
  <si>
    <t>TOTAL DE VISITAS EXTRAS</t>
  </si>
  <si>
    <t>AEPHIVA</t>
  </si>
  <si>
    <t>APAE</t>
  </si>
  <si>
    <t>HM - TOMÓGRAFO</t>
  </si>
  <si>
    <t>Serviço de Transporte em Saúde</t>
  </si>
  <si>
    <t xml:space="preserve">Estabelecimentos </t>
  </si>
  <si>
    <t>situação</t>
  </si>
  <si>
    <t>Usuário</t>
  </si>
  <si>
    <t>reforma</t>
  </si>
  <si>
    <t>verde</t>
  </si>
  <si>
    <t>amarelo</t>
  </si>
  <si>
    <t>visitado</t>
  </si>
  <si>
    <t>incompleto</t>
  </si>
  <si>
    <t>vermelho</t>
  </si>
  <si>
    <t>Total</t>
  </si>
  <si>
    <t>Físico</t>
  </si>
  <si>
    <t>goteiras e infiltrações em locais críticos, redes de gases não funcionantes,</t>
  </si>
  <si>
    <t>falta de alguns insumos, medicamentos sem gerenciamento de local, estoque e validade.</t>
  </si>
  <si>
    <t>Humano</t>
  </si>
  <si>
    <t xml:space="preserve">Falta de agentes de saúde, recepcionistas, falta de cronograma de reuniões de equipe e </t>
  </si>
  <si>
    <t>sem gerenciamento de indicadores.</t>
  </si>
  <si>
    <t>Plano</t>
  </si>
  <si>
    <t>Não conhecem.</t>
  </si>
  <si>
    <t>Não se reúnem e não sabem as diretrizes</t>
  </si>
  <si>
    <t>%inf_fis</t>
  </si>
  <si>
    <t>pontos_inf_fis</t>
  </si>
  <si>
    <t>pontos_inf_hum</t>
  </si>
  <si>
    <t>%inf_hum</t>
  </si>
  <si>
    <t>pontos_plano_mun</t>
  </si>
  <si>
    <t>%plano_mun</t>
  </si>
  <si>
    <t>pontos_perc_usu</t>
  </si>
  <si>
    <t>%perc_usu</t>
  </si>
  <si>
    <t>estabelecimento</t>
  </si>
  <si>
    <t>com_inf_fis</t>
  </si>
  <si>
    <t>com_inf_hum</t>
  </si>
  <si>
    <t>com_plano_mun</t>
  </si>
  <si>
    <t>com_perc_usu</t>
  </si>
  <si>
    <t>Goteiras; rede de o2 com vazamentos; sem reparos no compressor de vácuo; falta de internet em várias salas; ar condicionados faltantes em consultórios</t>
  </si>
  <si>
    <t xml:space="preserve">Prédio com goteiras, infiltrações e salas interditadas.Banheiros sem adaptações para deficientes, armários e camas em mau estado de conservação e com rasgos em colchões. </t>
  </si>
  <si>
    <t>Estabelecimento</t>
  </si>
  <si>
    <t>UBS Cariobinha</t>
  </si>
  <si>
    <t>UAD</t>
  </si>
  <si>
    <t>UBS Mathiensen</t>
  </si>
  <si>
    <t>UNACON</t>
  </si>
  <si>
    <t>IV. Percepção do usuário</t>
  </si>
  <si>
    <t>UBS Vila Gallo</t>
  </si>
  <si>
    <t>CTA</t>
  </si>
  <si>
    <t>UBS Jd Ipiranga</t>
  </si>
  <si>
    <t>CAPS Alcool e drogas</t>
  </si>
  <si>
    <t>UBS Dona Rosa</t>
  </si>
  <si>
    <t>UBS Jd Boer</t>
  </si>
  <si>
    <t>ESF Alvorada</t>
  </si>
  <si>
    <t>ESF Mário Covas</t>
  </si>
  <si>
    <t>Núcleo Especialidades</t>
  </si>
  <si>
    <t>UBS São Domingos</t>
  </si>
  <si>
    <t>UBS Guanabara</t>
  </si>
  <si>
    <t>21/11/2022;                                                                        24/05/2024</t>
  </si>
  <si>
    <t>21/11/2022;                                                                        24/05/2025</t>
  </si>
  <si>
    <t>21/11/2022;                                                                        24/05/2026</t>
  </si>
  <si>
    <t>21/11/2022;                                                                        24/05/2027</t>
  </si>
  <si>
    <t>21/11/2022;                                                                        24/05/2028</t>
  </si>
  <si>
    <t>21/11/2022;                                                                        24/05/2029</t>
  </si>
  <si>
    <t>21/11/2022;                                                                        24/05/2030</t>
  </si>
  <si>
    <t>21/11/2022;                                                                        24/05/2031</t>
  </si>
  <si>
    <t>21/11/2022;                                                                        24/05/2032</t>
  </si>
  <si>
    <t>21/11/2022;                                                                        24/05/2033</t>
  </si>
  <si>
    <t>21/11/2022;                                                                        24/05/2034</t>
  </si>
  <si>
    <t>21/11/2022;                                                                        24/05/2035</t>
  </si>
  <si>
    <t>21/11/2022;                                                                        24/05/2036</t>
  </si>
  <si>
    <t>UBS Jd. São Paulo</t>
  </si>
  <si>
    <t>PA Zanaga</t>
  </si>
  <si>
    <t>Pontuação total da visita do dia 13/04/2026</t>
  </si>
  <si>
    <t>Pontuação total da visita realizada em 09/03/2026</t>
  </si>
  <si>
    <t>pontuação total da visita realizada em 10/03/2026</t>
  </si>
  <si>
    <t>Pontuação total da visita realizada em 12/03/2026</t>
  </si>
  <si>
    <t>Pontuação total da visita realizada em 14/05/2026</t>
  </si>
  <si>
    <t>Pontuação total da visita realizada em 30/04/2026</t>
  </si>
  <si>
    <t>Pontuação total da visita realizada em 20/05/2026</t>
  </si>
  <si>
    <t>pontuação total de visita realizada em 13/03/2026</t>
  </si>
  <si>
    <t>II. Acolhimento</t>
  </si>
  <si>
    <t>Forma de acolhimento na Unidade</t>
  </si>
  <si>
    <t xml:space="preserve">Chegada do usuário, tempo para o atendimento, </t>
  </si>
  <si>
    <t>Aumento no número de atendimentos</t>
  </si>
  <si>
    <t>Ampliar a atenção prestada ao usuário após internação hospitalar</t>
  </si>
  <si>
    <t>Comunicação pelo HM ou outras Unidades sobre alta de pacientes em tratamento para Saúde Mental?</t>
  </si>
  <si>
    <t>O gerente (coordenador) tem controle (planilha) sobre estes atendimentos?</t>
  </si>
  <si>
    <t>Sobre a disponibilidade de vagas</t>
  </si>
  <si>
    <t>Os usuários e seus acompanhantes em atividade prolongada recebem alimentação? O que é servido?</t>
  </si>
  <si>
    <t>At5ividades Externas. São realizados passeios e/ououtras atividades?</t>
  </si>
  <si>
    <t>Tem um cronograma de atividades? Tem transporte e acompanhamento?</t>
  </si>
  <si>
    <t>Caso não haja atividade externa, registrar o motivo.</t>
  </si>
  <si>
    <t>Visita realizada em 21/05/2026</t>
  </si>
  <si>
    <t>Urgência/Emergência</t>
  </si>
  <si>
    <t>Rediscutir, junto à sociedade civil organizada, o desenho da atenção da Urgência/Emergência Municipal</t>
  </si>
  <si>
    <t>Entrevista com o gestor do HM</t>
  </si>
  <si>
    <t>Há integração de protocolos entre equipes das UPAS, 192 e UBS?</t>
  </si>
  <si>
    <t>Trabalho Integrado</t>
  </si>
  <si>
    <t>Espaço Físico</t>
  </si>
  <si>
    <t>Espaço físico e mobiliário são adequados para o movimento?</t>
  </si>
  <si>
    <t>Realização de simulados  sobre atendimento em acidentes com múltiplas vítimas</t>
  </si>
  <si>
    <t>Cronograma de treinamento junto aos colaboradores das diversas Unidades/</t>
  </si>
  <si>
    <t>Periodicidade desses treinamentos é a ideal?</t>
  </si>
  <si>
    <t>Ver cronograma desses treinamentos</t>
  </si>
  <si>
    <t>Aquisição de enxoval, periodicidade, lavanderia própria?</t>
  </si>
  <si>
    <t>Cronograma de treinamento para Classificação de Risco</t>
  </si>
  <si>
    <t>Apresentação de dados relacionados a  esses indicadores</t>
  </si>
  <si>
    <t>Realização de Exames</t>
  </si>
  <si>
    <t xml:space="preserve">Todos os exames solicitados são realizados? </t>
  </si>
  <si>
    <t>Disponibilidade de agendamento de exames externos</t>
  </si>
  <si>
    <t>Há dificuldade quanto à realização desses exames? Tempo de espera</t>
  </si>
  <si>
    <t>Há um relatório quanto a isso?</t>
  </si>
  <si>
    <t>Estabelecimento com índice bom quanto ao atendimento</t>
  </si>
  <si>
    <t>Pontuação total da visita realizada em 07/04/2026</t>
  </si>
  <si>
    <t>Pontuação total da visita realizada em 11/03/2026</t>
  </si>
  <si>
    <t>Pontuação total da visita realiada em 22/04/2026</t>
  </si>
  <si>
    <t>Pontuação total da visita realizada em 24/04/2026</t>
  </si>
  <si>
    <t>pontuação total da visita realizada em 10/04/2026</t>
  </si>
  <si>
    <t>Pontuação total da visita realizada em 17/06/2026</t>
  </si>
  <si>
    <t>não se aplica em respeito ao sigilo</t>
  </si>
  <si>
    <t xml:space="preserve">não se aplica </t>
  </si>
  <si>
    <t>Pontuação total da visita realizada em 05/08/2026</t>
  </si>
  <si>
    <t>ESF ZANAGA I</t>
  </si>
  <si>
    <t>SAE/DST</t>
  </si>
  <si>
    <t>Pontuação total da visita realizada em 16/06/2026</t>
  </si>
  <si>
    <t>UBS D. ROSA</t>
  </si>
  <si>
    <t>UBS GUANABARA</t>
  </si>
  <si>
    <t>ESF JARDIM BRASIL</t>
  </si>
  <si>
    <t>CAPS ADULTO</t>
  </si>
  <si>
    <t>UBS SÃO VITO</t>
  </si>
  <si>
    <t>CAPS INFANTIL</t>
  </si>
  <si>
    <t>UBS PARQUE DAS NAÇÕES</t>
  </si>
  <si>
    <t>ESF LIBERDADE</t>
  </si>
  <si>
    <t>ESF JAGUARI</t>
  </si>
  <si>
    <t>ESF ZANAGA II</t>
  </si>
  <si>
    <t>ADAM</t>
  </si>
  <si>
    <t>UVISA</t>
  </si>
  <si>
    <t>CLÍNICA JONES</t>
  </si>
  <si>
    <t>UBS VILA GALLO</t>
  </si>
  <si>
    <t>JARDIM IPIRANGA</t>
  </si>
  <si>
    <t>CAPS ÁLCOOL E DROGAS</t>
  </si>
  <si>
    <t>PA ZANAGA</t>
  </si>
  <si>
    <t>UBS JARDIM BOER</t>
  </si>
  <si>
    <t>ESF ALVORADA</t>
  </si>
  <si>
    <t>ESF MÁRIO COVAS</t>
  </si>
  <si>
    <t>NÚCLEO DE ESPECIALIDADES</t>
  </si>
  <si>
    <t>UBS SÃO DOMINGOS</t>
  </si>
  <si>
    <t>UBS JARDIM SÃO PAULO</t>
  </si>
  <si>
    <t>HM URGÊNCIA/EMERGÊNCIA</t>
  </si>
  <si>
    <t>UPA D. ROSA</t>
  </si>
  <si>
    <t>BANCO DE SANGUE</t>
  </si>
  <si>
    <t>UBS PARQUE GRAMADO</t>
  </si>
  <si>
    <t>ESF SÃO VITO</t>
  </si>
  <si>
    <t>ESF PRAIA AZUL</t>
  </si>
  <si>
    <t>UBS MATHIENSEN</t>
  </si>
  <si>
    <t>UBS CARIOBINHA</t>
  </si>
  <si>
    <t>CCZ</t>
  </si>
  <si>
    <t>Pontuação total da visita realizada em 18/06/2026</t>
  </si>
  <si>
    <t>Pontuação total da visita realizada em 25/06/2026</t>
  </si>
  <si>
    <t>Pontuação total daa visita realizadaa em 22/05/2026</t>
  </si>
  <si>
    <t>não aplicável</t>
  </si>
  <si>
    <t>Pontuação total da visita realizada em 31/07/2026</t>
  </si>
  <si>
    <t>Pontuação total da visita realizada em 19/05/2026</t>
  </si>
  <si>
    <t>Pontuação total de visita realizada em 06/08/2026</t>
  </si>
  <si>
    <t>Pontuação total da visita realizada em 24/08/2026</t>
  </si>
  <si>
    <t>Pontuação visita realizada em 24/08/2026</t>
  </si>
  <si>
    <t>Pontuação total da visita realizada em 06/08/2026</t>
  </si>
  <si>
    <t>Não se aplica</t>
  </si>
  <si>
    <t>Pontuação de visita realizada em 15/06/2026</t>
  </si>
  <si>
    <t>Pontuação total da visita realizada em 26/03/2026</t>
  </si>
  <si>
    <t>Pontuação total da visita realizada em 20/08/2026</t>
  </si>
  <si>
    <t>Pontuação de visita realiada em 20/08/2026</t>
  </si>
  <si>
    <t xml:space="preserve">Pontuação total de visita realizada 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</si>
</sst>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9"/>
      <color rgb="FF000000"/>
      <name val="Calibri"/>
      <family val="2"/>
      <scheme val="minor"/>
    </font>
    <font>
      <sz val="8"/>
      <color rgb="FF000000"/>
      <name val="Calibri"/>
      <family val="2"/>
      <scheme val="minor"/>
    </font>
    <font>
      <sz val="9"/>
      <color rgb="FF000000"/>
      <name val="Calibri"/>
      <family val="2"/>
      <scheme val="minor"/>
    </font>
    <font>
      <b/>
      <sz val="10"/>
      <color rgb="FF000000"/>
      <name val="Calibri"/>
      <family val="2"/>
    </font>
    <font>
      <sz val="10"/>
      <color rgb="FF000000"/>
      <name val="Calibri"/>
      <family val="2"/>
    </font>
    <font>
      <sz val="11"/>
      <color theme="1"/>
      <name val="Calibri"/>
      <family val="2"/>
      <scheme val="minor"/>
    </font>
    <font>
      <b/>
      <sz val="14"/>
      <color theme="1"/>
      <name val="Calibri"/>
      <family val="2"/>
      <scheme val="minor"/>
    </font>
    <font>
      <b/>
      <sz val="12"/>
      <color rgb="FF000000"/>
      <name val="Calibri"/>
      <family val="2"/>
      <scheme val="minor"/>
    </font>
    <font>
      <b/>
      <sz val="12"/>
      <color rgb="FF000000"/>
      <name val="Calibri"/>
      <family val="2"/>
    </font>
    <font>
      <sz val="10"/>
      <color theme="1"/>
      <name val="Calibri"/>
      <family val="2"/>
      <scheme val="minor"/>
    </font>
    <font>
      <sz val="9"/>
      <color rgb="FF002060"/>
      <name val="Calibri"/>
      <family val="2"/>
      <scheme val="minor"/>
    </font>
    <font>
      <b/>
      <sz val="14"/>
      <name val="Calibri"/>
      <family val="2"/>
      <scheme val="minor"/>
    </font>
    <font>
      <b/>
      <sz val="11"/>
      <color rgb="FFFF0000"/>
      <name val="Calibri"/>
      <family val="2"/>
      <scheme val="minor"/>
    </font>
    <font>
      <b/>
      <sz val="10"/>
      <name val="Calibri"/>
      <family val="2"/>
      <scheme val="minor"/>
    </font>
    <font>
      <b/>
      <sz val="10"/>
      <color theme="1"/>
      <name val="Calibri"/>
      <family val="2"/>
      <scheme val="minor"/>
    </font>
    <font>
      <sz val="12"/>
      <color rgb="FF000000"/>
      <name val="Calibri"/>
      <family val="2"/>
      <scheme val="minor"/>
    </font>
    <font>
      <b/>
      <sz val="12"/>
      <color theme="1"/>
      <name val="Calibri"/>
      <family val="2"/>
      <scheme val="minor"/>
    </font>
    <font>
      <sz val="14"/>
      <color theme="1"/>
      <name val="Calibri"/>
      <family val="2"/>
      <scheme val="minor"/>
    </font>
    <font>
      <sz val="11"/>
      <name val="Calibri"/>
      <family val="2"/>
      <scheme val="minor"/>
    </font>
    <font>
      <sz val="12"/>
      <color theme="1"/>
      <name val="Calibri"/>
      <family val="2"/>
      <scheme val="minor"/>
    </font>
    <font>
      <sz val="14"/>
      <name val="Calibri"/>
      <family val="2"/>
      <scheme val="minor"/>
    </font>
    <font>
      <b/>
      <sz val="11"/>
      <color theme="1"/>
      <name val="Calibri"/>
      <family val="2"/>
      <scheme val="minor"/>
    </font>
  </fonts>
  <fills count="13">
    <fill>
      <patternFill patternType="none"/>
    </fill>
    <fill>
      <patternFill patternType="gray125"/>
    </fill>
    <fill>
      <patternFill patternType="solid">
        <fgColor rgb="FFE5E5E5"/>
        <bgColor indexed="64"/>
      </patternFill>
    </fill>
    <fill>
      <patternFill patternType="solid">
        <fgColor rgb="FFCCCCCC"/>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AAE571"/>
        <bgColor indexed="64"/>
      </patternFill>
    </fill>
  </fills>
  <borders count="43">
    <border>
      <left/>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rgb="FF000000"/>
      </left>
      <right style="medium">
        <color indexed="64"/>
      </right>
      <top style="medium">
        <color indexed="64"/>
      </top>
      <bottom style="medium">
        <color indexed="64"/>
      </bottom>
      <diagonal/>
    </border>
    <border>
      <left style="medium">
        <color rgb="FF000000"/>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right style="medium">
        <color indexed="64"/>
      </right>
      <top style="thin">
        <color indexed="64"/>
      </top>
      <bottom/>
      <diagonal/>
    </border>
  </borders>
  <cellStyleXfs count="2">
    <xf numFmtId="0" fontId="0" fillId="0" borderId="0"/>
    <xf numFmtId="9" fontId="6" fillId="0" borderId="0" applyFont="0" applyFill="0" applyBorder="0" applyAlignment="0" applyProtection="0"/>
  </cellStyleXfs>
  <cellXfs count="126">
    <xf numFmtId="0" fontId="0" fillId="0" borderId="0" xfId="0"/>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4" xfId="0" applyFont="1" applyBorder="1" applyAlignment="1">
      <alignment horizontal="center" vertical="center" wrapText="1"/>
    </xf>
    <xf numFmtId="9" fontId="5" fillId="0" borderId="2"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1" fillId="2" borderId="5" xfId="0" applyFont="1" applyFill="1" applyBorder="1" applyAlignment="1">
      <alignment horizontal="center" vertical="center" wrapText="1"/>
    </xf>
    <xf numFmtId="0" fontId="2" fillId="0" borderId="5" xfId="0" applyFont="1" applyBorder="1" applyAlignment="1">
      <alignment horizontal="center" vertical="center" wrapText="1"/>
    </xf>
    <xf numFmtId="0" fontId="3" fillId="0" borderId="5" xfId="0" applyFont="1"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center" vertical="center"/>
    </xf>
    <xf numFmtId="0" fontId="3" fillId="0" borderId="9" xfId="0" applyFont="1" applyBorder="1" applyAlignment="1">
      <alignment horizontal="center" vertical="center" wrapText="1"/>
    </xf>
    <xf numFmtId="9" fontId="5" fillId="0" borderId="2" xfId="1" applyFont="1" applyBorder="1" applyAlignment="1">
      <alignment horizontal="center" vertical="center" wrapText="1"/>
    </xf>
    <xf numFmtId="0" fontId="4" fillId="3" borderId="2" xfId="0" applyFont="1" applyFill="1" applyBorder="1" applyAlignment="1">
      <alignment horizontal="center" vertical="center" wrapText="1"/>
    </xf>
    <xf numFmtId="0" fontId="8"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0" borderId="2" xfId="0" applyFont="1" applyBorder="1" applyAlignment="1">
      <alignment horizontal="center" vertical="center" wrapText="1"/>
    </xf>
    <xf numFmtId="9" fontId="9" fillId="4" borderId="1" xfId="1" applyFont="1" applyFill="1" applyBorder="1" applyAlignment="1">
      <alignment horizontal="center" vertical="center" wrapText="1"/>
    </xf>
    <xf numFmtId="9" fontId="9" fillId="3" borderId="1" xfId="1" applyFont="1" applyFill="1" applyBorder="1" applyAlignment="1">
      <alignment horizontal="center" vertical="center" wrapText="1"/>
    </xf>
    <xf numFmtId="0" fontId="10" fillId="0" borderId="0" xfId="0" applyFont="1"/>
    <xf numFmtId="0" fontId="14" fillId="4" borderId="10" xfId="0" applyFont="1" applyFill="1" applyBorder="1" applyAlignment="1">
      <alignment wrapText="1"/>
    </xf>
    <xf numFmtId="0" fontId="10" fillId="0" borderId="0" xfId="0" applyFont="1" applyAlignment="1">
      <alignment horizontal="center" vertical="center" wrapText="1"/>
    </xf>
    <xf numFmtId="0" fontId="10" fillId="0" borderId="0" xfId="0" applyFont="1" applyAlignment="1">
      <alignment wrapText="1"/>
    </xf>
    <xf numFmtId="0" fontId="10" fillId="0" borderId="15" xfId="0" applyFont="1" applyBorder="1" applyAlignment="1">
      <alignment horizontal="center" vertical="center" wrapText="1"/>
    </xf>
    <xf numFmtId="0" fontId="10" fillId="0" borderId="14" xfId="0" applyFont="1" applyBorder="1" applyAlignment="1">
      <alignment horizontal="center" vertical="center" wrapText="1"/>
    </xf>
    <xf numFmtId="0" fontId="10" fillId="4" borderId="0" xfId="0" applyFont="1" applyFill="1" applyAlignment="1">
      <alignment wrapText="1"/>
    </xf>
    <xf numFmtId="0" fontId="10" fillId="0" borderId="5" xfId="0" applyFont="1" applyBorder="1" applyAlignment="1">
      <alignment horizontal="center" vertical="center" wrapText="1"/>
    </xf>
    <xf numFmtId="0" fontId="10" fillId="4" borderId="15" xfId="0" applyFont="1" applyFill="1" applyBorder="1" applyAlignment="1">
      <alignment horizontal="center" vertical="center" wrapText="1"/>
    </xf>
    <xf numFmtId="0" fontId="10" fillId="0" borderId="5" xfId="0" applyFont="1" applyBorder="1" applyAlignment="1">
      <alignment wrapText="1"/>
    </xf>
    <xf numFmtId="0" fontId="10" fillId="0" borderId="5" xfId="0" applyFont="1" applyBorder="1"/>
    <xf numFmtId="9" fontId="10" fillId="0" borderId="5" xfId="1" applyFont="1" applyBorder="1" applyAlignment="1">
      <alignment horizontal="center" vertical="center" wrapText="1"/>
    </xf>
    <xf numFmtId="0" fontId="3" fillId="8" borderId="5"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15" fillId="4" borderId="5" xfId="0" applyFont="1" applyFill="1" applyBorder="1" applyAlignment="1">
      <alignment vertical="center" wrapText="1"/>
    </xf>
    <xf numFmtId="0" fontId="10" fillId="4" borderId="5" xfId="0" applyFont="1" applyFill="1" applyBorder="1" applyAlignment="1">
      <alignment vertical="center" wrapText="1"/>
    </xf>
    <xf numFmtId="0" fontId="0" fillId="0" borderId="5" xfId="0" applyBorder="1" applyAlignment="1">
      <alignment horizontal="center" vertical="center" wrapText="1"/>
    </xf>
    <xf numFmtId="9" fontId="7" fillId="4" borderId="5" xfId="1" applyFont="1" applyFill="1" applyBorder="1" applyAlignment="1">
      <alignment horizontal="center" vertical="center" wrapText="1"/>
    </xf>
    <xf numFmtId="0" fontId="7" fillId="4" borderId="5" xfId="0" applyFont="1" applyFill="1" applyBorder="1" applyAlignment="1">
      <alignment horizontal="center" vertical="center" wrapText="1"/>
    </xf>
    <xf numFmtId="9" fontId="7" fillId="4" borderId="29" xfId="1" applyFont="1" applyFill="1" applyBorder="1" applyAlignment="1">
      <alignment horizontal="center" vertical="center" wrapText="1"/>
    </xf>
    <xf numFmtId="0" fontId="7" fillId="4" borderId="29" xfId="0" applyFont="1" applyFill="1" applyBorder="1" applyAlignment="1">
      <alignment horizontal="center" vertical="center" wrapText="1"/>
    </xf>
    <xf numFmtId="0" fontId="10" fillId="4" borderId="30" xfId="0" applyFont="1" applyFill="1" applyBorder="1" applyAlignment="1">
      <alignment horizontal="center" vertical="center" wrapText="1"/>
    </xf>
    <xf numFmtId="0" fontId="10" fillId="4" borderId="17" xfId="0" applyFont="1" applyFill="1" applyBorder="1" applyAlignment="1">
      <alignment horizontal="center" vertical="center" wrapText="1"/>
    </xf>
    <xf numFmtId="0" fontId="10" fillId="4" borderId="39" xfId="0" applyFont="1" applyFill="1" applyBorder="1" applyAlignment="1">
      <alignment horizontal="center" vertical="center" wrapText="1"/>
    </xf>
    <xf numFmtId="0" fontId="10" fillId="4" borderId="16" xfId="0" applyFont="1" applyFill="1" applyBorder="1" applyAlignment="1">
      <alignment horizontal="center" vertical="center" wrapText="1"/>
    </xf>
    <xf numFmtId="9" fontId="7" fillId="4" borderId="40" xfId="1" applyFont="1" applyFill="1" applyBorder="1" applyAlignment="1">
      <alignment horizontal="center" vertical="center" wrapText="1"/>
    </xf>
    <xf numFmtId="9" fontId="7" fillId="0" borderId="5" xfId="1" applyFont="1" applyBorder="1" applyAlignment="1">
      <alignment horizontal="center" vertical="center" wrapText="1"/>
    </xf>
    <xf numFmtId="0" fontId="7" fillId="0" borderId="29" xfId="0" applyFont="1" applyBorder="1" applyAlignment="1">
      <alignment horizontal="center" vertical="center" wrapText="1"/>
    </xf>
    <xf numFmtId="0" fontId="0" fillId="0" borderId="32" xfId="0" applyBorder="1" applyAlignment="1">
      <alignment horizontal="center" vertical="center" wrapText="1"/>
    </xf>
    <xf numFmtId="0" fontId="0" fillId="0" borderId="1" xfId="0" applyBorder="1" applyAlignment="1">
      <alignment horizontal="center" vertical="center" wrapText="1"/>
    </xf>
    <xf numFmtId="0" fontId="0" fillId="4" borderId="14" xfId="0" applyFill="1" applyBorder="1" applyAlignment="1">
      <alignment horizontal="center" vertical="center" wrapText="1"/>
    </xf>
    <xf numFmtId="0" fontId="0" fillId="4" borderId="38" xfId="0" applyFill="1" applyBorder="1" applyAlignment="1">
      <alignment horizontal="center" vertical="center" wrapText="1"/>
    </xf>
    <xf numFmtId="0" fontId="0" fillId="4" borderId="36" xfId="0" applyFill="1" applyBorder="1" applyAlignment="1">
      <alignment horizontal="center" vertical="center" wrapText="1"/>
    </xf>
    <xf numFmtId="0" fontId="0" fillId="0" borderId="14" xfId="0" applyBorder="1" applyAlignment="1">
      <alignment horizontal="center" vertical="center" wrapText="1"/>
    </xf>
    <xf numFmtId="1" fontId="0" fillId="4" borderId="14" xfId="1" applyNumberFormat="1" applyFont="1" applyFill="1" applyBorder="1" applyAlignment="1">
      <alignment horizontal="center" vertical="center" wrapText="1"/>
    </xf>
    <xf numFmtId="14" fontId="0" fillId="0" borderId="5" xfId="0" applyNumberFormat="1" applyBorder="1" applyAlignment="1">
      <alignment horizontal="center" vertical="center" wrapText="1"/>
    </xf>
    <xf numFmtId="17" fontId="0" fillId="0" borderId="5" xfId="0" applyNumberFormat="1" applyBorder="1" applyAlignment="1">
      <alignment horizontal="center" vertical="center" wrapText="1"/>
    </xf>
    <xf numFmtId="17" fontId="0" fillId="7" borderId="5" xfId="0" applyNumberFormat="1" applyFill="1" applyBorder="1" applyAlignment="1">
      <alignment horizontal="center" vertical="center" wrapText="1"/>
    </xf>
    <xf numFmtId="0" fontId="0" fillId="6" borderId="5" xfId="0" applyFill="1" applyBorder="1" applyAlignment="1">
      <alignment horizontal="center" vertical="center" wrapText="1"/>
    </xf>
    <xf numFmtId="14" fontId="0" fillId="0" borderId="40" xfId="0" applyNumberFormat="1" applyBorder="1" applyAlignment="1">
      <alignment horizontal="center" vertical="center" wrapText="1"/>
    </xf>
    <xf numFmtId="17" fontId="0" fillId="0" borderId="40" xfId="0" applyNumberFormat="1" applyBorder="1" applyAlignment="1">
      <alignment horizontal="center" vertical="center" wrapText="1"/>
    </xf>
    <xf numFmtId="0" fontId="10" fillId="4" borderId="20" xfId="0" applyFont="1" applyFill="1" applyBorder="1" applyAlignment="1">
      <alignment horizontal="center" vertical="center" wrapText="1"/>
    </xf>
    <xf numFmtId="0" fontId="10" fillId="0" borderId="30" xfId="0" applyFont="1" applyBorder="1" applyAlignment="1">
      <alignment horizontal="center" vertical="center" wrapText="1"/>
    </xf>
    <xf numFmtId="9" fontId="10" fillId="0" borderId="34" xfId="1" applyFont="1" applyBorder="1" applyAlignment="1">
      <alignment horizontal="center" vertical="center" wrapText="1"/>
    </xf>
    <xf numFmtId="9" fontId="17" fillId="0" borderId="28" xfId="0" applyNumberFormat="1" applyFont="1" applyBorder="1" applyAlignment="1">
      <alignment horizontal="center" vertical="center" wrapText="1"/>
    </xf>
    <xf numFmtId="1" fontId="17" fillId="0" borderId="21" xfId="0" applyNumberFormat="1" applyFont="1" applyBorder="1" applyAlignment="1">
      <alignment horizontal="center" vertical="center" wrapText="1"/>
    </xf>
    <xf numFmtId="0" fontId="17" fillId="0" borderId="1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16" xfId="0" applyFont="1" applyBorder="1" applyAlignment="1">
      <alignment horizontal="center" vertical="center" wrapText="1"/>
    </xf>
    <xf numFmtId="0" fontId="18" fillId="4" borderId="29" xfId="0" applyFont="1" applyFill="1" applyBorder="1" applyAlignment="1">
      <alignment vertical="center" wrapText="1"/>
    </xf>
    <xf numFmtId="0" fontId="18" fillId="4" borderId="14" xfId="0" applyFont="1" applyFill="1" applyBorder="1" applyAlignment="1">
      <alignment horizontal="center" vertical="center" wrapText="1"/>
    </xf>
    <xf numFmtId="1" fontId="18" fillId="4" borderId="14" xfId="1" applyNumberFormat="1" applyFont="1" applyFill="1" applyBorder="1" applyAlignment="1">
      <alignment horizontal="center" vertical="center" wrapText="1"/>
    </xf>
    <xf numFmtId="9" fontId="7" fillId="4" borderId="35" xfId="1" applyFont="1" applyFill="1" applyBorder="1" applyAlignment="1">
      <alignment horizontal="center" vertical="center" wrapText="1"/>
    </xf>
    <xf numFmtId="0" fontId="12" fillId="4" borderId="33" xfId="0" applyFont="1" applyFill="1" applyBorder="1" applyAlignment="1">
      <alignment vertical="center" wrapText="1"/>
    </xf>
    <xf numFmtId="0" fontId="0" fillId="0" borderId="0" xfId="0" applyAlignment="1">
      <alignment horizontal="left"/>
    </xf>
    <xf numFmtId="0" fontId="19" fillId="0" borderId="0" xfId="0" applyFont="1"/>
    <xf numFmtId="0" fontId="0" fillId="0" borderId="0" xfId="0" applyAlignment="1">
      <alignment horizontal="center"/>
    </xf>
    <xf numFmtId="0" fontId="19" fillId="0" borderId="0" xfId="0" applyFont="1" applyAlignment="1">
      <alignment horizontal="center"/>
    </xf>
    <xf numFmtId="0" fontId="20" fillId="4" borderId="29" xfId="0" applyFont="1" applyFill="1" applyBorder="1" applyAlignment="1">
      <alignment vertical="center" wrapText="1"/>
    </xf>
    <xf numFmtId="0" fontId="0" fillId="9" borderId="0" xfId="0" applyFill="1"/>
    <xf numFmtId="0" fontId="0" fillId="10" borderId="0" xfId="0" applyFill="1"/>
    <xf numFmtId="0" fontId="17" fillId="0" borderId="19" xfId="0" applyFont="1" applyBorder="1" applyAlignment="1">
      <alignment horizontal="center" vertical="center" wrapText="1"/>
    </xf>
    <xf numFmtId="0" fontId="20" fillId="9" borderId="29" xfId="0" applyFont="1" applyFill="1" applyBorder="1" applyAlignment="1">
      <alignment vertical="center" wrapText="1"/>
    </xf>
    <xf numFmtId="9" fontId="7" fillId="0" borderId="29" xfId="1" applyFont="1" applyBorder="1" applyAlignment="1">
      <alignment horizontal="center" vertical="center" wrapText="1"/>
    </xf>
    <xf numFmtId="9" fontId="7" fillId="4" borderId="6" xfId="1" applyFont="1" applyFill="1" applyBorder="1" applyAlignment="1">
      <alignment horizontal="center" vertical="center" wrapText="1"/>
    </xf>
    <xf numFmtId="0" fontId="17" fillId="0" borderId="31" xfId="0" applyFont="1" applyBorder="1" applyAlignment="1">
      <alignment horizontal="center" vertical="center" wrapText="1"/>
    </xf>
    <xf numFmtId="0" fontId="21" fillId="4" borderId="21" xfId="0" applyFont="1" applyFill="1" applyBorder="1" applyAlignment="1">
      <alignment vertical="center" wrapText="1"/>
    </xf>
    <xf numFmtId="0" fontId="20" fillId="4" borderId="28" xfId="0" applyFont="1" applyFill="1" applyBorder="1" applyAlignment="1">
      <alignment vertical="center" wrapText="1"/>
    </xf>
    <xf numFmtId="0" fontId="20" fillId="0" borderId="28" xfId="0" applyFont="1" applyBorder="1" applyAlignment="1">
      <alignment vertical="center" wrapText="1"/>
    </xf>
    <xf numFmtId="0" fontId="20" fillId="4" borderId="42" xfId="0" applyFont="1" applyFill="1" applyBorder="1" applyAlignment="1">
      <alignment vertical="center" wrapText="1"/>
    </xf>
    <xf numFmtId="0" fontId="18" fillId="4" borderId="38" xfId="0" applyFont="1" applyFill="1" applyBorder="1" applyAlignment="1">
      <alignment horizontal="center" vertical="center" wrapText="1"/>
    </xf>
    <xf numFmtId="0" fontId="0" fillId="0" borderId="5" xfId="0" applyBorder="1" applyAlignment="1">
      <alignment vertical="center" wrapText="1"/>
    </xf>
    <xf numFmtId="0" fontId="3" fillId="0" borderId="5" xfId="0" applyFont="1" applyBorder="1" applyAlignment="1">
      <alignment vertical="center" wrapText="1"/>
    </xf>
    <xf numFmtId="0" fontId="3" fillId="4" borderId="5" xfId="0" applyFont="1" applyFill="1" applyBorder="1" applyAlignment="1">
      <alignment vertical="center" wrapText="1"/>
    </xf>
    <xf numFmtId="0" fontId="16" fillId="0" borderId="6" xfId="0" applyFont="1" applyBorder="1" applyAlignment="1">
      <alignment vertical="center" wrapText="1"/>
    </xf>
    <xf numFmtId="14" fontId="22" fillId="0" borderId="0" xfId="0" applyNumberFormat="1" applyFont="1"/>
    <xf numFmtId="0" fontId="3" fillId="11" borderId="5" xfId="0" applyFont="1" applyFill="1" applyBorder="1" applyAlignment="1">
      <alignment horizontal="center" vertical="center" wrapText="1"/>
    </xf>
    <xf numFmtId="0" fontId="3" fillId="9" borderId="5" xfId="0" applyFont="1" applyFill="1" applyBorder="1" applyAlignment="1">
      <alignment horizontal="center" vertical="center" wrapText="1"/>
    </xf>
    <xf numFmtId="0" fontId="3" fillId="12" borderId="5" xfId="0" applyFont="1" applyFill="1" applyBorder="1" applyAlignment="1">
      <alignment horizontal="center" vertical="center" wrapText="1"/>
    </xf>
    <xf numFmtId="0" fontId="3" fillId="10" borderId="5" xfId="0" applyFont="1" applyFill="1" applyBorder="1" applyAlignment="1">
      <alignment horizontal="center" vertical="center" wrapText="1"/>
    </xf>
    <xf numFmtId="9" fontId="5" fillId="0" borderId="2" xfId="1" applyFont="1" applyFill="1" applyBorder="1" applyAlignment="1">
      <alignment horizontal="center" vertical="center" wrapText="1"/>
    </xf>
    <xf numFmtId="9" fontId="22" fillId="0" borderId="0" xfId="0" applyNumberFormat="1" applyFont="1"/>
    <xf numFmtId="0" fontId="7" fillId="0" borderId="0" xfId="0" applyFont="1" applyAlignment="1">
      <alignment horizontal="center"/>
    </xf>
    <xf numFmtId="0" fontId="4" fillId="5" borderId="25" xfId="0" applyFont="1" applyFill="1" applyBorder="1" applyAlignment="1">
      <alignment horizontal="center" vertical="center" wrapText="1"/>
    </xf>
    <xf numFmtId="0" fontId="4" fillId="5" borderId="26" xfId="0" applyFont="1" applyFill="1" applyBorder="1" applyAlignment="1">
      <alignment horizontal="center" vertical="center" wrapText="1"/>
    </xf>
    <xf numFmtId="0" fontId="4" fillId="5" borderId="27" xfId="0" applyFont="1" applyFill="1" applyBorder="1" applyAlignment="1">
      <alignment horizontal="center" vertical="center" wrapText="1"/>
    </xf>
    <xf numFmtId="0" fontId="0" fillId="0" borderId="5" xfId="0" applyBorder="1" applyAlignment="1">
      <alignment horizontal="center" vertical="center"/>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13" fillId="4" borderId="0" xfId="0" applyFont="1" applyFill="1" applyAlignment="1">
      <alignment horizontal="center"/>
    </xf>
    <xf numFmtId="0" fontId="0" fillId="0" borderId="6" xfId="0" applyBorder="1" applyAlignment="1">
      <alignment horizontal="center" vertical="center"/>
    </xf>
    <xf numFmtId="0" fontId="0" fillId="0" borderId="40" xfId="0" applyBorder="1" applyAlignment="1">
      <alignment horizontal="center" vertical="center"/>
    </xf>
    <xf numFmtId="0" fontId="0" fillId="0" borderId="9" xfId="0" applyBorder="1" applyAlignment="1">
      <alignment horizontal="center" vertical="center"/>
    </xf>
    <xf numFmtId="0" fontId="17" fillId="0" borderId="22" xfId="0" applyFont="1" applyBorder="1" applyAlignment="1">
      <alignment horizontal="center" vertical="center" wrapText="1"/>
    </xf>
    <xf numFmtId="0" fontId="17" fillId="0" borderId="19" xfId="0" applyFont="1" applyBorder="1" applyAlignment="1">
      <alignment horizontal="center" vertical="center" wrapText="1"/>
    </xf>
    <xf numFmtId="0" fontId="12" fillId="4" borderId="25"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0" fillId="0" borderId="37"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41"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14" xfId="0" applyFont="1" applyBorder="1" applyAlignment="1">
      <alignment horizontal="center" vertical="center" wrapText="1"/>
    </xf>
  </cellXfs>
  <cellStyles count="2">
    <cellStyle name="Normal" xfId="0" builtinId="0"/>
    <cellStyle name="Porcentagem" xfId="1" builtinId="5"/>
  </cellStyles>
  <dxfs count="166">
    <dxf>
      <font>
        <color rgb="FF9C0006"/>
      </font>
      <fill>
        <patternFill>
          <bgColor rgb="FFFFC7CE"/>
        </patternFill>
      </fill>
    </dxf>
    <dxf>
      <font>
        <color theme="0"/>
      </font>
      <fill>
        <patternFill patternType="solid">
          <fgColor theme="0"/>
          <bgColor theme="9" tint="-0.24994659260841701"/>
        </patternFill>
      </fill>
    </dxf>
    <dxf>
      <font>
        <color auto="1"/>
      </font>
      <fill>
        <patternFill>
          <bgColor rgb="FFFFFF00"/>
        </patternFill>
      </fill>
    </dxf>
    <dxf>
      <font>
        <color theme="0"/>
      </font>
      <fill>
        <patternFill>
          <bgColor rgb="FFFF0000"/>
        </patternFill>
      </fill>
    </dxf>
    <dxf>
      <font>
        <color rgb="FF9C0006"/>
      </font>
      <fill>
        <patternFill>
          <bgColor rgb="FFFFC7CE"/>
        </patternFill>
      </fill>
    </dxf>
    <dxf>
      <font>
        <color theme="0"/>
      </font>
      <fill>
        <patternFill patternType="solid">
          <fgColor theme="0"/>
          <bgColor theme="9" tint="-0.24994659260841701"/>
        </patternFill>
      </fill>
    </dxf>
    <dxf>
      <font>
        <color auto="1"/>
      </font>
      <fill>
        <patternFill>
          <bgColor rgb="FFFFFF00"/>
        </patternFill>
      </fill>
    </dxf>
    <dxf>
      <font>
        <color theme="0"/>
      </font>
      <fill>
        <patternFill>
          <bgColor rgb="FFFF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0" formatCode="General"/>
    </dxf>
    <dxf>
      <alignment horizontal="left" vertical="bottom" textRotation="0" wrapText="0" indent="0" justifyLastLine="0" shrinkToFit="0" readingOrder="0"/>
    </dxf>
    <dxf>
      <numFmt numFmtId="0" formatCode="General"/>
    </dxf>
    <dxf>
      <alignment horizontal="left" vertical="bottom" textRotation="0" wrapText="0" indent="0" justifyLastLine="0" shrinkToFit="0" readingOrder="0"/>
    </dxf>
    <dxf>
      <numFmt numFmtId="0" formatCode="General"/>
    </dxf>
    <dxf>
      <alignment horizontal="left" vertical="bottom" textRotation="0" wrapText="0" indent="0" justifyLastLine="0" shrinkToFit="0" readingOrder="0"/>
    </dxf>
    <dxf>
      <numFmt numFmtId="0" formatCode="General"/>
    </dxf>
    <dxf>
      <alignment horizontal="left" vertical="bottom" textRotation="0" wrapText="0" indent="0" justifyLastLine="0" shrinkToFit="0" readingOrder="0"/>
    </dxf>
    <dxf>
      <numFmt numFmtId="0" formatCode="General"/>
    </dxf>
    <dxf>
      <alignment horizontal="left"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dxf>
    <dxf>
      <font>
        <b/>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dxf>
    <dxf>
      <font>
        <b/>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dxf>
    <dxf>
      <font>
        <b/>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dxf>
    <dxf>
      <font>
        <b/>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left/>
        <right style="medium">
          <color indexed="64"/>
        </right>
        <top style="thin">
          <color indexed="64"/>
        </top>
        <bottom style="thin">
          <color indexed="64"/>
        </bottom>
        <vertical/>
        <horizontal/>
      </border>
    </dxf>
    <dxf>
      <border outline="0">
        <top style="thin">
          <color indexed="64"/>
        </top>
      </border>
    </dxf>
    <dxf>
      <border outline="0">
        <left style="medium">
          <color indexed="64"/>
        </left>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pdataam-my.sharepoint.com/personal/gisela_onuchic_mapdata_com_br/Documents/&#193;rea%20de%20Trabalho/Conselho%20Municipal/AVALIA&#199;&#195;O%20GLOBAL%20DAS%20VISITAS%20EM%20UNIDADES%20DE%20SA&#218;DE%20DE%20AMERICANA%20-%20SEM%20FILTRO.xlsx" TargetMode="External"/><Relationship Id="rId1" Type="http://schemas.openxmlformats.org/officeDocument/2006/relationships/externalLinkPath" Target="https://mapdataam-my.sharepoint.com/personal/gisela_onuchic_mapdata_com_br/Documents/&#193;rea%20de%20Trabalho/Conselho%20Municipal/AVALIA&#199;&#195;O%20GLOBAL%20DAS%20VISITAS%20EM%20UNIDADES%20DE%20SA&#218;DE%20DE%20AMERICANA%20-%20SEM%20FILTR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ala Outubro-2022"/>
      <sheetName val="Escala Novembro-2022"/>
      <sheetName val="Escala Dezembro-2022"/>
      <sheetName val="JAN a Abril-2023"/>
      <sheetName val="Escala Maio-2023"/>
      <sheetName val="Escala Junho-2023"/>
      <sheetName val="Reunião com Secretário 05-07-23"/>
      <sheetName val="Escala Julho-2023"/>
      <sheetName val="Escala Agosto-2023"/>
      <sheetName val="Escala Setembro-2023"/>
      <sheetName val="Escala Outubro-2023"/>
      <sheetName val="Escala Novembro-2023"/>
      <sheetName val="Escala Dezembro-2023"/>
      <sheetName val="ESCALA 2023"/>
      <sheetName val="SOMA DE VISITAS 2022+2023"/>
      <sheetName val="AVALIAÇÃO GLOBAL"/>
      <sheetName val="MÉTRICA PROPOSTA"/>
      <sheetName val="ENDEREÇOS E RESUMO "/>
      <sheetName val="VISITAS AO HM 2023"/>
      <sheetName val="VISITAS EXTRAORDINÁRIAS"/>
      <sheetName val="ÓBITOS HM"/>
      <sheetName val="Planilha2"/>
      <sheetName val="Planilha3"/>
      <sheetName val="MSG WHATSAPP"/>
      <sheetName val="Resumo Corrigido"/>
      <sheetName val="Check-List"/>
      <sheetName val="Resumo Unidades"/>
      <sheetName val="UBS X AF"/>
      <sheetName val="Estrutura ComSaúde 22-25"/>
      <sheetName val="Unidades de Saúde Americana"/>
      <sheetName val="FREQUÊNCIA"/>
      <sheetName val="Região por Conselheiro"/>
      <sheetName val="Relatório Padrão de Visita"/>
      <sheetName val="CHECKLIST REVISADO"/>
      <sheetName val="Sugestão chek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44">
          <cell r="E44" t="str">
            <v>UPA São José</v>
          </cell>
        </row>
        <row r="45">
          <cell r="E45" t="str">
            <v>UPA - Bairro Antonio Zanaga</v>
          </cell>
        </row>
      </sheetData>
      <sheetData sheetId="25" refreshError="1"/>
      <sheetData sheetId="26" refreshError="1">
        <row r="40">
          <cell r="E40" t="str">
            <v>Núcleo de Especialidades de Americana</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64B0AD8-E19C-4E5C-B3C3-DF8347899873}" name="Tabela8" displayName="Tabela8" ref="A1:N34" totalsRowShown="0" headerRowBorderDxfId="165" tableBorderDxfId="164" totalsRowBorderDxfId="163">
  <autoFilter ref="A1:N34" xr:uid="{164B0AD8-E19C-4E5C-B3C3-DF8347899873}"/>
  <tableColumns count="14">
    <tableColumn id="1" xr3:uid="{C91721AB-C1A6-4941-83C2-F628208E0DC5}" name="estabelecimento" dataDxfId="162"/>
    <tableColumn id="2" xr3:uid="{B79B2CFF-1769-445C-93E9-4D74C7D18536}" name="pontos_inf_fis" dataDxfId="161">
      <calculatedColumnFormula>'Performance Unidades 2023'!C7</calculatedColumnFormula>
    </tableColumn>
    <tableColumn id="3" xr3:uid="{C39F1C08-6726-4F72-BAB8-C42E058F2A6B}" name="%inf_fis" dataDxfId="160" dataCellStyle="Porcentagem">
      <calculatedColumnFormula>'Performance Unidades 2023'!D7</calculatedColumnFormula>
    </tableColumn>
    <tableColumn id="4" xr3:uid="{7729D520-DB7B-43C9-9D3D-F9014556B543}" name="com_inf_fis" dataDxfId="159">
      <calculatedColumnFormula>'Performance Unidades 2023'!E7</calculatedColumnFormula>
    </tableColumn>
    <tableColumn id="5" xr3:uid="{1D3D2D3F-9572-4B56-8EF9-50F6A6B29496}" name="pontos_inf_hum" dataDxfId="158">
      <calculatedColumnFormula>'Performance Unidades 2023'!F7</calculatedColumnFormula>
    </tableColumn>
    <tableColumn id="6" xr3:uid="{6C805101-BE78-483D-8FF2-65422B037789}" name="%inf_hum" dataDxfId="157" dataCellStyle="Porcentagem">
      <calculatedColumnFormula>'Performance Unidades 2023'!G7</calculatedColumnFormula>
    </tableColumn>
    <tableColumn id="7" xr3:uid="{723EBCCA-CD2E-4CF7-86D3-D4A0E43D2A77}" name="com_inf_hum" dataDxfId="156">
      <calculatedColumnFormula>'Performance Unidades 2023'!H7</calculatedColumnFormula>
    </tableColumn>
    <tableColumn id="8" xr3:uid="{04AD94C6-580B-4A8F-85CA-0BDC5BD8859C}" name="pontos_plano_mun" dataDxfId="155">
      <calculatedColumnFormula>'Performance Unidades 2023'!I7</calculatedColumnFormula>
    </tableColumn>
    <tableColumn id="9" xr3:uid="{524DA263-3215-408D-A28D-51658D37C9F8}" name="%plano_mun" dataDxfId="154" dataCellStyle="Porcentagem">
      <calculatedColumnFormula>'Performance Unidades 2023'!J7</calculatedColumnFormula>
    </tableColumn>
    <tableColumn id="10" xr3:uid="{35A812C4-A4B8-40C1-9D72-0DF2CEA110E9}" name="com_plano_mun" dataDxfId="153">
      <calculatedColumnFormula>'Performance Unidades 2023'!K7</calculatedColumnFormula>
    </tableColumn>
    <tableColumn id="11" xr3:uid="{739729F4-729A-4AA9-A52D-FE8FF83643CB}" name="pontos_perc_usu" dataDxfId="152">
      <calculatedColumnFormula>'Performance Unidades 2023'!L7</calculatedColumnFormula>
    </tableColumn>
    <tableColumn id="12" xr3:uid="{5CFC756A-C417-4DF7-ACFE-6C688717AE34}" name="%perc_usu" dataDxfId="151" dataCellStyle="Porcentagem">
      <calculatedColumnFormula>'Performance Unidades 2023'!M7</calculatedColumnFormula>
    </tableColumn>
    <tableColumn id="13" xr3:uid="{E5CA5FAD-0640-42F4-8954-19F1DEDDC1EA}" name="com_perc_usu" dataDxfId="150">
      <calculatedColumnFormula>'Performance Unidades 2023'!N7</calculatedColumnFormula>
    </tableColumn>
    <tableColumn id="14" xr3:uid="{59DB1621-A8A5-4CBD-BD5D-F8731F20E856}" name="TOTAL" dataDxfId="149" dataCellStyle="Porcentagem">
      <calculatedColumnFormula>'Performance Unidades 2023'!O7</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E41D51-DB16-4BCF-98EA-C047D66DB5B6}" name="Tabela1" displayName="Tabela1" ref="A1:B34" totalsRowShown="0">
  <autoFilter ref="A1:B34" xr:uid="{42E41D51-DB16-4BCF-98EA-C047D66DB5B6}"/>
  <tableColumns count="2">
    <tableColumn id="1" xr3:uid="{3E1E5C5B-ED9B-4B0C-B317-7D55C8E7AF6A}" name="Estabelecimentos " dataDxfId="148"/>
    <tableColumn id="2" xr3:uid="{98DCCE23-B733-4362-A713-A3EF679166C8}" name="situação" dataDxfId="14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0E757B-A599-4725-8383-146AE73C1F46}" name="Tabela134" displayName="Tabela134" ref="A37:B57" totalsRowShown="0">
  <autoFilter ref="A37:B57" xr:uid="{110E757B-A599-4725-8383-146AE73C1F46}">
    <filterColumn colId="1">
      <filters>
        <filter val="verde"/>
      </filters>
    </filterColumn>
  </autoFilter>
  <tableColumns count="2">
    <tableColumn id="1" xr3:uid="{015D9963-5454-41C0-AA4B-45FC84983065}" name="Estabelecimentos " dataDxfId="146"/>
    <tableColumn id="2" xr3:uid="{EEE7E087-4044-4D53-96E4-40B7CBF14CD9}" name="Total" dataDxfId="14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A80664-00C9-4445-A77B-D2FB77166DC2}" name="Tabela1345" displayName="Tabela1345" ref="A60:B80" totalsRowShown="0">
  <autoFilter ref="A60:B80" xr:uid="{10A80664-00C9-4445-A77B-D2FB77166DC2}"/>
  <tableColumns count="2">
    <tableColumn id="1" xr3:uid="{B3285F52-9CA4-42C3-A955-90B2A3A73A48}" name="Estabelecimentos " dataDxfId="144"/>
    <tableColumn id="2" xr3:uid="{FBDC0CBF-AC8D-4878-8C82-019B4A8E6A11}" name="Físico" dataDxfId="14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9E6493-5515-4B98-8B4A-EBA452BD8DF2}" name="Tabela13456" displayName="Tabela13456" ref="A83:B103" totalsRowShown="0">
  <autoFilter ref="A83:B103" xr:uid="{439E6493-5515-4B98-8B4A-EBA452BD8DF2}"/>
  <tableColumns count="2">
    <tableColumn id="1" xr3:uid="{3FBDF49E-08C4-464C-BAE9-7686AB3E2E7E}" name="Estabelecimentos " dataDxfId="142"/>
    <tableColumn id="2" xr3:uid="{722FAB98-F093-40DF-8FB5-67337F100EE7}" name="Humano" dataDxfId="14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4AB8D5F-4E9C-47F5-9651-07E6B3BBCF49}" name="Tabela1347" displayName="Tabela1347" ref="E1:F21" totalsRowShown="0">
  <autoFilter ref="E1:F21" xr:uid="{04AB8D5F-4E9C-47F5-9651-07E6B3BBCF49}"/>
  <tableColumns count="2">
    <tableColumn id="1" xr3:uid="{A48DC98D-CEDA-4405-A6C0-01F9B6B76AA6}" name="Estabelecimentos " dataDxfId="140"/>
    <tableColumn id="2" xr3:uid="{4B05AC6A-7373-477A-81B3-9F273E648BE7}" name="Usuário" dataDxfId="13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3EF53C-FDAB-4B04-8E66-B437D0C3EA3F}" name="Tabela134568" displayName="Tabela134568" ref="A106:B126" totalsRowShown="0">
  <autoFilter ref="A106:B126" xr:uid="{C53EF53C-FDAB-4B04-8E66-B437D0C3EA3F}"/>
  <tableColumns count="2">
    <tableColumn id="1" xr3:uid="{FEEDA663-47D4-4A2E-BFA3-0E60487697D4}" name="Estabelecimentos " dataDxfId="138"/>
    <tableColumn id="2" xr3:uid="{B58984E3-2EA7-4B94-8C51-6F6424FDDD5E}" name="Plano" dataDxfId="137"/>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E7636-3A15-41F4-9A54-6B92C622086C}">
  <dimension ref="A1:J27"/>
  <sheetViews>
    <sheetView topLeftCell="A16" workbookViewId="0">
      <selection activeCell="H25" sqref="H25"/>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8"/>
      <c r="I4" s="95">
        <v>2</v>
      </c>
      <c r="J4" s="105">
        <f>SUM(G4:I10)</f>
        <v>14</v>
      </c>
    </row>
    <row r="5" spans="1:10" ht="52.15" customHeight="1" x14ac:dyDescent="0.25">
      <c r="A5" s="90" t="s">
        <v>11</v>
      </c>
      <c r="B5" s="7" t="s">
        <v>17</v>
      </c>
      <c r="C5" s="8" t="s">
        <v>18</v>
      </c>
      <c r="D5" s="8" t="s">
        <v>19</v>
      </c>
      <c r="E5" s="91" t="s">
        <v>15</v>
      </c>
      <c r="F5" s="91" t="s">
        <v>16</v>
      </c>
      <c r="G5" s="8"/>
      <c r="H5" s="8"/>
      <c r="I5" s="95">
        <v>2</v>
      </c>
      <c r="J5" s="105"/>
    </row>
    <row r="6" spans="1:10" ht="44.65" customHeight="1" x14ac:dyDescent="0.25">
      <c r="A6" s="90" t="s">
        <v>11</v>
      </c>
      <c r="B6" s="7" t="s">
        <v>20</v>
      </c>
      <c r="C6" s="8"/>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8"/>
      <c r="I8" s="95">
        <v>2</v>
      </c>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8"/>
      <c r="I10" s="95">
        <v>2</v>
      </c>
      <c r="J10" s="105"/>
    </row>
    <row r="11" spans="1:10" ht="117.6" customHeight="1" x14ac:dyDescent="0.25">
      <c r="A11" s="90" t="s">
        <v>35</v>
      </c>
      <c r="B11" s="7" t="s">
        <v>36</v>
      </c>
      <c r="C11" s="8" t="s">
        <v>37</v>
      </c>
      <c r="D11" s="8" t="s">
        <v>38</v>
      </c>
      <c r="E11" s="8" t="s">
        <v>39</v>
      </c>
      <c r="F11" s="8" t="s">
        <v>40</v>
      </c>
      <c r="G11" s="8"/>
      <c r="H11" s="8"/>
      <c r="I11" s="95">
        <v>2</v>
      </c>
      <c r="J11" s="105">
        <f>SUM(G11:I14)</f>
        <v>8</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8"/>
      <c r="I13" s="95">
        <v>2</v>
      </c>
      <c r="J13" s="105"/>
    </row>
    <row r="14" spans="1:10" ht="93.6" customHeight="1" x14ac:dyDescent="0.25">
      <c r="A14" s="90" t="s">
        <v>35</v>
      </c>
      <c r="B14" s="7" t="s">
        <v>49</v>
      </c>
      <c r="C14" s="8" t="s">
        <v>50</v>
      </c>
      <c r="D14" s="8" t="s">
        <v>51</v>
      </c>
      <c r="E14" s="8" t="s">
        <v>52</v>
      </c>
      <c r="F14" s="8" t="s">
        <v>40</v>
      </c>
      <c r="G14" s="8"/>
      <c r="H14" s="8"/>
      <c r="I14" s="95">
        <v>2</v>
      </c>
      <c r="J14" s="105"/>
    </row>
    <row r="15" spans="1:10" ht="78.599999999999994" customHeight="1" x14ac:dyDescent="0.25">
      <c r="A15" s="9" t="s">
        <v>53</v>
      </c>
      <c r="B15" s="7" t="s">
        <v>54</v>
      </c>
      <c r="C15" s="8" t="s">
        <v>55</v>
      </c>
      <c r="D15" s="11" t="s">
        <v>56</v>
      </c>
      <c r="E15" s="8" t="s">
        <v>57</v>
      </c>
      <c r="F15" s="8" t="s">
        <v>58</v>
      </c>
      <c r="G15" s="8"/>
      <c r="H15" s="8"/>
      <c r="I15" s="95">
        <v>2</v>
      </c>
      <c r="J15" s="10">
        <f>SUM(G15:I15)</f>
        <v>2</v>
      </c>
    </row>
    <row r="16" spans="1:10" ht="65.650000000000006" customHeight="1" x14ac:dyDescent="0.25">
      <c r="A16" s="90" t="s">
        <v>59</v>
      </c>
      <c r="B16" s="7" t="s">
        <v>60</v>
      </c>
      <c r="C16" s="8" t="s">
        <v>61</v>
      </c>
      <c r="D16" s="8" t="s">
        <v>62</v>
      </c>
      <c r="E16" s="8" t="s">
        <v>63</v>
      </c>
      <c r="F16" s="8" t="s">
        <v>58</v>
      </c>
      <c r="G16" s="8"/>
      <c r="H16" s="8"/>
      <c r="I16" s="95">
        <v>2</v>
      </c>
      <c r="J16" s="105">
        <f>SUM(G16:I17)</f>
        <v>4</v>
      </c>
    </row>
    <row r="17" spans="1:10" ht="67.150000000000006" customHeight="1" x14ac:dyDescent="0.25">
      <c r="A17" s="90" t="s">
        <v>59</v>
      </c>
      <c r="B17" s="7" t="s">
        <v>64</v>
      </c>
      <c r="C17" s="8" t="s">
        <v>65</v>
      </c>
      <c r="D17" s="8" t="s">
        <v>66</v>
      </c>
      <c r="E17" s="8" t="s">
        <v>67</v>
      </c>
      <c r="F17" s="8" t="s">
        <v>40</v>
      </c>
      <c r="G17" s="8"/>
      <c r="H17" s="8"/>
      <c r="I17" s="95">
        <v>2</v>
      </c>
      <c r="J17" s="105"/>
    </row>
    <row r="18" spans="1:10" ht="15" customHeight="1" thickBot="1" x14ac:dyDescent="0.3">
      <c r="A18" s="106" t="s">
        <v>371</v>
      </c>
      <c r="B18" s="106"/>
      <c r="C18" s="106"/>
      <c r="D18" s="106"/>
      <c r="E18" s="106"/>
      <c r="F18" s="107"/>
      <c r="G18" s="14"/>
      <c r="H18" s="14">
        <f t="shared" ref="H18" si="0">SUM(H4:H17)</f>
        <v>0</v>
      </c>
      <c r="I18" s="14">
        <f>SUM(I4:I17)</f>
        <v>28</v>
      </c>
      <c r="J18" s="14">
        <f>SUM(J4:J17)</f>
        <v>28</v>
      </c>
    </row>
    <row r="21" spans="1:10" ht="15.75" thickBot="1" x14ac:dyDescent="0.3"/>
    <row r="22" spans="1:10" ht="64.5" thickBot="1" x14ac:dyDescent="0.3">
      <c r="A22" s="1" t="s">
        <v>69</v>
      </c>
      <c r="B22" s="2" t="s">
        <v>70</v>
      </c>
      <c r="C22" s="2" t="s">
        <v>71</v>
      </c>
      <c r="D22" s="2" t="s">
        <v>72</v>
      </c>
      <c r="E22" s="102" t="s">
        <v>254</v>
      </c>
      <c r="F22" s="13" t="s">
        <v>73</v>
      </c>
      <c r="G22" s="13" t="s">
        <v>74</v>
      </c>
      <c r="H22" s="13" t="s">
        <v>75</v>
      </c>
    </row>
    <row r="23" spans="1:10" ht="64.5" thickBot="1" x14ac:dyDescent="0.3">
      <c r="A23" s="3" t="s">
        <v>76</v>
      </c>
      <c r="B23" s="5">
        <v>7</v>
      </c>
      <c r="C23" s="5">
        <v>14</v>
      </c>
      <c r="D23" s="4">
        <v>0.25</v>
      </c>
      <c r="E23" s="103"/>
      <c r="F23" s="5">
        <v>14</v>
      </c>
      <c r="G23" s="12">
        <f>F23/C23</f>
        <v>1</v>
      </c>
      <c r="H23" s="4">
        <f>G23*D23</f>
        <v>0.25</v>
      </c>
    </row>
    <row r="24" spans="1:10" ht="39" thickBot="1" x14ac:dyDescent="0.3">
      <c r="A24" s="3" t="s">
        <v>77</v>
      </c>
      <c r="B24" s="5">
        <v>4</v>
      </c>
      <c r="C24" s="5">
        <v>8</v>
      </c>
      <c r="D24" s="4">
        <v>0.25</v>
      </c>
      <c r="E24" s="103"/>
      <c r="F24" s="5">
        <v>8</v>
      </c>
      <c r="G24" s="12">
        <f t="shared" ref="G24:G25" si="1">F24/C24</f>
        <v>1</v>
      </c>
      <c r="H24" s="4">
        <f>G24*D24</f>
        <v>0.25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t="s">
        <v>372</v>
      </c>
      <c r="G26" s="12"/>
      <c r="H26" s="4"/>
    </row>
    <row r="27" spans="1:10" ht="16.5" thickBot="1" x14ac:dyDescent="0.3">
      <c r="A27" s="15" t="s">
        <v>80</v>
      </c>
      <c r="B27" s="16">
        <f>SUM(B23:B26)</f>
        <v>14</v>
      </c>
      <c r="C27" s="16">
        <f>SUM(C23:C26)</f>
        <v>28</v>
      </c>
      <c r="D27" s="17">
        <f>SUM(D23:D26)</f>
        <v>1</v>
      </c>
      <c r="E27" s="104"/>
      <c r="F27" s="16">
        <f>SUM(F23:F26)</f>
        <v>24</v>
      </c>
      <c r="G27" s="16" t="s">
        <v>81</v>
      </c>
      <c r="H27" s="18">
        <f>SUM(H23:H26)</f>
        <v>0.75</v>
      </c>
      <c r="I27" s="100"/>
    </row>
  </sheetData>
  <mergeCells count="6">
    <mergeCell ref="A1:J1"/>
    <mergeCell ref="E22:E27"/>
    <mergeCell ref="J16:J17"/>
    <mergeCell ref="A18:F18"/>
    <mergeCell ref="J4:J10"/>
    <mergeCell ref="J11:J14"/>
  </mergeCells>
  <conditionalFormatting sqref="G23:H26">
    <cfRule type="cellIs" dxfId="136" priority="1" operator="between">
      <formula>0.8</formula>
      <formula>1</formula>
    </cfRule>
    <cfRule type="cellIs" dxfId="135" priority="2" operator="between">
      <formula>0.41</formula>
      <formula>0.79</formula>
    </cfRule>
    <cfRule type="cellIs" dxfId="134" priority="3" operator="between">
      <formula>0</formula>
      <formula>0.4</formula>
    </cfRule>
  </conditionalFormatting>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EF8E4-89B4-4945-9107-E6DA28A1A37D}">
  <dimension ref="A1:J27"/>
  <sheetViews>
    <sheetView topLeftCell="A16" workbookViewId="0">
      <selection activeCell="E22" sqref="E22:E27"/>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96">
        <v>1</v>
      </c>
      <c r="I4" s="8"/>
      <c r="J4" s="105">
        <f>SUM(G4:I10)</f>
        <v>11</v>
      </c>
    </row>
    <row r="5" spans="1:10" ht="52.15" customHeight="1" x14ac:dyDescent="0.25">
      <c r="A5" s="90" t="s">
        <v>11</v>
      </c>
      <c r="B5" s="7" t="s">
        <v>17</v>
      </c>
      <c r="C5" s="8" t="s">
        <v>18</v>
      </c>
      <c r="D5" s="8" t="s">
        <v>19</v>
      </c>
      <c r="E5" s="91" t="s">
        <v>15</v>
      </c>
      <c r="F5" s="91" t="s">
        <v>16</v>
      </c>
      <c r="G5" s="8"/>
      <c r="H5" s="8"/>
      <c r="I5" s="95">
        <v>2</v>
      </c>
      <c r="J5" s="105"/>
    </row>
    <row r="6" spans="1:10" ht="44.65" customHeight="1" x14ac:dyDescent="0.25">
      <c r="A6" s="90" t="s">
        <v>11</v>
      </c>
      <c r="B6" s="7" t="s">
        <v>20</v>
      </c>
      <c r="C6" s="8"/>
      <c r="D6" s="8" t="s">
        <v>22</v>
      </c>
      <c r="E6" s="91" t="s">
        <v>15</v>
      </c>
      <c r="F6" s="91" t="s">
        <v>16</v>
      </c>
      <c r="G6" s="8"/>
      <c r="H6" s="96">
        <v>1</v>
      </c>
      <c r="I6" s="8"/>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8"/>
      <c r="I8" s="95">
        <v>2</v>
      </c>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96">
        <v>1</v>
      </c>
      <c r="I10" s="8"/>
      <c r="J10" s="105"/>
    </row>
    <row r="11" spans="1:10" ht="117.6" customHeight="1" x14ac:dyDescent="0.25">
      <c r="A11" s="90" t="s">
        <v>35</v>
      </c>
      <c r="B11" s="7" t="s">
        <v>36</v>
      </c>
      <c r="C11" s="8" t="s">
        <v>37</v>
      </c>
      <c r="D11" s="8" t="s">
        <v>38</v>
      </c>
      <c r="E11" s="8" t="s">
        <v>39</v>
      </c>
      <c r="F11" s="8" t="s">
        <v>40</v>
      </c>
      <c r="G11" s="8"/>
      <c r="H11" s="8"/>
      <c r="I11" s="95">
        <v>2</v>
      </c>
      <c r="J11" s="105">
        <f>SUM(G11:I14)</f>
        <v>8</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8"/>
      <c r="I13" s="95">
        <v>2</v>
      </c>
      <c r="J13" s="105"/>
    </row>
    <row r="14" spans="1:10" ht="93.6" customHeight="1" x14ac:dyDescent="0.25">
      <c r="A14" s="90" t="s">
        <v>35</v>
      </c>
      <c r="B14" s="7" t="s">
        <v>49</v>
      </c>
      <c r="C14" s="8" t="s">
        <v>50</v>
      </c>
      <c r="D14" s="8" t="s">
        <v>51</v>
      </c>
      <c r="E14" s="8" t="s">
        <v>52</v>
      </c>
      <c r="F14" s="8" t="s">
        <v>40</v>
      </c>
      <c r="G14" s="8"/>
      <c r="H14" s="8"/>
      <c r="I14" s="95">
        <v>2</v>
      </c>
      <c r="J14" s="105"/>
    </row>
    <row r="15" spans="1:10" ht="78.599999999999994" customHeight="1" x14ac:dyDescent="0.25">
      <c r="A15" s="9" t="s">
        <v>53</v>
      </c>
      <c r="B15" s="7" t="s">
        <v>54</v>
      </c>
      <c r="C15" s="8" t="s">
        <v>55</v>
      </c>
      <c r="D15" s="11" t="s">
        <v>56</v>
      </c>
      <c r="E15" s="8" t="s">
        <v>57</v>
      </c>
      <c r="F15" s="8" t="s">
        <v>58</v>
      </c>
      <c r="G15" s="8"/>
      <c r="H15" s="8"/>
      <c r="I15" s="95">
        <v>2</v>
      </c>
      <c r="J15" s="10">
        <f>SUM(G15:I15)</f>
        <v>2</v>
      </c>
    </row>
    <row r="16" spans="1:10" ht="65.650000000000006" customHeight="1" x14ac:dyDescent="0.25">
      <c r="A16" s="90" t="s">
        <v>59</v>
      </c>
      <c r="B16" s="7" t="s">
        <v>60</v>
      </c>
      <c r="C16" s="8" t="s">
        <v>61</v>
      </c>
      <c r="D16" s="8" t="s">
        <v>62</v>
      </c>
      <c r="E16" s="8" t="s">
        <v>63</v>
      </c>
      <c r="F16" s="8" t="s">
        <v>58</v>
      </c>
      <c r="G16" s="8"/>
      <c r="H16" s="96">
        <v>1</v>
      </c>
      <c r="I16" s="8"/>
      <c r="J16" s="105">
        <f>SUM(G16:I17)</f>
        <v>3</v>
      </c>
    </row>
    <row r="17" spans="1:10" ht="67.150000000000006" customHeight="1" x14ac:dyDescent="0.25">
      <c r="A17" s="90" t="s">
        <v>59</v>
      </c>
      <c r="B17" s="7" t="s">
        <v>64</v>
      </c>
      <c r="C17" s="8" t="s">
        <v>65</v>
      </c>
      <c r="D17" s="8" t="s">
        <v>66</v>
      </c>
      <c r="E17" s="8" t="s">
        <v>67</v>
      </c>
      <c r="F17" s="8" t="s">
        <v>40</v>
      </c>
      <c r="G17" s="8"/>
      <c r="H17" s="8"/>
      <c r="I17" s="95">
        <v>2</v>
      </c>
      <c r="J17" s="105"/>
    </row>
    <row r="18" spans="1:10" ht="15" customHeight="1" thickBot="1" x14ac:dyDescent="0.3">
      <c r="A18" s="106" t="s">
        <v>285</v>
      </c>
      <c r="B18" s="106"/>
      <c r="C18" s="106"/>
      <c r="D18" s="106"/>
      <c r="E18" s="106"/>
      <c r="F18" s="107"/>
      <c r="G18" s="14"/>
      <c r="H18" s="14">
        <f t="shared" ref="H18" si="0">SUM(H4:H17)</f>
        <v>4</v>
      </c>
      <c r="I18" s="14">
        <f>SUM(I4:I17)</f>
        <v>20</v>
      </c>
      <c r="J18" s="14">
        <f>SUM(J4:J17)</f>
        <v>24</v>
      </c>
    </row>
    <row r="21" spans="1:10" ht="15.75" thickBot="1" x14ac:dyDescent="0.3"/>
    <row r="22" spans="1:10" ht="64.5" thickBot="1" x14ac:dyDescent="0.3">
      <c r="A22" s="1" t="s">
        <v>69</v>
      </c>
      <c r="B22" s="2" t="s">
        <v>70</v>
      </c>
      <c r="C22" s="2" t="s">
        <v>71</v>
      </c>
      <c r="D22" s="2" t="s">
        <v>72</v>
      </c>
      <c r="E22" s="102" t="s">
        <v>359</v>
      </c>
      <c r="F22" s="13" t="s">
        <v>73</v>
      </c>
      <c r="G22" s="13" t="s">
        <v>74</v>
      </c>
      <c r="H22" s="13" t="s">
        <v>75</v>
      </c>
    </row>
    <row r="23" spans="1:10" ht="64.5" thickBot="1" x14ac:dyDescent="0.3">
      <c r="A23" s="3" t="s">
        <v>76</v>
      </c>
      <c r="B23" s="5">
        <v>7</v>
      </c>
      <c r="C23" s="5">
        <v>14</v>
      </c>
      <c r="D23" s="4">
        <v>0.25</v>
      </c>
      <c r="E23" s="103"/>
      <c r="F23" s="5">
        <v>11</v>
      </c>
      <c r="G23" s="12">
        <f>F23/C23</f>
        <v>0.7857142857142857</v>
      </c>
      <c r="H23" s="4">
        <f>G23*D23</f>
        <v>0.19642857142857142</v>
      </c>
    </row>
    <row r="24" spans="1:10" ht="39" thickBot="1" x14ac:dyDescent="0.3">
      <c r="A24" s="3" t="s">
        <v>77</v>
      </c>
      <c r="B24" s="5">
        <v>4</v>
      </c>
      <c r="C24" s="5">
        <v>8</v>
      </c>
      <c r="D24" s="4">
        <v>0.25</v>
      </c>
      <c r="E24" s="103"/>
      <c r="F24" s="5">
        <v>8</v>
      </c>
      <c r="G24" s="12">
        <f t="shared" ref="G24:G26" si="1">F24/C24</f>
        <v>1</v>
      </c>
      <c r="H24" s="4">
        <f>G24*D24</f>
        <v>0.25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3</v>
      </c>
      <c r="G26" s="12">
        <f t="shared" si="1"/>
        <v>0.75</v>
      </c>
      <c r="H26" s="4">
        <f>G26*D26</f>
        <v>0.1875</v>
      </c>
    </row>
    <row r="27" spans="1:10" ht="16.5" thickBot="1" x14ac:dyDescent="0.3">
      <c r="A27" s="15" t="s">
        <v>80</v>
      </c>
      <c r="B27" s="16">
        <f>SUM(B23:B26)</f>
        <v>14</v>
      </c>
      <c r="C27" s="16">
        <f>SUM(C23:C26)</f>
        <v>28</v>
      </c>
      <c r="D27" s="17">
        <f>SUM(D23:D26)</f>
        <v>1</v>
      </c>
      <c r="E27" s="104"/>
      <c r="F27" s="16">
        <f>SUM(F23:F26)</f>
        <v>24</v>
      </c>
      <c r="G27" s="16" t="s">
        <v>81</v>
      </c>
      <c r="H27" s="18">
        <f>SUM(H23:H26)</f>
        <v>0.8839285714285714</v>
      </c>
    </row>
  </sheetData>
  <mergeCells count="6">
    <mergeCell ref="E22:E27"/>
    <mergeCell ref="A1:J1"/>
    <mergeCell ref="J4:J10"/>
    <mergeCell ref="J11:J14"/>
    <mergeCell ref="J16:J17"/>
    <mergeCell ref="A18:F18"/>
  </mergeCells>
  <conditionalFormatting sqref="G23:H26">
    <cfRule type="cellIs" dxfId="133" priority="1" operator="between">
      <formula>0.8</formula>
      <formula>1</formula>
    </cfRule>
    <cfRule type="cellIs" dxfId="132" priority="2" operator="between">
      <formula>0.41</formula>
      <formula>0.79</formula>
    </cfRule>
    <cfRule type="cellIs" dxfId="131" priority="3" operator="between">
      <formula>0</formula>
      <formula>0.4</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144B0-7BA3-4DE7-978D-31AE38C00622}">
  <dimension ref="A1:J27"/>
  <sheetViews>
    <sheetView topLeftCell="B16" workbookViewId="0">
      <selection activeCell="E22" sqref="E22:E27"/>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305</v>
      </c>
      <c r="D4" s="8" t="s">
        <v>306</v>
      </c>
      <c r="E4" s="91" t="s">
        <v>307</v>
      </c>
      <c r="F4" s="91" t="s">
        <v>16</v>
      </c>
      <c r="G4" s="8"/>
      <c r="H4" s="96">
        <v>1</v>
      </c>
      <c r="I4" s="8"/>
      <c r="J4" s="105">
        <f>SUM(G4:I10)</f>
        <v>11</v>
      </c>
    </row>
    <row r="5" spans="1:10" ht="52.15" customHeight="1" x14ac:dyDescent="0.25">
      <c r="A5" s="90" t="s">
        <v>11</v>
      </c>
      <c r="B5" s="7" t="s">
        <v>17</v>
      </c>
      <c r="C5" s="8" t="s">
        <v>309</v>
      </c>
      <c r="D5" s="8" t="s">
        <v>308</v>
      </c>
      <c r="E5" s="91" t="s">
        <v>15</v>
      </c>
      <c r="F5" s="91" t="s">
        <v>16</v>
      </c>
      <c r="G5" s="8"/>
      <c r="H5" s="8"/>
      <c r="I5" s="95">
        <v>2</v>
      </c>
      <c r="J5" s="105"/>
    </row>
    <row r="6" spans="1:10" ht="44.65" customHeight="1" x14ac:dyDescent="0.25">
      <c r="A6" s="90" t="s">
        <v>11</v>
      </c>
      <c r="B6" s="7" t="s">
        <v>20</v>
      </c>
      <c r="C6" s="8" t="s">
        <v>310</v>
      </c>
      <c r="D6" s="8" t="s">
        <v>311</v>
      </c>
      <c r="E6" s="91" t="s">
        <v>15</v>
      </c>
      <c r="F6" s="91" t="s">
        <v>16</v>
      </c>
      <c r="G6" s="8"/>
      <c r="H6" s="96">
        <v>1</v>
      </c>
      <c r="I6" s="8"/>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8"/>
      <c r="I8" s="95">
        <v>2</v>
      </c>
      <c r="J8" s="105"/>
    </row>
    <row r="9" spans="1:10" ht="44.65" customHeight="1" x14ac:dyDescent="0.25">
      <c r="A9" s="90" t="s">
        <v>11</v>
      </c>
      <c r="B9" s="7" t="s">
        <v>29</v>
      </c>
      <c r="C9" s="8" t="s">
        <v>312</v>
      </c>
      <c r="D9" s="8" t="s">
        <v>313</v>
      </c>
      <c r="E9" s="91" t="s">
        <v>314</v>
      </c>
      <c r="F9" s="91" t="s">
        <v>315</v>
      </c>
      <c r="G9" s="8"/>
      <c r="H9" s="8"/>
      <c r="I9" s="95">
        <v>2</v>
      </c>
      <c r="J9" s="105"/>
    </row>
    <row r="10" spans="1:10" ht="76.5" customHeight="1" x14ac:dyDescent="0.25">
      <c r="A10" s="90" t="s">
        <v>11</v>
      </c>
      <c r="B10" s="7" t="s">
        <v>32</v>
      </c>
      <c r="C10" s="8" t="s">
        <v>33</v>
      </c>
      <c r="D10" s="8" t="s">
        <v>316</v>
      </c>
      <c r="E10" s="91" t="s">
        <v>15</v>
      </c>
      <c r="F10" s="91" t="s">
        <v>16</v>
      </c>
      <c r="G10" s="8"/>
      <c r="H10" s="96">
        <v>1</v>
      </c>
      <c r="I10" s="8"/>
      <c r="J10" s="105"/>
    </row>
    <row r="11" spans="1:10" ht="117.6" customHeight="1" x14ac:dyDescent="0.25">
      <c r="A11" s="90" t="s">
        <v>35</v>
      </c>
      <c r="B11" s="7" t="s">
        <v>36</v>
      </c>
      <c r="C11" s="8" t="s">
        <v>37</v>
      </c>
      <c r="D11" s="8" t="s">
        <v>317</v>
      </c>
      <c r="E11" s="8" t="s">
        <v>318</v>
      </c>
      <c r="F11" s="8" t="s">
        <v>40</v>
      </c>
      <c r="G11" s="8"/>
      <c r="H11" s="8"/>
      <c r="I11" s="95">
        <v>2</v>
      </c>
      <c r="J11" s="105">
        <f>SUM(G11:I14)</f>
        <v>7</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319</v>
      </c>
      <c r="D13" t="s">
        <v>320</v>
      </c>
      <c r="E13" s="8"/>
      <c r="F13" s="8" t="s">
        <v>40</v>
      </c>
      <c r="G13" s="8"/>
      <c r="H13" s="8"/>
      <c r="I13" s="95">
        <v>2</v>
      </c>
      <c r="J13" s="105"/>
    </row>
    <row r="14" spans="1:10" ht="93.6" customHeight="1" x14ac:dyDescent="0.25">
      <c r="A14" s="90" t="s">
        <v>35</v>
      </c>
      <c r="B14" s="7" t="s">
        <v>49</v>
      </c>
      <c r="C14" s="8" t="s">
        <v>321</v>
      </c>
      <c r="D14" s="8" t="s">
        <v>322</v>
      </c>
      <c r="E14" s="8" t="s">
        <v>323</v>
      </c>
      <c r="F14" s="8" t="s">
        <v>40</v>
      </c>
      <c r="G14" s="8"/>
      <c r="H14" s="96">
        <v>1</v>
      </c>
      <c r="I14" s="8"/>
      <c r="J14" s="105"/>
    </row>
    <row r="15" spans="1:10" ht="78.599999999999994" customHeight="1" x14ac:dyDescent="0.25">
      <c r="A15" s="9" t="s">
        <v>53</v>
      </c>
      <c r="B15" s="7" t="s">
        <v>54</v>
      </c>
      <c r="C15" s="8" t="s">
        <v>55</v>
      </c>
      <c r="D15" s="11" t="s">
        <v>56</v>
      </c>
      <c r="E15" s="8" t="s">
        <v>57</v>
      </c>
      <c r="F15" s="8" t="s">
        <v>58</v>
      </c>
      <c r="G15" s="8"/>
      <c r="H15" s="96">
        <v>1</v>
      </c>
      <c r="I15" s="8"/>
      <c r="J15" s="10">
        <v>1</v>
      </c>
    </row>
    <row r="16" spans="1:10" ht="65.650000000000006" customHeight="1" x14ac:dyDescent="0.25">
      <c r="A16" s="90" t="s">
        <v>59</v>
      </c>
      <c r="B16" s="7" t="s">
        <v>60</v>
      </c>
      <c r="C16" s="8" t="s">
        <v>61</v>
      </c>
      <c r="D16" s="8" t="s">
        <v>62</v>
      </c>
      <c r="E16" s="8" t="s">
        <v>63</v>
      </c>
      <c r="F16" s="8" t="s">
        <v>58</v>
      </c>
      <c r="G16" s="8"/>
      <c r="H16" s="96">
        <v>1</v>
      </c>
      <c r="I16" s="8"/>
      <c r="J16" s="105">
        <f>SUM(G16:I17)</f>
        <v>2</v>
      </c>
    </row>
    <row r="17" spans="1:10" ht="67.150000000000006" customHeight="1" x14ac:dyDescent="0.25">
      <c r="A17" s="90" t="s">
        <v>59</v>
      </c>
      <c r="B17" s="7" t="s">
        <v>64</v>
      </c>
      <c r="C17" s="8" t="s">
        <v>65</v>
      </c>
      <c r="D17" s="8" t="s">
        <v>324</v>
      </c>
      <c r="E17" s="8" t="s">
        <v>67</v>
      </c>
      <c r="F17" s="8" t="s">
        <v>40</v>
      </c>
      <c r="G17" s="8"/>
      <c r="H17" s="96">
        <v>1</v>
      </c>
      <c r="I17" s="8"/>
      <c r="J17" s="105"/>
    </row>
    <row r="18" spans="1:10" ht="15" customHeight="1" thickBot="1" x14ac:dyDescent="0.3">
      <c r="A18" s="106" t="s">
        <v>286</v>
      </c>
      <c r="B18" s="106"/>
      <c r="C18" s="106"/>
      <c r="D18" s="106"/>
      <c r="E18" s="106"/>
      <c r="F18" s="107"/>
      <c r="G18" s="14"/>
      <c r="H18" s="14">
        <f t="shared" ref="H18" si="0">SUM(H4:H17)</f>
        <v>7</v>
      </c>
      <c r="I18" s="14">
        <f>SUM(I4:I17)</f>
        <v>14</v>
      </c>
      <c r="J18" s="14">
        <f>SUM(J4:J17)</f>
        <v>21</v>
      </c>
    </row>
    <row r="21" spans="1:10" ht="15.75" thickBot="1" x14ac:dyDescent="0.3"/>
    <row r="22" spans="1:10" ht="64.5" thickBot="1" x14ac:dyDescent="0.3">
      <c r="A22" s="1" t="s">
        <v>69</v>
      </c>
      <c r="B22" s="2" t="s">
        <v>70</v>
      </c>
      <c r="C22" s="2" t="s">
        <v>71</v>
      </c>
      <c r="D22" s="2" t="s">
        <v>72</v>
      </c>
      <c r="E22" s="102" t="s">
        <v>360</v>
      </c>
      <c r="F22" s="13" t="s">
        <v>73</v>
      </c>
      <c r="G22" s="13" t="s">
        <v>74</v>
      </c>
      <c r="H22" s="13" t="s">
        <v>75</v>
      </c>
    </row>
    <row r="23" spans="1:10" ht="64.5" thickBot="1" x14ac:dyDescent="0.3">
      <c r="A23" s="3" t="s">
        <v>76</v>
      </c>
      <c r="B23" s="5">
        <v>7</v>
      </c>
      <c r="C23" s="5">
        <v>14</v>
      </c>
      <c r="D23" s="4">
        <v>0.25</v>
      </c>
      <c r="E23" s="103"/>
      <c r="F23" s="5">
        <v>11</v>
      </c>
      <c r="G23" s="12">
        <f>F23/C23</f>
        <v>0.7857142857142857</v>
      </c>
      <c r="H23" s="4">
        <f>G23*D23</f>
        <v>0.19642857142857142</v>
      </c>
    </row>
    <row r="24" spans="1:10" ht="39" thickBot="1" x14ac:dyDescent="0.3">
      <c r="A24" s="3" t="s">
        <v>77</v>
      </c>
      <c r="B24" s="5">
        <v>4</v>
      </c>
      <c r="C24" s="5">
        <v>8</v>
      </c>
      <c r="D24" s="4">
        <v>0.25</v>
      </c>
      <c r="E24" s="103"/>
      <c r="F24" s="5">
        <v>7</v>
      </c>
      <c r="G24" s="12">
        <f t="shared" ref="G24:G26" si="1">F24/C24</f>
        <v>0.875</v>
      </c>
      <c r="H24" s="4">
        <f>G24*D24</f>
        <v>0.21875</v>
      </c>
    </row>
    <row r="25" spans="1:10" ht="64.5" thickBot="1" x14ac:dyDescent="0.3">
      <c r="A25" s="3" t="s">
        <v>78</v>
      </c>
      <c r="B25" s="5">
        <v>1</v>
      </c>
      <c r="C25" s="5">
        <v>2</v>
      </c>
      <c r="D25" s="4">
        <v>0.25</v>
      </c>
      <c r="E25" s="103"/>
      <c r="F25" s="5">
        <v>1</v>
      </c>
      <c r="G25" s="12">
        <f t="shared" si="1"/>
        <v>0.5</v>
      </c>
      <c r="H25" s="4">
        <f>G25*D25</f>
        <v>0.125</v>
      </c>
    </row>
    <row r="26" spans="1:10" ht="26.25" thickBot="1" x14ac:dyDescent="0.3">
      <c r="A26" s="3" t="s">
        <v>79</v>
      </c>
      <c r="B26" s="5">
        <v>2</v>
      </c>
      <c r="C26" s="5">
        <v>4</v>
      </c>
      <c r="D26" s="4">
        <v>0.25</v>
      </c>
      <c r="E26" s="103"/>
      <c r="F26" s="5">
        <v>2</v>
      </c>
      <c r="G26" s="12">
        <f t="shared" si="1"/>
        <v>0.5</v>
      </c>
      <c r="H26" s="4">
        <f>G26*D26</f>
        <v>0.125</v>
      </c>
    </row>
    <row r="27" spans="1:10" ht="16.5" thickBot="1" x14ac:dyDescent="0.3">
      <c r="A27" s="15" t="s">
        <v>80</v>
      </c>
      <c r="B27" s="16">
        <f>SUM(B23:B26)</f>
        <v>14</v>
      </c>
      <c r="C27" s="16">
        <f>SUM(C23:C26)</f>
        <v>28</v>
      </c>
      <c r="D27" s="17">
        <f>SUM(D23:D26)</f>
        <v>1</v>
      </c>
      <c r="E27" s="104"/>
      <c r="F27" s="16">
        <f>SUM(F23:F26)</f>
        <v>21</v>
      </c>
      <c r="G27" s="16" t="s">
        <v>81</v>
      </c>
      <c r="H27" s="18">
        <f>SUM(H23:H26)</f>
        <v>0.6651785714285714</v>
      </c>
    </row>
  </sheetData>
  <mergeCells count="6">
    <mergeCell ref="E22:E27"/>
    <mergeCell ref="A1:J1"/>
    <mergeCell ref="J4:J10"/>
    <mergeCell ref="J11:J14"/>
    <mergeCell ref="J16:J17"/>
    <mergeCell ref="A18:F18"/>
  </mergeCells>
  <conditionalFormatting sqref="G23:H26">
    <cfRule type="cellIs" dxfId="130" priority="1" operator="between">
      <formula>0.8</formula>
      <formula>1</formula>
    </cfRule>
    <cfRule type="cellIs" dxfId="129" priority="2" operator="between">
      <formula>0.41</formula>
      <formula>0.79</formula>
    </cfRule>
    <cfRule type="cellIs" dxfId="128" priority="3" operator="between">
      <formula>0</formula>
      <formula>0.4</formula>
    </cfRule>
  </conditionalFormatting>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5BBDF-F1F9-47BD-96B0-2E47E35A6C9F}">
  <dimension ref="A1:J27"/>
  <sheetViews>
    <sheetView topLeftCell="A16" workbookViewId="0">
      <selection activeCell="F24" sqref="F24"/>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96">
        <v>1</v>
      </c>
      <c r="I4" s="8"/>
      <c r="J4" s="105">
        <f>SUM(G4:I10)</f>
        <v>12</v>
      </c>
    </row>
    <row r="5" spans="1:10" ht="52.15" customHeight="1" x14ac:dyDescent="0.25">
      <c r="A5" s="90" t="s">
        <v>11</v>
      </c>
      <c r="B5" s="7" t="s">
        <v>17</v>
      </c>
      <c r="C5" s="8" t="s">
        <v>18</v>
      </c>
      <c r="D5" s="8" t="s">
        <v>19</v>
      </c>
      <c r="E5" s="91" t="s">
        <v>15</v>
      </c>
      <c r="F5" s="91" t="s">
        <v>16</v>
      </c>
      <c r="G5" s="8"/>
      <c r="H5" s="96">
        <v>1</v>
      </c>
      <c r="I5" s="8"/>
      <c r="J5" s="105"/>
    </row>
    <row r="6" spans="1:10" ht="44.65" customHeight="1" x14ac:dyDescent="0.25">
      <c r="A6" s="90" t="s">
        <v>11</v>
      </c>
      <c r="B6" s="7" t="s">
        <v>20</v>
      </c>
      <c r="C6" s="8"/>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8"/>
      <c r="I8" s="95">
        <v>2</v>
      </c>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8"/>
      <c r="I10" s="95">
        <v>2</v>
      </c>
      <c r="J10" s="105"/>
    </row>
    <row r="11" spans="1:10" ht="117.6" customHeight="1" x14ac:dyDescent="0.25">
      <c r="A11" s="90" t="s">
        <v>35</v>
      </c>
      <c r="B11" s="7" t="s">
        <v>36</v>
      </c>
      <c r="C11" s="8" t="s">
        <v>37</v>
      </c>
      <c r="D11" s="8" t="s">
        <v>38</v>
      </c>
      <c r="E11" s="8" t="s">
        <v>39</v>
      </c>
      <c r="F11" s="8" t="s">
        <v>40</v>
      </c>
      <c r="G11" s="8"/>
      <c r="H11" s="8"/>
      <c r="I11" s="95">
        <v>2</v>
      </c>
      <c r="J11" s="105">
        <f>SUM(G11:I14)</f>
        <v>8</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8"/>
      <c r="I13" s="95">
        <v>2</v>
      </c>
      <c r="J13" s="105"/>
    </row>
    <row r="14" spans="1:10" ht="93.6" customHeight="1" x14ac:dyDescent="0.25">
      <c r="A14" s="90" t="s">
        <v>35</v>
      </c>
      <c r="B14" s="7" t="s">
        <v>49</v>
      </c>
      <c r="C14" s="8" t="s">
        <v>50</v>
      </c>
      <c r="D14" s="8" t="s">
        <v>51</v>
      </c>
      <c r="E14" s="8" t="s">
        <v>52</v>
      </c>
      <c r="F14" s="8" t="s">
        <v>40</v>
      </c>
      <c r="G14" s="8"/>
      <c r="H14" s="8"/>
      <c r="I14" s="95">
        <v>2</v>
      </c>
      <c r="J14" s="105"/>
    </row>
    <row r="15" spans="1:10" ht="78.599999999999994" customHeight="1" x14ac:dyDescent="0.25">
      <c r="A15" s="9" t="s">
        <v>53</v>
      </c>
      <c r="B15" s="7" t="s">
        <v>54</v>
      </c>
      <c r="C15" s="8" t="s">
        <v>55</v>
      </c>
      <c r="D15" s="11" t="s">
        <v>56</v>
      </c>
      <c r="E15" s="8" t="s">
        <v>57</v>
      </c>
      <c r="F15" s="8" t="s">
        <v>58</v>
      </c>
      <c r="G15" s="8"/>
      <c r="H15" s="8"/>
      <c r="I15" s="95">
        <v>2</v>
      </c>
      <c r="J15" s="10">
        <f>SUM(G15:I15)</f>
        <v>2</v>
      </c>
    </row>
    <row r="16" spans="1:10" ht="65.650000000000006" customHeight="1" x14ac:dyDescent="0.25">
      <c r="A16" s="90" t="s">
        <v>59</v>
      </c>
      <c r="B16" s="7" t="s">
        <v>60</v>
      </c>
      <c r="C16" s="8" t="s">
        <v>61</v>
      </c>
      <c r="D16" s="8" t="s">
        <v>62</v>
      </c>
      <c r="E16" s="8" t="s">
        <v>63</v>
      </c>
      <c r="F16" s="8" t="s">
        <v>58</v>
      </c>
      <c r="G16" s="8"/>
      <c r="H16" s="8"/>
      <c r="I16" s="95">
        <v>2</v>
      </c>
      <c r="J16" s="105">
        <f>SUM(G16:I17)</f>
        <v>4</v>
      </c>
    </row>
    <row r="17" spans="1:10" ht="67.150000000000006" customHeight="1" x14ac:dyDescent="0.25">
      <c r="A17" s="90" t="s">
        <v>59</v>
      </c>
      <c r="B17" s="7" t="s">
        <v>64</v>
      </c>
      <c r="C17" s="8" t="s">
        <v>65</v>
      </c>
      <c r="D17" s="8" t="s">
        <v>66</v>
      </c>
      <c r="E17" s="8" t="s">
        <v>67</v>
      </c>
      <c r="F17" s="8" t="s">
        <v>40</v>
      </c>
      <c r="G17" s="8"/>
      <c r="H17" s="8"/>
      <c r="I17" s="95">
        <v>2</v>
      </c>
      <c r="J17" s="105"/>
    </row>
    <row r="18" spans="1:10" ht="15" customHeight="1" thickBot="1" x14ac:dyDescent="0.3">
      <c r="A18" s="106" t="s">
        <v>287</v>
      </c>
      <c r="B18" s="106"/>
      <c r="C18" s="106"/>
      <c r="D18" s="106"/>
      <c r="E18" s="106"/>
      <c r="F18" s="107"/>
      <c r="G18" s="14"/>
      <c r="H18" s="14">
        <f t="shared" ref="H18" si="0">SUM(H4:H17)</f>
        <v>2</v>
      </c>
      <c r="I18" s="14">
        <f>SUM(I4:I17)</f>
        <v>24</v>
      </c>
      <c r="J18" s="14">
        <f>SUM(J4:J17)</f>
        <v>26</v>
      </c>
    </row>
    <row r="21" spans="1:10" ht="15.75" thickBot="1" x14ac:dyDescent="0.3"/>
    <row r="22" spans="1:10" ht="64.5" thickBot="1" x14ac:dyDescent="0.3">
      <c r="A22" s="1" t="s">
        <v>69</v>
      </c>
      <c r="B22" s="2" t="s">
        <v>70</v>
      </c>
      <c r="C22" s="2" t="s">
        <v>71</v>
      </c>
      <c r="D22" s="2" t="s">
        <v>72</v>
      </c>
      <c r="E22" s="102" t="s">
        <v>361</v>
      </c>
      <c r="F22" s="13" t="s">
        <v>73</v>
      </c>
      <c r="G22" s="13" t="s">
        <v>74</v>
      </c>
      <c r="H22" s="13" t="s">
        <v>75</v>
      </c>
    </row>
    <row r="23" spans="1:10" ht="64.5" thickBot="1" x14ac:dyDescent="0.3">
      <c r="A23" s="3" t="s">
        <v>76</v>
      </c>
      <c r="B23" s="5">
        <v>7</v>
      </c>
      <c r="C23" s="5">
        <v>14</v>
      </c>
      <c r="D23" s="4">
        <v>0.25</v>
      </c>
      <c r="E23" s="103"/>
      <c r="F23" s="5">
        <v>12</v>
      </c>
      <c r="G23" s="12">
        <f>F23/C23</f>
        <v>0.8571428571428571</v>
      </c>
      <c r="H23" s="4">
        <f>G23*D23</f>
        <v>0.21428571428571427</v>
      </c>
    </row>
    <row r="24" spans="1:10" ht="39" thickBot="1" x14ac:dyDescent="0.3">
      <c r="A24" s="3" t="s">
        <v>77</v>
      </c>
      <c r="B24" s="5">
        <v>4</v>
      </c>
      <c r="C24" s="5">
        <v>8</v>
      </c>
      <c r="D24" s="4">
        <v>0.25</v>
      </c>
      <c r="E24" s="103"/>
      <c r="F24" s="5">
        <v>8</v>
      </c>
      <c r="G24" s="12">
        <f t="shared" ref="G24:G26" si="1">F24/C24</f>
        <v>1</v>
      </c>
      <c r="H24" s="4">
        <f>G24*D24</f>
        <v>0.25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4</v>
      </c>
      <c r="G26" s="12">
        <f t="shared" si="1"/>
        <v>1</v>
      </c>
      <c r="H26" s="4">
        <f>G26*D26</f>
        <v>0.25</v>
      </c>
    </row>
    <row r="27" spans="1:10" ht="16.5" thickBot="1" x14ac:dyDescent="0.3">
      <c r="A27" s="15" t="s">
        <v>80</v>
      </c>
      <c r="B27" s="16">
        <f>SUM(B23:B26)</f>
        <v>14</v>
      </c>
      <c r="C27" s="16">
        <f>SUM(C23:C26)</f>
        <v>28</v>
      </c>
      <c r="D27" s="17">
        <f>SUM(D23:D26)</f>
        <v>1</v>
      </c>
      <c r="E27" s="104"/>
      <c r="F27" s="16">
        <f>SUM(F23:F26)</f>
        <v>26</v>
      </c>
      <c r="G27" s="16" t="s">
        <v>81</v>
      </c>
      <c r="H27" s="18">
        <f>SUM(H23:H26)</f>
        <v>0.9642857142857143</v>
      </c>
    </row>
  </sheetData>
  <mergeCells count="6">
    <mergeCell ref="E22:E27"/>
    <mergeCell ref="A1:J1"/>
    <mergeCell ref="J4:J10"/>
    <mergeCell ref="J11:J14"/>
    <mergeCell ref="J16:J17"/>
    <mergeCell ref="A18:F18"/>
  </mergeCells>
  <conditionalFormatting sqref="G23:H26">
    <cfRule type="cellIs" dxfId="127" priority="1" operator="between">
      <formula>0.8</formula>
      <formula>1</formula>
    </cfRule>
    <cfRule type="cellIs" dxfId="126" priority="2" operator="between">
      <formula>0.41</formula>
      <formula>0.79</formula>
    </cfRule>
    <cfRule type="cellIs" dxfId="125" priority="3" operator="between">
      <formula>0</formula>
      <formula>0.4</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64E01-97F1-4EE1-A162-830C1C616ED2}">
  <dimension ref="A1:J27"/>
  <sheetViews>
    <sheetView topLeftCell="A16" workbookViewId="0">
      <selection activeCell="F24" sqref="F24"/>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98">
        <v>0</v>
      </c>
      <c r="H4" s="8"/>
      <c r="I4" s="8"/>
      <c r="J4" s="105">
        <f>SUM(G4:I10)</f>
        <v>7</v>
      </c>
    </row>
    <row r="5" spans="1:10" ht="52.15" customHeight="1" x14ac:dyDescent="0.25">
      <c r="A5" s="90" t="s">
        <v>11</v>
      </c>
      <c r="B5" s="7" t="s">
        <v>17</v>
      </c>
      <c r="C5" s="8" t="s">
        <v>18</v>
      </c>
      <c r="D5" s="8" t="s">
        <v>19</v>
      </c>
      <c r="E5" s="91" t="s">
        <v>15</v>
      </c>
      <c r="F5" s="91" t="s">
        <v>16</v>
      </c>
      <c r="G5" s="98">
        <v>0</v>
      </c>
      <c r="H5" s="8"/>
      <c r="I5" s="8"/>
      <c r="J5" s="105"/>
    </row>
    <row r="6" spans="1:10" ht="44.65" customHeight="1" x14ac:dyDescent="0.25">
      <c r="A6" s="90" t="s">
        <v>11</v>
      </c>
      <c r="B6" s="7" t="s">
        <v>20</v>
      </c>
      <c r="C6" s="8"/>
      <c r="D6" s="8" t="s">
        <v>22</v>
      </c>
      <c r="E6" s="91" t="s">
        <v>15</v>
      </c>
      <c r="F6" s="91" t="s">
        <v>16</v>
      </c>
      <c r="G6" s="8"/>
      <c r="H6" s="96">
        <v>1</v>
      </c>
      <c r="I6" s="8"/>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8"/>
      <c r="I8" s="95">
        <v>2</v>
      </c>
      <c r="J8" s="105"/>
    </row>
    <row r="9" spans="1:10" ht="44.65" customHeight="1" x14ac:dyDescent="0.25">
      <c r="A9" s="90" t="s">
        <v>11</v>
      </c>
      <c r="B9" s="7" t="s">
        <v>29</v>
      </c>
      <c r="C9" s="8" t="s">
        <v>30</v>
      </c>
      <c r="D9" s="8" t="s">
        <v>31</v>
      </c>
      <c r="E9" s="91" t="s">
        <v>15</v>
      </c>
      <c r="F9" s="91" t="s">
        <v>16</v>
      </c>
      <c r="G9" s="8"/>
      <c r="H9" s="96">
        <v>1</v>
      </c>
      <c r="I9" s="8"/>
      <c r="J9" s="105"/>
    </row>
    <row r="10" spans="1:10" ht="76.5" customHeight="1" x14ac:dyDescent="0.25">
      <c r="A10" s="90" t="s">
        <v>11</v>
      </c>
      <c r="B10" s="7" t="s">
        <v>32</v>
      </c>
      <c r="C10" s="8" t="s">
        <v>33</v>
      </c>
      <c r="D10" s="8" t="s">
        <v>34</v>
      </c>
      <c r="E10" s="91" t="s">
        <v>15</v>
      </c>
      <c r="F10" s="91" t="s">
        <v>16</v>
      </c>
      <c r="G10" s="8"/>
      <c r="H10" s="96">
        <v>1</v>
      </c>
      <c r="I10" s="8"/>
      <c r="J10" s="105"/>
    </row>
    <row r="11" spans="1:10" ht="117.6" customHeight="1" x14ac:dyDescent="0.25">
      <c r="A11" s="90" t="s">
        <v>35</v>
      </c>
      <c r="B11" s="7" t="s">
        <v>36</v>
      </c>
      <c r="C11" s="8" t="s">
        <v>37</v>
      </c>
      <c r="D11" s="8" t="s">
        <v>38</v>
      </c>
      <c r="E11" s="8" t="s">
        <v>39</v>
      </c>
      <c r="F11" s="8" t="s">
        <v>40</v>
      </c>
      <c r="G11" s="8"/>
      <c r="H11" s="8"/>
      <c r="I11" s="95">
        <v>2</v>
      </c>
      <c r="J11" s="105">
        <f>SUM(G11:I14)</f>
        <v>8</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8"/>
      <c r="I13" s="95">
        <v>2</v>
      </c>
      <c r="J13" s="105"/>
    </row>
    <row r="14" spans="1:10" ht="93.6" customHeight="1" x14ac:dyDescent="0.25">
      <c r="A14" s="90" t="s">
        <v>35</v>
      </c>
      <c r="B14" s="7" t="s">
        <v>49</v>
      </c>
      <c r="C14" s="8" t="s">
        <v>50</v>
      </c>
      <c r="D14" s="8" t="s">
        <v>51</v>
      </c>
      <c r="E14" s="8" t="s">
        <v>52</v>
      </c>
      <c r="F14" s="8" t="s">
        <v>40</v>
      </c>
      <c r="G14" s="8"/>
      <c r="H14" s="8"/>
      <c r="I14" s="95">
        <v>2</v>
      </c>
      <c r="J14" s="105"/>
    </row>
    <row r="15" spans="1:10" ht="78.599999999999994" customHeight="1" x14ac:dyDescent="0.25">
      <c r="A15" s="9" t="s">
        <v>53</v>
      </c>
      <c r="B15" s="7" t="s">
        <v>54</v>
      </c>
      <c r="C15" s="8" t="s">
        <v>55</v>
      </c>
      <c r="D15" s="11" t="s">
        <v>56</v>
      </c>
      <c r="E15" s="8" t="s">
        <v>57</v>
      </c>
      <c r="F15" s="8" t="s">
        <v>58</v>
      </c>
      <c r="G15" s="8"/>
      <c r="H15" s="96">
        <v>1</v>
      </c>
      <c r="I15" s="8"/>
      <c r="J15" s="10">
        <f>SUM(G15:I15)</f>
        <v>1</v>
      </c>
    </row>
    <row r="16" spans="1:10" ht="65.650000000000006" customHeight="1" x14ac:dyDescent="0.25">
      <c r="A16" s="90" t="s">
        <v>59</v>
      </c>
      <c r="B16" s="7" t="s">
        <v>60</v>
      </c>
      <c r="C16" s="8" t="s">
        <v>61</v>
      </c>
      <c r="D16" s="8" t="s">
        <v>62</v>
      </c>
      <c r="E16" s="8" t="s">
        <v>63</v>
      </c>
      <c r="F16" s="8" t="s">
        <v>58</v>
      </c>
      <c r="G16" s="8"/>
      <c r="H16" s="96">
        <v>1</v>
      </c>
      <c r="I16" s="8"/>
      <c r="J16" s="105">
        <f>SUM(G16:I17)</f>
        <v>2</v>
      </c>
    </row>
    <row r="17" spans="1:10" ht="67.150000000000006" customHeight="1" x14ac:dyDescent="0.25">
      <c r="A17" s="90" t="s">
        <v>59</v>
      </c>
      <c r="B17" s="7" t="s">
        <v>64</v>
      </c>
      <c r="C17" s="8" t="s">
        <v>65</v>
      </c>
      <c r="D17" s="8" t="s">
        <v>66</v>
      </c>
      <c r="E17" s="8" t="s">
        <v>67</v>
      </c>
      <c r="F17" s="8" t="s">
        <v>40</v>
      </c>
      <c r="G17" s="8"/>
      <c r="H17" s="96">
        <v>1</v>
      </c>
      <c r="I17" s="8"/>
      <c r="J17" s="105"/>
    </row>
    <row r="18" spans="1:10" ht="15" customHeight="1" thickBot="1" x14ac:dyDescent="0.3">
      <c r="A18" s="106" t="s">
        <v>329</v>
      </c>
      <c r="B18" s="106"/>
      <c r="C18" s="106"/>
      <c r="D18" s="106"/>
      <c r="E18" s="106"/>
      <c r="F18" s="107"/>
      <c r="G18" s="14"/>
      <c r="H18" s="14">
        <f t="shared" ref="H18" si="0">SUM(H4:H17)</f>
        <v>6</v>
      </c>
      <c r="I18" s="14">
        <f>SUM(I4:I17)</f>
        <v>12</v>
      </c>
      <c r="J18" s="14">
        <f>SUM(J4:J17)</f>
        <v>18</v>
      </c>
    </row>
    <row r="21" spans="1:10" ht="15.75" thickBot="1" x14ac:dyDescent="0.3"/>
    <row r="22" spans="1:10" ht="64.5" thickBot="1" x14ac:dyDescent="0.3">
      <c r="A22" s="1" t="s">
        <v>69</v>
      </c>
      <c r="B22" s="2" t="s">
        <v>70</v>
      </c>
      <c r="C22" s="2" t="s">
        <v>71</v>
      </c>
      <c r="D22" s="2" t="s">
        <v>72</v>
      </c>
      <c r="E22" s="102" t="s">
        <v>362</v>
      </c>
      <c r="F22" s="13" t="s">
        <v>73</v>
      </c>
      <c r="G22" s="13" t="s">
        <v>74</v>
      </c>
      <c r="H22" s="13" t="s">
        <v>75</v>
      </c>
    </row>
    <row r="23" spans="1:10" ht="64.5" thickBot="1" x14ac:dyDescent="0.3">
      <c r="A23" s="3" t="s">
        <v>76</v>
      </c>
      <c r="B23" s="5">
        <v>7</v>
      </c>
      <c r="C23" s="5">
        <v>14</v>
      </c>
      <c r="D23" s="4">
        <v>0.25</v>
      </c>
      <c r="E23" s="103"/>
      <c r="F23" s="5">
        <v>7</v>
      </c>
      <c r="G23" s="12">
        <f>F23/C23</f>
        <v>0.5</v>
      </c>
      <c r="H23" s="4">
        <f>G23*D23</f>
        <v>0.125</v>
      </c>
    </row>
    <row r="24" spans="1:10" ht="39" thickBot="1" x14ac:dyDescent="0.3">
      <c r="A24" s="3" t="s">
        <v>77</v>
      </c>
      <c r="B24" s="5">
        <v>4</v>
      </c>
      <c r="C24" s="5">
        <v>8</v>
      </c>
      <c r="D24" s="4">
        <v>0.25</v>
      </c>
      <c r="E24" s="103"/>
      <c r="F24" s="5">
        <v>8</v>
      </c>
      <c r="G24" s="12">
        <f t="shared" ref="G24:G26" si="1">F24/C24</f>
        <v>1</v>
      </c>
      <c r="H24" s="4">
        <f>G24*D24</f>
        <v>0.25</v>
      </c>
    </row>
    <row r="25" spans="1:10" ht="64.5" thickBot="1" x14ac:dyDescent="0.3">
      <c r="A25" s="3" t="s">
        <v>78</v>
      </c>
      <c r="B25" s="5">
        <v>1</v>
      </c>
      <c r="C25" s="5">
        <v>2</v>
      </c>
      <c r="D25" s="4">
        <v>0.25</v>
      </c>
      <c r="E25" s="103"/>
      <c r="F25" s="5">
        <v>1</v>
      </c>
      <c r="G25" s="12">
        <f t="shared" si="1"/>
        <v>0.5</v>
      </c>
      <c r="H25" s="4">
        <f>G25*D25</f>
        <v>0.125</v>
      </c>
    </row>
    <row r="26" spans="1:10" ht="26.25" thickBot="1" x14ac:dyDescent="0.3">
      <c r="A26" s="3" t="s">
        <v>79</v>
      </c>
      <c r="B26" s="5">
        <v>2</v>
      </c>
      <c r="C26" s="5">
        <v>4</v>
      </c>
      <c r="D26" s="4">
        <v>0.25</v>
      </c>
      <c r="E26" s="103"/>
      <c r="F26" s="5">
        <v>2</v>
      </c>
      <c r="G26" s="12">
        <f t="shared" si="1"/>
        <v>0.5</v>
      </c>
      <c r="H26" s="4">
        <f>G26*D26</f>
        <v>0.125</v>
      </c>
    </row>
    <row r="27" spans="1:10" ht="16.5" thickBot="1" x14ac:dyDescent="0.3">
      <c r="A27" s="15" t="s">
        <v>80</v>
      </c>
      <c r="B27" s="16">
        <f>SUM(B23:B26)</f>
        <v>14</v>
      </c>
      <c r="C27" s="16">
        <f>SUM(C23:C26)</f>
        <v>28</v>
      </c>
      <c r="D27" s="17">
        <f>SUM(D23:D26)</f>
        <v>1</v>
      </c>
      <c r="E27" s="104"/>
      <c r="F27" s="16">
        <f>SUM(F23:F26)</f>
        <v>18</v>
      </c>
      <c r="G27" s="16" t="s">
        <v>81</v>
      </c>
      <c r="H27" s="18">
        <f>SUM(H23:H26)</f>
        <v>0.625</v>
      </c>
    </row>
  </sheetData>
  <mergeCells count="6">
    <mergeCell ref="E22:E27"/>
    <mergeCell ref="A1:J1"/>
    <mergeCell ref="J4:J10"/>
    <mergeCell ref="J11:J14"/>
    <mergeCell ref="J16:J17"/>
    <mergeCell ref="A18:F18"/>
  </mergeCells>
  <conditionalFormatting sqref="G23:H26">
    <cfRule type="cellIs" dxfId="124" priority="1" operator="between">
      <formula>0.8</formula>
      <formula>1</formula>
    </cfRule>
    <cfRule type="cellIs" dxfId="123" priority="2" operator="between">
      <formula>0.41</formula>
      <formula>0.79</formula>
    </cfRule>
    <cfRule type="cellIs" dxfId="122" priority="3" operator="between">
      <formula>0</formula>
      <formula>0.4</formula>
    </cfRule>
  </conditionalFormatting>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C6C49-C7CF-4F18-A4D4-65FE661BF698}">
  <dimension ref="A1:J27"/>
  <sheetViews>
    <sheetView tabSelected="1" topLeftCell="A13" workbookViewId="0">
      <selection activeCell="E22" sqref="E22:E27"/>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98">
        <v>0</v>
      </c>
      <c r="H4" s="8"/>
      <c r="I4" s="8"/>
      <c r="J4" s="105">
        <f>SUM(G4:I10)</f>
        <v>7</v>
      </c>
    </row>
    <row r="5" spans="1:10" ht="52.15" customHeight="1" x14ac:dyDescent="0.25">
      <c r="A5" s="90" t="s">
        <v>11</v>
      </c>
      <c r="B5" s="7" t="s">
        <v>17</v>
      </c>
      <c r="C5" s="8" t="s">
        <v>18</v>
      </c>
      <c r="D5" s="8" t="s">
        <v>19</v>
      </c>
      <c r="E5" s="91" t="s">
        <v>15</v>
      </c>
      <c r="F5" s="91" t="s">
        <v>16</v>
      </c>
      <c r="G5" s="8"/>
      <c r="H5" s="96">
        <v>1</v>
      </c>
      <c r="I5" s="8"/>
      <c r="J5" s="105"/>
    </row>
    <row r="6" spans="1:10" ht="44.65" customHeight="1" x14ac:dyDescent="0.25">
      <c r="A6" s="90" t="s">
        <v>11</v>
      </c>
      <c r="B6" s="7" t="s">
        <v>20</v>
      </c>
      <c r="C6" s="8"/>
      <c r="D6" s="8" t="s">
        <v>22</v>
      </c>
      <c r="E6" s="91" t="s">
        <v>15</v>
      </c>
      <c r="F6" s="91" t="s">
        <v>16</v>
      </c>
      <c r="G6" s="98">
        <v>0</v>
      </c>
      <c r="H6" s="8"/>
      <c r="I6" s="8"/>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8"/>
      <c r="I8" s="95">
        <v>2</v>
      </c>
      <c r="J8" s="105"/>
    </row>
    <row r="9" spans="1:10" ht="44.65" customHeight="1" x14ac:dyDescent="0.25">
      <c r="A9" s="90" t="s">
        <v>11</v>
      </c>
      <c r="B9" s="7" t="s">
        <v>29</v>
      </c>
      <c r="C9" s="8" t="s">
        <v>30</v>
      </c>
      <c r="D9" s="8" t="s">
        <v>31</v>
      </c>
      <c r="E9" s="91" t="s">
        <v>15</v>
      </c>
      <c r="F9" s="91" t="s">
        <v>16</v>
      </c>
      <c r="G9" s="8"/>
      <c r="H9" s="96">
        <v>1</v>
      </c>
      <c r="I9" s="8"/>
      <c r="J9" s="105"/>
    </row>
    <row r="10" spans="1:10" ht="76.5" customHeight="1" x14ac:dyDescent="0.25">
      <c r="A10" s="90" t="s">
        <v>11</v>
      </c>
      <c r="B10" s="7" t="s">
        <v>32</v>
      </c>
      <c r="C10" s="8" t="s">
        <v>33</v>
      </c>
      <c r="D10" s="8" t="s">
        <v>34</v>
      </c>
      <c r="E10" s="91" t="s">
        <v>15</v>
      </c>
      <c r="F10" s="91" t="s">
        <v>16</v>
      </c>
      <c r="G10" s="8"/>
      <c r="H10" s="96">
        <v>1</v>
      </c>
      <c r="I10" s="8"/>
      <c r="J10" s="105"/>
    </row>
    <row r="11" spans="1:10" ht="117.6" customHeight="1" x14ac:dyDescent="0.25">
      <c r="A11" s="90" t="s">
        <v>35</v>
      </c>
      <c r="B11" s="7" t="s">
        <v>36</v>
      </c>
      <c r="C11" s="8" t="s">
        <v>37</v>
      </c>
      <c r="D11" s="8" t="s">
        <v>38</v>
      </c>
      <c r="E11" s="8" t="s">
        <v>39</v>
      </c>
      <c r="F11" s="8" t="s">
        <v>40</v>
      </c>
      <c r="G11" s="8"/>
      <c r="H11" s="8"/>
      <c r="I11" s="95">
        <v>2</v>
      </c>
      <c r="J11" s="105">
        <f>SUM(G11:I14)</f>
        <v>6</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96">
        <v>1</v>
      </c>
      <c r="I13" s="8"/>
      <c r="J13" s="105"/>
    </row>
    <row r="14" spans="1:10" ht="93.6" customHeight="1" x14ac:dyDescent="0.25">
      <c r="A14" s="90" t="s">
        <v>35</v>
      </c>
      <c r="B14" s="7" t="s">
        <v>49</v>
      </c>
      <c r="C14" s="8" t="s">
        <v>50</v>
      </c>
      <c r="D14" s="8" t="s">
        <v>51</v>
      </c>
      <c r="E14" s="8" t="s">
        <v>52</v>
      </c>
      <c r="F14" s="8" t="s">
        <v>40</v>
      </c>
      <c r="G14" s="8"/>
      <c r="H14" s="96">
        <v>1</v>
      </c>
      <c r="I14" s="8"/>
      <c r="J14" s="105"/>
    </row>
    <row r="15" spans="1:10" ht="78.599999999999994" customHeight="1" x14ac:dyDescent="0.25">
      <c r="A15" s="9" t="s">
        <v>53</v>
      </c>
      <c r="B15" s="7" t="s">
        <v>54</v>
      </c>
      <c r="C15" s="8" t="s">
        <v>55</v>
      </c>
      <c r="D15" s="11" t="s">
        <v>56</v>
      </c>
      <c r="E15" s="8" t="s">
        <v>57</v>
      </c>
      <c r="F15" s="8" t="s">
        <v>58</v>
      </c>
      <c r="G15" s="8"/>
      <c r="H15" s="96">
        <v>1</v>
      </c>
      <c r="I15" s="8"/>
      <c r="J15" s="10">
        <v>1</v>
      </c>
    </row>
    <row r="16" spans="1:10" ht="65.650000000000006" customHeight="1" x14ac:dyDescent="0.25">
      <c r="A16" s="90" t="s">
        <v>59</v>
      </c>
      <c r="B16" s="7" t="s">
        <v>60</v>
      </c>
      <c r="C16" s="8" t="s">
        <v>61</v>
      </c>
      <c r="D16" s="8" t="s">
        <v>62</v>
      </c>
      <c r="E16" s="8" t="s">
        <v>63</v>
      </c>
      <c r="F16" s="8" t="s">
        <v>58</v>
      </c>
      <c r="G16" s="8"/>
      <c r="H16" s="8"/>
      <c r="I16" s="95">
        <v>2</v>
      </c>
      <c r="J16" s="105">
        <f>SUM(G16:I17)</f>
        <v>4</v>
      </c>
    </row>
    <row r="17" spans="1:10" ht="67.150000000000006" customHeight="1" x14ac:dyDescent="0.25">
      <c r="A17" s="90" t="s">
        <v>59</v>
      </c>
      <c r="B17" s="7" t="s">
        <v>64</v>
      </c>
      <c r="C17" s="8" t="s">
        <v>65</v>
      </c>
      <c r="D17" s="8" t="s">
        <v>66</v>
      </c>
      <c r="E17" s="8" t="s">
        <v>67</v>
      </c>
      <c r="F17" s="8" t="s">
        <v>40</v>
      </c>
      <c r="G17" s="8"/>
      <c r="H17" s="8"/>
      <c r="I17" s="95">
        <v>2</v>
      </c>
      <c r="J17" s="105"/>
    </row>
    <row r="18" spans="1:10" ht="15" customHeight="1" thickBot="1" x14ac:dyDescent="0.3">
      <c r="A18" s="106" t="s">
        <v>288</v>
      </c>
      <c r="B18" s="106"/>
      <c r="C18" s="106"/>
      <c r="D18" s="106"/>
      <c r="E18" s="106"/>
      <c r="F18" s="107"/>
      <c r="G18" s="14"/>
      <c r="H18" s="14">
        <f t="shared" ref="H18" si="0">SUM(H4:H17)</f>
        <v>6</v>
      </c>
      <c r="I18" s="14">
        <f>SUM(I4:I17)</f>
        <v>12</v>
      </c>
      <c r="J18" s="14">
        <f>SUM(J4:J17)</f>
        <v>18</v>
      </c>
    </row>
    <row r="21" spans="1:10" ht="15.75" thickBot="1" x14ac:dyDescent="0.3"/>
    <row r="22" spans="1:10" ht="64.5" thickBot="1" x14ac:dyDescent="0.3">
      <c r="A22" s="1" t="s">
        <v>69</v>
      </c>
      <c r="B22" s="2" t="s">
        <v>70</v>
      </c>
      <c r="C22" s="2" t="s">
        <v>71</v>
      </c>
      <c r="D22" s="2" t="s">
        <v>72</v>
      </c>
      <c r="E22" s="102" t="s">
        <v>363</v>
      </c>
      <c r="F22" s="13" t="s">
        <v>73</v>
      </c>
      <c r="G22" s="13" t="s">
        <v>74</v>
      </c>
      <c r="H22" s="13" t="s">
        <v>75</v>
      </c>
    </row>
    <row r="23" spans="1:10" ht="64.5" thickBot="1" x14ac:dyDescent="0.3">
      <c r="A23" s="3" t="s">
        <v>76</v>
      </c>
      <c r="B23" s="5">
        <v>7</v>
      </c>
      <c r="C23" s="5">
        <v>14</v>
      </c>
      <c r="D23" s="4">
        <v>0.25</v>
      </c>
      <c r="E23" s="103"/>
      <c r="F23" s="5">
        <v>7</v>
      </c>
      <c r="G23" s="12">
        <f>F23/C23</f>
        <v>0.5</v>
      </c>
      <c r="H23" s="4">
        <f>G23*D23</f>
        <v>0.125</v>
      </c>
    </row>
    <row r="24" spans="1:10" ht="39" thickBot="1" x14ac:dyDescent="0.3">
      <c r="A24" s="3" t="s">
        <v>77</v>
      </c>
      <c r="B24" s="5">
        <v>4</v>
      </c>
      <c r="C24" s="5">
        <v>8</v>
      </c>
      <c r="D24" s="4">
        <v>0.25</v>
      </c>
      <c r="E24" s="103"/>
      <c r="F24" s="5">
        <v>6</v>
      </c>
      <c r="G24" s="12">
        <f t="shared" ref="G24:G26" si="1">F24/C24</f>
        <v>0.75</v>
      </c>
      <c r="H24" s="4">
        <f>G24*D24</f>
        <v>0.1875</v>
      </c>
    </row>
    <row r="25" spans="1:10" ht="64.5" thickBot="1" x14ac:dyDescent="0.3">
      <c r="A25" s="3" t="s">
        <v>78</v>
      </c>
      <c r="B25" s="5">
        <v>1</v>
      </c>
      <c r="C25" s="5">
        <v>2</v>
      </c>
      <c r="D25" s="4">
        <v>0.25</v>
      </c>
      <c r="E25" s="103"/>
      <c r="F25" s="5">
        <v>1</v>
      </c>
      <c r="G25" s="12">
        <f t="shared" si="1"/>
        <v>0.5</v>
      </c>
      <c r="H25" s="4">
        <f>G25*D25</f>
        <v>0.125</v>
      </c>
    </row>
    <row r="26" spans="1:10" ht="26.25" thickBot="1" x14ac:dyDescent="0.3">
      <c r="A26" s="3" t="s">
        <v>79</v>
      </c>
      <c r="B26" s="5">
        <v>2</v>
      </c>
      <c r="C26" s="5">
        <v>4</v>
      </c>
      <c r="D26" s="4">
        <v>0.25</v>
      </c>
      <c r="E26" s="103"/>
      <c r="F26" s="5">
        <v>4</v>
      </c>
      <c r="G26" s="12">
        <f t="shared" si="1"/>
        <v>1</v>
      </c>
      <c r="H26" s="4">
        <f>G26*D26</f>
        <v>0.25</v>
      </c>
    </row>
    <row r="27" spans="1:10" ht="16.5" thickBot="1" x14ac:dyDescent="0.3">
      <c r="A27" s="15" t="s">
        <v>80</v>
      </c>
      <c r="B27" s="16">
        <f>SUM(B23:B26)</f>
        <v>14</v>
      </c>
      <c r="C27" s="16">
        <f>SUM(C23:C26)</f>
        <v>28</v>
      </c>
      <c r="D27" s="17">
        <f>SUM(D23:D26)</f>
        <v>1</v>
      </c>
      <c r="E27" s="104"/>
      <c r="F27" s="16">
        <f>SUM(F23:F26)</f>
        <v>18</v>
      </c>
      <c r="G27" s="16" t="s">
        <v>81</v>
      </c>
      <c r="H27" s="18">
        <f>SUM(H23:H26)</f>
        <v>0.6875</v>
      </c>
    </row>
  </sheetData>
  <mergeCells count="6">
    <mergeCell ref="E22:E27"/>
    <mergeCell ref="A1:J1"/>
    <mergeCell ref="J4:J10"/>
    <mergeCell ref="J11:J14"/>
    <mergeCell ref="J16:J17"/>
    <mergeCell ref="A18:F18"/>
  </mergeCells>
  <conditionalFormatting sqref="G23:H26">
    <cfRule type="cellIs" dxfId="121" priority="1" operator="between">
      <formula>0.8</formula>
      <formula>1</formula>
    </cfRule>
    <cfRule type="cellIs" dxfId="120" priority="2" operator="between">
      <formula>0.41</formula>
      <formula>0.79</formula>
    </cfRule>
    <cfRule type="cellIs" dxfId="119" priority="3" operator="between">
      <formula>0</formula>
      <formula>0.4</formula>
    </cfRule>
  </conditionalFormatting>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F124C-4A8B-4199-8C89-134231C9A1C6}">
  <dimension ref="A1:J27"/>
  <sheetViews>
    <sheetView topLeftCell="A16" workbookViewId="0">
      <selection activeCell="F24" sqref="F24"/>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96">
        <v>1</v>
      </c>
      <c r="I4" s="8"/>
      <c r="J4" s="105">
        <f>SUM(G4:I10)</f>
        <v>9</v>
      </c>
    </row>
    <row r="5" spans="1:10" ht="52.15" customHeight="1" x14ac:dyDescent="0.25">
      <c r="A5" s="90" t="s">
        <v>11</v>
      </c>
      <c r="B5" s="7" t="s">
        <v>17</v>
      </c>
      <c r="C5" s="8" t="s">
        <v>18</v>
      </c>
      <c r="D5" s="8" t="s">
        <v>19</v>
      </c>
      <c r="E5" s="91" t="s">
        <v>15</v>
      </c>
      <c r="F5" s="91" t="s">
        <v>16</v>
      </c>
      <c r="G5" s="8"/>
      <c r="H5" s="96">
        <v>1</v>
      </c>
      <c r="I5" s="8"/>
      <c r="J5" s="105"/>
    </row>
    <row r="6" spans="1:10" ht="44.65" customHeight="1" x14ac:dyDescent="0.25">
      <c r="A6" s="90" t="s">
        <v>11</v>
      </c>
      <c r="B6" s="7" t="s">
        <v>20</v>
      </c>
      <c r="C6" s="8"/>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8"/>
      <c r="H7" s="96">
        <v>1</v>
      </c>
      <c r="I7" s="8"/>
      <c r="J7" s="105"/>
    </row>
    <row r="8" spans="1:10" ht="52.5" customHeight="1" x14ac:dyDescent="0.25">
      <c r="A8" s="90" t="s">
        <v>11</v>
      </c>
      <c r="B8" s="7" t="s">
        <v>26</v>
      </c>
      <c r="C8" s="8" t="s">
        <v>27</v>
      </c>
      <c r="D8" s="8" t="s">
        <v>28</v>
      </c>
      <c r="E8" s="91" t="s">
        <v>15</v>
      </c>
      <c r="F8" s="91" t="s">
        <v>16</v>
      </c>
      <c r="G8" s="8"/>
      <c r="H8" s="96">
        <v>1</v>
      </c>
      <c r="I8" s="8"/>
      <c r="J8" s="105"/>
    </row>
    <row r="9" spans="1:10" ht="44.65" customHeight="1" x14ac:dyDescent="0.25">
      <c r="A9" s="90" t="s">
        <v>11</v>
      </c>
      <c r="B9" s="7" t="s">
        <v>29</v>
      </c>
      <c r="C9" s="8" t="s">
        <v>30</v>
      </c>
      <c r="D9" s="8" t="s">
        <v>31</v>
      </c>
      <c r="E9" s="91" t="s">
        <v>15</v>
      </c>
      <c r="F9" s="91" t="s">
        <v>16</v>
      </c>
      <c r="G9" s="8"/>
      <c r="H9" s="96">
        <v>1</v>
      </c>
      <c r="I9" s="8"/>
      <c r="J9" s="105"/>
    </row>
    <row r="10" spans="1:10" ht="76.5" customHeight="1" x14ac:dyDescent="0.25">
      <c r="A10" s="90" t="s">
        <v>11</v>
      </c>
      <c r="B10" s="7" t="s">
        <v>32</v>
      </c>
      <c r="C10" s="8" t="s">
        <v>33</v>
      </c>
      <c r="D10" s="8" t="s">
        <v>34</v>
      </c>
      <c r="E10" s="91" t="s">
        <v>15</v>
      </c>
      <c r="F10" s="91" t="s">
        <v>16</v>
      </c>
      <c r="G10" s="8"/>
      <c r="H10" s="8"/>
      <c r="I10" s="95">
        <v>2</v>
      </c>
      <c r="J10" s="105"/>
    </row>
    <row r="11" spans="1:10" ht="117.6" customHeight="1" x14ac:dyDescent="0.25">
      <c r="A11" s="90" t="s">
        <v>35</v>
      </c>
      <c r="B11" s="7" t="s">
        <v>36</v>
      </c>
      <c r="C11" s="8" t="s">
        <v>37</v>
      </c>
      <c r="D11" s="8" t="s">
        <v>38</v>
      </c>
      <c r="E11" s="8" t="s">
        <v>39</v>
      </c>
      <c r="F11" s="8" t="s">
        <v>40</v>
      </c>
      <c r="G11" s="8"/>
      <c r="H11" s="8"/>
      <c r="I11" s="95">
        <v>2</v>
      </c>
      <c r="J11" s="105">
        <f>SUM(G11:I14)</f>
        <v>8</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8"/>
      <c r="I13" s="95">
        <v>2</v>
      </c>
      <c r="J13" s="105"/>
    </row>
    <row r="14" spans="1:10" ht="93.6" customHeight="1" x14ac:dyDescent="0.25">
      <c r="A14" s="90" t="s">
        <v>35</v>
      </c>
      <c r="B14" s="7" t="s">
        <v>49</v>
      </c>
      <c r="C14" s="8" t="s">
        <v>50</v>
      </c>
      <c r="D14" s="8" t="s">
        <v>51</v>
      </c>
      <c r="E14" s="8" t="s">
        <v>52</v>
      </c>
      <c r="F14" s="8" t="s">
        <v>40</v>
      </c>
      <c r="G14" s="8"/>
      <c r="H14" s="8"/>
      <c r="I14" s="95">
        <v>2</v>
      </c>
      <c r="J14" s="105"/>
    </row>
    <row r="15" spans="1:10" ht="78.599999999999994" customHeight="1" x14ac:dyDescent="0.25">
      <c r="A15" s="9" t="s">
        <v>53</v>
      </c>
      <c r="B15" s="7" t="s">
        <v>54</v>
      </c>
      <c r="C15" s="8" t="s">
        <v>55</v>
      </c>
      <c r="D15" s="11" t="s">
        <v>56</v>
      </c>
      <c r="E15" s="8" t="s">
        <v>57</v>
      </c>
      <c r="F15" s="8" t="s">
        <v>58</v>
      </c>
      <c r="G15" s="8"/>
      <c r="H15" s="8"/>
      <c r="I15" s="95">
        <v>2</v>
      </c>
      <c r="J15" s="10">
        <f>SUM(G15:I15)</f>
        <v>2</v>
      </c>
    </row>
    <row r="16" spans="1:10" ht="65.650000000000006" customHeight="1" x14ac:dyDescent="0.25">
      <c r="A16" s="90" t="s">
        <v>59</v>
      </c>
      <c r="B16" s="7" t="s">
        <v>60</v>
      </c>
      <c r="C16" s="8" t="s">
        <v>61</v>
      </c>
      <c r="D16" s="8" t="s">
        <v>62</v>
      </c>
      <c r="E16" s="8" t="s">
        <v>63</v>
      </c>
      <c r="F16" s="8" t="s">
        <v>58</v>
      </c>
      <c r="G16" s="8"/>
      <c r="H16" s="96">
        <v>1</v>
      </c>
      <c r="I16" s="8"/>
      <c r="J16" s="105">
        <f>SUM(G16:I17)</f>
        <v>2</v>
      </c>
    </row>
    <row r="17" spans="1:10" ht="67.150000000000006" customHeight="1" x14ac:dyDescent="0.25">
      <c r="A17" s="90" t="s">
        <v>59</v>
      </c>
      <c r="B17" s="7" t="s">
        <v>64</v>
      </c>
      <c r="C17" s="8" t="s">
        <v>65</v>
      </c>
      <c r="D17" s="8" t="s">
        <v>66</v>
      </c>
      <c r="E17" s="8" t="s">
        <v>67</v>
      </c>
      <c r="F17" s="8" t="s">
        <v>40</v>
      </c>
      <c r="G17" s="8"/>
      <c r="H17" s="96">
        <v>1</v>
      </c>
      <c r="I17" s="8"/>
      <c r="J17" s="105"/>
    </row>
    <row r="18" spans="1:10" ht="15" customHeight="1" thickBot="1" x14ac:dyDescent="0.3">
      <c r="A18" s="106" t="s">
        <v>289</v>
      </c>
      <c r="B18" s="106"/>
      <c r="C18" s="106"/>
      <c r="D18" s="106"/>
      <c r="E18" s="106"/>
      <c r="F18" s="107"/>
      <c r="G18" s="14"/>
      <c r="H18" s="14">
        <f t="shared" ref="H18" si="0">SUM(H4:H17)</f>
        <v>7</v>
      </c>
      <c r="I18" s="14">
        <f>SUM(I4:I17)</f>
        <v>14</v>
      </c>
      <c r="J18" s="14">
        <f>SUM(J4:J17)</f>
        <v>21</v>
      </c>
    </row>
    <row r="21" spans="1:10" ht="15.75" thickBot="1" x14ac:dyDescent="0.3"/>
    <row r="22" spans="1:10" ht="64.5" thickBot="1" x14ac:dyDescent="0.3">
      <c r="A22" s="1" t="s">
        <v>69</v>
      </c>
      <c r="B22" s="2" t="s">
        <v>70</v>
      </c>
      <c r="C22" s="2" t="s">
        <v>71</v>
      </c>
      <c r="D22" s="2" t="s">
        <v>72</v>
      </c>
      <c r="E22" s="102" t="s">
        <v>364</v>
      </c>
      <c r="F22" s="13" t="s">
        <v>73</v>
      </c>
      <c r="G22" s="13" t="s">
        <v>74</v>
      </c>
      <c r="H22" s="13" t="s">
        <v>75</v>
      </c>
    </row>
    <row r="23" spans="1:10" ht="64.5" thickBot="1" x14ac:dyDescent="0.3">
      <c r="A23" s="3" t="s">
        <v>76</v>
      </c>
      <c r="B23" s="5">
        <v>7</v>
      </c>
      <c r="C23" s="5">
        <v>14</v>
      </c>
      <c r="D23" s="4">
        <v>0.25</v>
      </c>
      <c r="E23" s="103"/>
      <c r="F23" s="5">
        <v>9</v>
      </c>
      <c r="G23" s="12">
        <f>F23/C23</f>
        <v>0.6428571428571429</v>
      </c>
      <c r="H23" s="4">
        <f>G23*D23</f>
        <v>0.16071428571428573</v>
      </c>
    </row>
    <row r="24" spans="1:10" ht="39" thickBot="1" x14ac:dyDescent="0.3">
      <c r="A24" s="3" t="s">
        <v>77</v>
      </c>
      <c r="B24" s="5">
        <v>4</v>
      </c>
      <c r="C24" s="5">
        <v>8</v>
      </c>
      <c r="D24" s="4">
        <v>0.25</v>
      </c>
      <c r="E24" s="103"/>
      <c r="F24" s="5">
        <v>8</v>
      </c>
      <c r="G24" s="12">
        <f t="shared" ref="G24:G26" si="1">F24/C24</f>
        <v>1</v>
      </c>
      <c r="H24" s="4">
        <f>G24*D24</f>
        <v>0.25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2</v>
      </c>
      <c r="G26" s="12">
        <f t="shared" si="1"/>
        <v>0.5</v>
      </c>
      <c r="H26" s="4">
        <f>G26*D26</f>
        <v>0.125</v>
      </c>
    </row>
    <row r="27" spans="1:10" ht="16.5" thickBot="1" x14ac:dyDescent="0.3">
      <c r="A27" s="15" t="s">
        <v>80</v>
      </c>
      <c r="B27" s="16">
        <f>SUM(B23:B26)</f>
        <v>14</v>
      </c>
      <c r="C27" s="16">
        <f>SUM(C23:C26)</f>
        <v>28</v>
      </c>
      <c r="D27" s="17">
        <f>SUM(D23:D26)</f>
        <v>1</v>
      </c>
      <c r="E27" s="104"/>
      <c r="F27" s="16">
        <f>SUM(F23:F26)</f>
        <v>21</v>
      </c>
      <c r="G27" s="16" t="s">
        <v>81</v>
      </c>
      <c r="H27" s="18">
        <f>SUM(H23:H26)</f>
        <v>0.7857142857142857</v>
      </c>
    </row>
  </sheetData>
  <mergeCells count="6">
    <mergeCell ref="E22:E27"/>
    <mergeCell ref="A1:J1"/>
    <mergeCell ref="J4:J10"/>
    <mergeCell ref="J11:J14"/>
    <mergeCell ref="J16:J17"/>
    <mergeCell ref="A18:F18"/>
  </mergeCells>
  <conditionalFormatting sqref="G23:H26">
    <cfRule type="cellIs" dxfId="118" priority="1" operator="between">
      <formula>0.8</formula>
      <formula>1</formula>
    </cfRule>
    <cfRule type="cellIs" dxfId="117" priority="2" operator="between">
      <formula>0.41</formula>
      <formula>0.79</formula>
    </cfRule>
    <cfRule type="cellIs" dxfId="116" priority="3" operator="between">
      <formula>0</formula>
      <formula>0.4</formula>
    </cfRule>
  </conditionalFormatting>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20DEA-E1BD-44CC-B067-A191F643C4BC}">
  <dimension ref="A1:J27"/>
  <sheetViews>
    <sheetView topLeftCell="A22" workbookViewId="0">
      <selection activeCell="F24" sqref="F24"/>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96">
        <v>1</v>
      </c>
      <c r="I4" s="8"/>
      <c r="J4" s="105">
        <f>SUM(G4:I10)</f>
        <v>12</v>
      </c>
    </row>
    <row r="5" spans="1:10" ht="52.15" customHeight="1" x14ac:dyDescent="0.25">
      <c r="A5" s="90" t="s">
        <v>11</v>
      </c>
      <c r="B5" s="7" t="s">
        <v>17</v>
      </c>
      <c r="C5" s="8" t="s">
        <v>18</v>
      </c>
      <c r="D5" s="8" t="s">
        <v>19</v>
      </c>
      <c r="E5" s="91" t="s">
        <v>15</v>
      </c>
      <c r="F5" s="91" t="s">
        <v>16</v>
      </c>
      <c r="G5" s="8"/>
      <c r="H5" s="96">
        <v>1</v>
      </c>
      <c r="I5" s="8"/>
      <c r="J5" s="105"/>
    </row>
    <row r="6" spans="1:10" ht="44.65" customHeight="1" x14ac:dyDescent="0.25">
      <c r="A6" s="90" t="s">
        <v>11</v>
      </c>
      <c r="B6" s="7" t="s">
        <v>20</v>
      </c>
      <c r="C6" s="8"/>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8"/>
      <c r="I8" s="95">
        <v>2</v>
      </c>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8"/>
      <c r="I10" s="95">
        <v>2</v>
      </c>
      <c r="J10" s="105"/>
    </row>
    <row r="11" spans="1:10" ht="117.6" customHeight="1" x14ac:dyDescent="0.25">
      <c r="A11" s="90" t="s">
        <v>35</v>
      </c>
      <c r="B11" s="7" t="s">
        <v>36</v>
      </c>
      <c r="C11" s="8" t="s">
        <v>37</v>
      </c>
      <c r="D11" s="8" t="s">
        <v>38</v>
      </c>
      <c r="E11" s="8" t="s">
        <v>39</v>
      </c>
      <c r="F11" s="8" t="s">
        <v>40</v>
      </c>
      <c r="G11" s="8"/>
      <c r="H11" s="8"/>
      <c r="I11" s="95">
        <v>2</v>
      </c>
      <c r="J11" s="105">
        <f>SUM(G11:I14)</f>
        <v>8</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8"/>
      <c r="I13" s="95">
        <v>2</v>
      </c>
      <c r="J13" s="105"/>
    </row>
    <row r="14" spans="1:10" ht="93.6" customHeight="1" x14ac:dyDescent="0.25">
      <c r="A14" s="90" t="s">
        <v>35</v>
      </c>
      <c r="B14" s="7" t="s">
        <v>49</v>
      </c>
      <c r="C14" s="8" t="s">
        <v>50</v>
      </c>
      <c r="D14" s="8" t="s">
        <v>51</v>
      </c>
      <c r="E14" s="8" t="s">
        <v>52</v>
      </c>
      <c r="F14" s="8" t="s">
        <v>40</v>
      </c>
      <c r="G14" s="8"/>
      <c r="H14" s="8"/>
      <c r="I14" s="95">
        <v>2</v>
      </c>
      <c r="J14" s="105"/>
    </row>
    <row r="15" spans="1:10" ht="78.599999999999994" customHeight="1" x14ac:dyDescent="0.25">
      <c r="A15" s="9" t="s">
        <v>53</v>
      </c>
      <c r="B15" s="7" t="s">
        <v>54</v>
      </c>
      <c r="C15" s="8" t="s">
        <v>55</v>
      </c>
      <c r="D15" s="11" t="s">
        <v>56</v>
      </c>
      <c r="E15" s="8" t="s">
        <v>57</v>
      </c>
      <c r="F15" s="8" t="s">
        <v>58</v>
      </c>
      <c r="G15" s="8"/>
      <c r="H15" s="8"/>
      <c r="I15" s="95">
        <v>2</v>
      </c>
      <c r="J15" s="10">
        <f>SUM(G15:I15)</f>
        <v>2</v>
      </c>
    </row>
    <row r="16" spans="1:10" ht="65.650000000000006" customHeight="1" x14ac:dyDescent="0.25">
      <c r="A16" s="90" t="s">
        <v>59</v>
      </c>
      <c r="B16" s="7" t="s">
        <v>60</v>
      </c>
      <c r="C16" s="8" t="s">
        <v>61</v>
      </c>
      <c r="D16" s="8" t="s">
        <v>62</v>
      </c>
      <c r="E16" s="8" t="s">
        <v>63</v>
      </c>
      <c r="F16" s="8" t="s">
        <v>58</v>
      </c>
      <c r="G16" s="8"/>
      <c r="H16" s="8"/>
      <c r="I16" s="95">
        <v>2</v>
      </c>
      <c r="J16" s="105">
        <f>SUM(G16:I17)</f>
        <v>3</v>
      </c>
    </row>
    <row r="17" spans="1:10" ht="67.150000000000006" customHeight="1" x14ac:dyDescent="0.25">
      <c r="A17" s="90" t="s">
        <v>59</v>
      </c>
      <c r="B17" s="7" t="s">
        <v>64</v>
      </c>
      <c r="C17" s="8" t="s">
        <v>65</v>
      </c>
      <c r="D17" s="8" t="s">
        <v>66</v>
      </c>
      <c r="E17" s="8" t="s">
        <v>67</v>
      </c>
      <c r="F17" s="8" t="s">
        <v>40</v>
      </c>
      <c r="G17" s="8"/>
      <c r="H17" s="96">
        <v>1</v>
      </c>
      <c r="I17" s="8"/>
      <c r="J17" s="105"/>
    </row>
    <row r="18" spans="1:10" ht="15" customHeight="1" thickBot="1" x14ac:dyDescent="0.3">
      <c r="A18" s="106" t="s">
        <v>330</v>
      </c>
      <c r="B18" s="106"/>
      <c r="C18" s="106"/>
      <c r="D18" s="106"/>
      <c r="E18" s="106"/>
      <c r="F18" s="107"/>
      <c r="G18" s="14"/>
      <c r="H18" s="14">
        <f t="shared" ref="H18" si="0">SUM(H4:H17)</f>
        <v>3</v>
      </c>
      <c r="I18" s="14">
        <f>SUM(I4:I17)</f>
        <v>22</v>
      </c>
      <c r="J18" s="14">
        <f>SUM(J4:J17)</f>
        <v>25</v>
      </c>
    </row>
    <row r="21" spans="1:10" ht="15.75" thickBot="1" x14ac:dyDescent="0.3"/>
    <row r="22" spans="1:10" ht="64.5" thickBot="1" x14ac:dyDescent="0.3">
      <c r="A22" s="1" t="s">
        <v>69</v>
      </c>
      <c r="B22" s="2" t="s">
        <v>70</v>
      </c>
      <c r="C22" s="2" t="s">
        <v>71</v>
      </c>
      <c r="D22" s="2" t="s">
        <v>72</v>
      </c>
      <c r="E22" s="102" t="s">
        <v>365</v>
      </c>
      <c r="F22" s="13" t="s">
        <v>73</v>
      </c>
      <c r="G22" s="13" t="s">
        <v>74</v>
      </c>
      <c r="H22" s="13" t="s">
        <v>75</v>
      </c>
    </row>
    <row r="23" spans="1:10" ht="64.5" thickBot="1" x14ac:dyDescent="0.3">
      <c r="A23" s="3" t="s">
        <v>76</v>
      </c>
      <c r="B23" s="5">
        <v>7</v>
      </c>
      <c r="C23" s="5">
        <v>14</v>
      </c>
      <c r="D23" s="4">
        <v>0.25</v>
      </c>
      <c r="E23" s="103"/>
      <c r="F23" s="5">
        <v>12</v>
      </c>
      <c r="G23" s="12">
        <f>F23/C23</f>
        <v>0.8571428571428571</v>
      </c>
      <c r="H23" s="4">
        <f>G23*D23</f>
        <v>0.21428571428571427</v>
      </c>
    </row>
    <row r="24" spans="1:10" ht="39" thickBot="1" x14ac:dyDescent="0.3">
      <c r="A24" s="3" t="s">
        <v>77</v>
      </c>
      <c r="B24" s="5">
        <v>4</v>
      </c>
      <c r="C24" s="5">
        <v>8</v>
      </c>
      <c r="D24" s="4">
        <v>0.25</v>
      </c>
      <c r="E24" s="103"/>
      <c r="F24" s="5">
        <v>8</v>
      </c>
      <c r="G24" s="12">
        <f t="shared" ref="G24:G26" si="1">F24/C24</f>
        <v>1</v>
      </c>
      <c r="H24" s="4">
        <f>G24*D24</f>
        <v>0.25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3</v>
      </c>
      <c r="G26" s="12">
        <f t="shared" si="1"/>
        <v>0.75</v>
      </c>
      <c r="H26" s="4">
        <f>G26*D26</f>
        <v>0.1875</v>
      </c>
    </row>
    <row r="27" spans="1:10" ht="16.5" thickBot="1" x14ac:dyDescent="0.3">
      <c r="A27" s="15" t="s">
        <v>80</v>
      </c>
      <c r="B27" s="16">
        <f>SUM(B23:B26)</f>
        <v>14</v>
      </c>
      <c r="C27" s="16">
        <f>SUM(C23:C26)</f>
        <v>28</v>
      </c>
      <c r="D27" s="17">
        <f>SUM(D23:D26)</f>
        <v>1</v>
      </c>
      <c r="E27" s="104"/>
      <c r="F27" s="16">
        <f>SUM(F23:F26)</f>
        <v>25</v>
      </c>
      <c r="G27" s="16" t="s">
        <v>81</v>
      </c>
      <c r="H27" s="18">
        <f>SUM(H23:H26)</f>
        <v>0.9017857142857143</v>
      </c>
    </row>
  </sheetData>
  <mergeCells count="6">
    <mergeCell ref="E22:E27"/>
    <mergeCell ref="A1:J1"/>
    <mergeCell ref="J4:J10"/>
    <mergeCell ref="J11:J14"/>
    <mergeCell ref="J16:J17"/>
    <mergeCell ref="A18:F18"/>
  </mergeCells>
  <conditionalFormatting sqref="G23:H26">
    <cfRule type="cellIs" dxfId="115" priority="1" operator="between">
      <formula>0.8</formula>
      <formula>1</formula>
    </cfRule>
    <cfRule type="cellIs" dxfId="114" priority="2" operator="between">
      <formula>0.41</formula>
      <formula>0.79</formula>
    </cfRule>
    <cfRule type="cellIs" dxfId="113" priority="3" operator="between">
      <formula>0</formula>
      <formula>0.4</formula>
    </cfRule>
  </conditionalFormatting>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E7ECC-8CF6-4FE6-B67B-FF0BCA4F42D2}">
  <dimension ref="A1:J27"/>
  <sheetViews>
    <sheetView topLeftCell="A16" workbookViewId="0">
      <selection activeCell="F24" sqref="F24"/>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8"/>
      <c r="I4" s="95">
        <v>2</v>
      </c>
      <c r="J4" s="105">
        <f>SUM(G4:I10)</f>
        <v>14</v>
      </c>
    </row>
    <row r="5" spans="1:10" ht="52.15" customHeight="1" x14ac:dyDescent="0.25">
      <c r="A5" s="90" t="s">
        <v>11</v>
      </c>
      <c r="B5" s="7" t="s">
        <v>17</v>
      </c>
      <c r="C5" s="8" t="s">
        <v>18</v>
      </c>
      <c r="D5" s="8" t="s">
        <v>19</v>
      </c>
      <c r="E5" s="91" t="s">
        <v>15</v>
      </c>
      <c r="F5" s="91" t="s">
        <v>16</v>
      </c>
      <c r="G5" s="8"/>
      <c r="H5" s="8"/>
      <c r="I5" s="95">
        <v>2</v>
      </c>
      <c r="J5" s="105"/>
    </row>
    <row r="6" spans="1:10" ht="44.65" customHeight="1" x14ac:dyDescent="0.25">
      <c r="A6" s="90" t="s">
        <v>11</v>
      </c>
      <c r="B6" s="7" t="s">
        <v>20</v>
      </c>
      <c r="C6" s="8"/>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8"/>
      <c r="I8" s="95">
        <v>2</v>
      </c>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8"/>
      <c r="I10" s="95">
        <v>2</v>
      </c>
      <c r="J10" s="105"/>
    </row>
    <row r="11" spans="1:10" ht="117.6" customHeight="1" x14ac:dyDescent="0.25">
      <c r="A11" s="90" t="s">
        <v>35</v>
      </c>
      <c r="B11" s="7" t="s">
        <v>36</v>
      </c>
      <c r="C11" s="8" t="s">
        <v>37</v>
      </c>
      <c r="D11" s="8" t="s">
        <v>38</v>
      </c>
      <c r="E11" s="8" t="s">
        <v>39</v>
      </c>
      <c r="F11" s="8" t="s">
        <v>40</v>
      </c>
      <c r="G11" s="8"/>
      <c r="H11" s="8"/>
      <c r="I11" s="95">
        <v>2</v>
      </c>
      <c r="J11" s="105">
        <f>SUM(G11:I14)</f>
        <v>8</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8"/>
      <c r="I13" s="95">
        <v>2</v>
      </c>
      <c r="J13" s="105"/>
    </row>
    <row r="14" spans="1:10" ht="93.6" customHeight="1" x14ac:dyDescent="0.25">
      <c r="A14" s="90" t="s">
        <v>35</v>
      </c>
      <c r="B14" s="7" t="s">
        <v>49</v>
      </c>
      <c r="C14" s="8" t="s">
        <v>50</v>
      </c>
      <c r="D14" s="8" t="s">
        <v>51</v>
      </c>
      <c r="E14" s="8" t="s">
        <v>52</v>
      </c>
      <c r="F14" s="8" t="s">
        <v>40</v>
      </c>
      <c r="G14" s="8"/>
      <c r="H14" s="8"/>
      <c r="I14" s="95">
        <v>2</v>
      </c>
      <c r="J14" s="105"/>
    </row>
    <row r="15" spans="1:10" ht="78.599999999999994" customHeight="1" x14ac:dyDescent="0.25">
      <c r="A15" s="9" t="s">
        <v>53</v>
      </c>
      <c r="B15" s="7" t="s">
        <v>54</v>
      </c>
      <c r="C15" s="8" t="s">
        <v>55</v>
      </c>
      <c r="D15" s="11" t="s">
        <v>56</v>
      </c>
      <c r="E15" s="8" t="s">
        <v>57</v>
      </c>
      <c r="F15" s="8" t="s">
        <v>58</v>
      </c>
      <c r="G15" s="8"/>
      <c r="H15" s="8"/>
      <c r="I15" s="95">
        <v>2</v>
      </c>
      <c r="J15" s="10">
        <f>SUM(G15:I15)</f>
        <v>2</v>
      </c>
    </row>
    <row r="16" spans="1:10" ht="65.650000000000006" customHeight="1" x14ac:dyDescent="0.25">
      <c r="A16" s="90" t="s">
        <v>59</v>
      </c>
      <c r="B16" s="7" t="s">
        <v>60</v>
      </c>
      <c r="C16" s="8" t="s">
        <v>61</v>
      </c>
      <c r="D16" s="8" t="s">
        <v>62</v>
      </c>
      <c r="E16" s="8" t="s">
        <v>63</v>
      </c>
      <c r="F16" s="8" t="s">
        <v>58</v>
      </c>
      <c r="G16" s="8"/>
      <c r="H16" s="8"/>
      <c r="I16" s="95">
        <v>2</v>
      </c>
      <c r="J16" s="105">
        <f>SUM(G16:I17)</f>
        <v>4</v>
      </c>
    </row>
    <row r="17" spans="1:10" ht="67.150000000000006" customHeight="1" x14ac:dyDescent="0.25">
      <c r="A17" s="90" t="s">
        <v>59</v>
      </c>
      <c r="B17" s="7" t="s">
        <v>64</v>
      </c>
      <c r="C17" s="8" t="s">
        <v>65</v>
      </c>
      <c r="D17" s="8" t="s">
        <v>66</v>
      </c>
      <c r="E17" s="8" t="s">
        <v>67</v>
      </c>
      <c r="F17" s="8" t="s">
        <v>40</v>
      </c>
      <c r="G17" s="8"/>
      <c r="H17" s="8"/>
      <c r="I17" s="95">
        <v>2</v>
      </c>
      <c r="J17" s="105"/>
    </row>
    <row r="18" spans="1:10" ht="15" customHeight="1" thickBot="1" x14ac:dyDescent="0.3">
      <c r="A18" s="106" t="s">
        <v>290</v>
      </c>
      <c r="B18" s="106"/>
      <c r="C18" s="106"/>
      <c r="D18" s="106"/>
      <c r="E18" s="106"/>
      <c r="F18" s="107"/>
      <c r="G18" s="14"/>
      <c r="H18" s="14">
        <f t="shared" ref="H18" si="0">SUM(H4:H17)</f>
        <v>0</v>
      </c>
      <c r="I18" s="14">
        <f>SUM(I4:I17)</f>
        <v>28</v>
      </c>
      <c r="J18" s="14">
        <f>SUM(J4:J17)</f>
        <v>28</v>
      </c>
    </row>
    <row r="21" spans="1:10" ht="15.75" thickBot="1" x14ac:dyDescent="0.3"/>
    <row r="22" spans="1:10" ht="64.5" thickBot="1" x14ac:dyDescent="0.3">
      <c r="A22" s="1" t="s">
        <v>69</v>
      </c>
      <c r="B22" s="2" t="s">
        <v>70</v>
      </c>
      <c r="C22" s="2" t="s">
        <v>71</v>
      </c>
      <c r="D22" s="2" t="s">
        <v>72</v>
      </c>
      <c r="E22" s="102" t="s">
        <v>339</v>
      </c>
      <c r="F22" s="13" t="s">
        <v>73</v>
      </c>
      <c r="G22" s="13" t="s">
        <v>74</v>
      </c>
      <c r="H22" s="13" t="s">
        <v>75</v>
      </c>
    </row>
    <row r="23" spans="1:10" ht="64.5" thickBot="1" x14ac:dyDescent="0.3">
      <c r="A23" s="3" t="s">
        <v>76</v>
      </c>
      <c r="B23" s="5">
        <v>7</v>
      </c>
      <c r="C23" s="5">
        <v>14</v>
      </c>
      <c r="D23" s="4">
        <v>0.25</v>
      </c>
      <c r="E23" s="103"/>
      <c r="F23" s="5">
        <v>14</v>
      </c>
      <c r="G23" s="12">
        <f>F23/C23</f>
        <v>1</v>
      </c>
      <c r="H23" s="4">
        <f>G23*D23</f>
        <v>0.25</v>
      </c>
    </row>
    <row r="24" spans="1:10" ht="39" thickBot="1" x14ac:dyDescent="0.3">
      <c r="A24" s="3" t="s">
        <v>77</v>
      </c>
      <c r="B24" s="5">
        <v>4</v>
      </c>
      <c r="C24" s="5">
        <v>8</v>
      </c>
      <c r="D24" s="4">
        <v>0.25</v>
      </c>
      <c r="E24" s="103"/>
      <c r="F24" s="5">
        <v>8</v>
      </c>
      <c r="G24" s="12">
        <f t="shared" ref="G24:G26" si="1">F24/C24</f>
        <v>1</v>
      </c>
      <c r="H24" s="4">
        <f>G24*D24</f>
        <v>0.25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4</v>
      </c>
      <c r="G26" s="12">
        <f t="shared" si="1"/>
        <v>1</v>
      </c>
      <c r="H26" s="4">
        <f>G26*D26</f>
        <v>0.25</v>
      </c>
    </row>
    <row r="27" spans="1:10" ht="16.5" thickBot="1" x14ac:dyDescent="0.3">
      <c r="A27" s="15" t="s">
        <v>80</v>
      </c>
      <c r="B27" s="16">
        <f>SUM(B23:B26)</f>
        <v>14</v>
      </c>
      <c r="C27" s="16">
        <f>SUM(C23:C26)</f>
        <v>28</v>
      </c>
      <c r="D27" s="17">
        <f>SUM(D23:D26)</f>
        <v>1</v>
      </c>
      <c r="E27" s="104"/>
      <c r="F27" s="16">
        <f>SUM(F23:F26)</f>
        <v>28</v>
      </c>
      <c r="G27" s="16" t="s">
        <v>81</v>
      </c>
      <c r="H27" s="18">
        <f>SUM(H23:H26)</f>
        <v>1</v>
      </c>
    </row>
  </sheetData>
  <mergeCells count="6">
    <mergeCell ref="E22:E27"/>
    <mergeCell ref="A1:J1"/>
    <mergeCell ref="J4:J10"/>
    <mergeCell ref="J11:J14"/>
    <mergeCell ref="J16:J17"/>
    <mergeCell ref="A18:F18"/>
  </mergeCells>
  <conditionalFormatting sqref="G23:H26">
    <cfRule type="cellIs" dxfId="112" priority="1" operator="between">
      <formula>0.8</formula>
      <formula>1</formula>
    </cfRule>
    <cfRule type="cellIs" dxfId="111" priority="2" operator="between">
      <formula>0.41</formula>
      <formula>0.79</formula>
    </cfRule>
    <cfRule type="cellIs" dxfId="110" priority="3" operator="between">
      <formula>0</formula>
      <formula>0.4</formula>
    </cfRule>
  </conditionalFormatting>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B1AB1-BD06-4E6E-BBEA-2977F2A3A097}">
  <dimension ref="A1:J27"/>
  <sheetViews>
    <sheetView topLeftCell="A16" workbookViewId="0">
      <selection activeCell="F25" sqref="F25"/>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8"/>
      <c r="I4" s="95">
        <v>2</v>
      </c>
      <c r="J4" s="105">
        <f>SUM(G4:I10)</f>
        <v>12</v>
      </c>
    </row>
    <row r="5" spans="1:10" ht="52.15" customHeight="1" x14ac:dyDescent="0.25">
      <c r="A5" s="90" t="s">
        <v>11</v>
      </c>
      <c r="B5" s="7" t="s">
        <v>17</v>
      </c>
      <c r="C5" s="8" t="s">
        <v>18</v>
      </c>
      <c r="D5" s="8" t="s">
        <v>19</v>
      </c>
      <c r="E5" s="91" t="s">
        <v>15</v>
      </c>
      <c r="F5" s="91" t="s">
        <v>16</v>
      </c>
      <c r="G5" s="8"/>
      <c r="H5" s="8"/>
      <c r="I5" s="95">
        <v>2</v>
      </c>
      <c r="J5" s="105"/>
    </row>
    <row r="6" spans="1:10" ht="44.65" customHeight="1" x14ac:dyDescent="0.25">
      <c r="A6" s="90" t="s">
        <v>11</v>
      </c>
      <c r="B6" s="7" t="s">
        <v>20</v>
      </c>
      <c r="C6" s="8"/>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8"/>
      <c r="H7" s="96">
        <v>1</v>
      </c>
      <c r="I7" s="8"/>
      <c r="J7" s="105"/>
    </row>
    <row r="8" spans="1:10" ht="52.5" customHeight="1" x14ac:dyDescent="0.25">
      <c r="A8" s="90" t="s">
        <v>11</v>
      </c>
      <c r="B8" s="7" t="s">
        <v>26</v>
      </c>
      <c r="C8" s="8" t="s">
        <v>27</v>
      </c>
      <c r="D8" s="8" t="s">
        <v>28</v>
      </c>
      <c r="E8" s="91" t="s">
        <v>15</v>
      </c>
      <c r="F8" s="91" t="s">
        <v>16</v>
      </c>
      <c r="G8" s="8"/>
      <c r="H8" s="96">
        <v>1</v>
      </c>
      <c r="I8" s="8"/>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8"/>
      <c r="I10" s="95">
        <v>2</v>
      </c>
      <c r="J10" s="105"/>
    </row>
    <row r="11" spans="1:10" ht="117.6" customHeight="1" x14ac:dyDescent="0.25">
      <c r="A11" s="90" t="s">
        <v>292</v>
      </c>
      <c r="B11" s="7" t="s">
        <v>36</v>
      </c>
      <c r="C11" s="8" t="s">
        <v>293</v>
      </c>
      <c r="D11" s="8" t="s">
        <v>294</v>
      </c>
      <c r="E11" s="8" t="s">
        <v>39</v>
      </c>
      <c r="F11" s="8" t="s">
        <v>40</v>
      </c>
      <c r="G11" s="8"/>
      <c r="H11" s="8"/>
      <c r="I11" s="95">
        <v>2</v>
      </c>
      <c r="J11" s="105">
        <f>SUM(G11:I14)</f>
        <v>7</v>
      </c>
    </row>
    <row r="12" spans="1:10" ht="93" customHeight="1" x14ac:dyDescent="0.25">
      <c r="A12" s="90" t="s">
        <v>35</v>
      </c>
      <c r="B12" s="7" t="s">
        <v>41</v>
      </c>
      <c r="C12" s="8" t="s">
        <v>295</v>
      </c>
      <c r="D12" s="8" t="s">
        <v>43</v>
      </c>
      <c r="E12" s="8" t="s">
        <v>44</v>
      </c>
      <c r="F12" s="8" t="s">
        <v>40</v>
      </c>
      <c r="G12" s="8"/>
      <c r="H12" s="8"/>
      <c r="I12" s="95">
        <v>2</v>
      </c>
      <c r="J12" s="105"/>
    </row>
    <row r="13" spans="1:10" ht="76.5" customHeight="1" x14ac:dyDescent="0.25">
      <c r="A13" s="90" t="s">
        <v>35</v>
      </c>
      <c r="B13" s="7" t="s">
        <v>45</v>
      </c>
      <c r="C13" s="8" t="s">
        <v>296</v>
      </c>
      <c r="D13" s="8" t="s">
        <v>297</v>
      </c>
      <c r="E13" s="8" t="s">
        <v>298</v>
      </c>
      <c r="F13" s="8" t="s">
        <v>40</v>
      </c>
      <c r="G13" s="8"/>
      <c r="H13" s="96">
        <v>1</v>
      </c>
      <c r="I13" s="8"/>
      <c r="J13" s="105"/>
    </row>
    <row r="14" spans="1:10" ht="93.6" customHeight="1" x14ac:dyDescent="0.25">
      <c r="A14" s="90" t="s">
        <v>35</v>
      </c>
      <c r="B14" s="7" t="s">
        <v>49</v>
      </c>
      <c r="C14" s="8" t="s">
        <v>299</v>
      </c>
      <c r="D14" s="8" t="s">
        <v>51</v>
      </c>
      <c r="E14" s="8" t="s">
        <v>52</v>
      </c>
      <c r="F14" s="8" t="s">
        <v>40</v>
      </c>
      <c r="G14" s="8"/>
      <c r="H14" s="8"/>
      <c r="I14" s="95">
        <v>2</v>
      </c>
      <c r="J14" s="105"/>
    </row>
    <row r="15" spans="1:10" ht="78.599999999999994" customHeight="1" x14ac:dyDescent="0.25">
      <c r="A15" s="9" t="s">
        <v>53</v>
      </c>
      <c r="B15" s="7" t="s">
        <v>54</v>
      </c>
      <c r="C15" s="8" t="s">
        <v>55</v>
      </c>
      <c r="D15" s="11" t="s">
        <v>300</v>
      </c>
      <c r="E15" s="8" t="s">
        <v>57</v>
      </c>
      <c r="F15" s="8" t="s">
        <v>58</v>
      </c>
      <c r="G15" s="8"/>
      <c r="H15" s="96">
        <v>1</v>
      </c>
      <c r="I15" s="8"/>
      <c r="J15" s="10">
        <f>SUM(G15:I15)</f>
        <v>1</v>
      </c>
    </row>
    <row r="16" spans="1:10" ht="65.650000000000006" customHeight="1" x14ac:dyDescent="0.25">
      <c r="A16" s="90" t="s">
        <v>59</v>
      </c>
      <c r="B16" s="7" t="s">
        <v>60</v>
      </c>
      <c r="C16" s="8" t="s">
        <v>301</v>
      </c>
      <c r="D16" s="8" t="s">
        <v>302</v>
      </c>
      <c r="E16" s="8" t="s">
        <v>303</v>
      </c>
      <c r="F16" s="8" t="s">
        <v>58</v>
      </c>
      <c r="G16" s="8"/>
      <c r="H16" s="96">
        <v>1</v>
      </c>
      <c r="I16" s="8"/>
      <c r="J16" s="105">
        <f>SUM(G16:I17)</f>
        <v>3</v>
      </c>
    </row>
    <row r="17" spans="1:10" ht="67.150000000000006" customHeight="1" x14ac:dyDescent="0.25">
      <c r="A17" s="90" t="s">
        <v>59</v>
      </c>
      <c r="B17" s="7" t="s">
        <v>64</v>
      </c>
      <c r="C17" s="8" t="s">
        <v>65</v>
      </c>
      <c r="D17" s="8" t="s">
        <v>66</v>
      </c>
      <c r="E17" s="8" t="s">
        <v>67</v>
      </c>
      <c r="F17" s="8" t="s">
        <v>40</v>
      </c>
      <c r="G17" s="8"/>
      <c r="H17" s="8"/>
      <c r="I17" s="95">
        <v>2</v>
      </c>
      <c r="J17" s="105"/>
    </row>
    <row r="18" spans="1:10" ht="15" customHeight="1" thickBot="1" x14ac:dyDescent="0.3">
      <c r="A18" s="106" t="s">
        <v>291</v>
      </c>
      <c r="B18" s="106"/>
      <c r="C18" s="106"/>
      <c r="D18" s="106"/>
      <c r="E18" s="106"/>
      <c r="F18" s="107"/>
      <c r="G18" s="14"/>
      <c r="H18" s="14">
        <f t="shared" ref="H18" si="0">SUM(H4:H17)</f>
        <v>5</v>
      </c>
      <c r="I18" s="14">
        <f>SUM(I4:I17)</f>
        <v>18</v>
      </c>
      <c r="J18" s="14">
        <f>SUM(J4:J17)</f>
        <v>23</v>
      </c>
    </row>
    <row r="21" spans="1:10" ht="15.75" thickBot="1" x14ac:dyDescent="0.3"/>
    <row r="22" spans="1:10" ht="64.5" thickBot="1" x14ac:dyDescent="0.3">
      <c r="A22" s="1" t="s">
        <v>69</v>
      </c>
      <c r="B22" s="2" t="s">
        <v>70</v>
      </c>
      <c r="C22" s="2" t="s">
        <v>71</v>
      </c>
      <c r="D22" s="2" t="s">
        <v>72</v>
      </c>
      <c r="E22" s="102" t="s">
        <v>340</v>
      </c>
      <c r="F22" s="13" t="s">
        <v>73</v>
      </c>
      <c r="G22" s="13" t="s">
        <v>74</v>
      </c>
      <c r="H22" s="13" t="s">
        <v>75</v>
      </c>
    </row>
    <row r="23" spans="1:10" ht="64.5" thickBot="1" x14ac:dyDescent="0.3">
      <c r="A23" s="3" t="s">
        <v>76</v>
      </c>
      <c r="B23" s="5">
        <v>7</v>
      </c>
      <c r="C23" s="5">
        <v>14</v>
      </c>
      <c r="D23" s="4">
        <v>0.25</v>
      </c>
      <c r="E23" s="103"/>
      <c r="F23" s="5">
        <v>12</v>
      </c>
      <c r="G23" s="12">
        <f>F23/C23</f>
        <v>0.8571428571428571</v>
      </c>
      <c r="H23" s="4">
        <f>G23*D23</f>
        <v>0.21428571428571427</v>
      </c>
    </row>
    <row r="24" spans="1:10" ht="39" thickBot="1" x14ac:dyDescent="0.3">
      <c r="A24" s="3" t="s">
        <v>77</v>
      </c>
      <c r="B24" s="5">
        <v>4</v>
      </c>
      <c r="C24" s="5">
        <v>8</v>
      </c>
      <c r="D24" s="4">
        <v>0.25</v>
      </c>
      <c r="E24" s="103"/>
      <c r="F24" s="5">
        <v>7</v>
      </c>
      <c r="G24" s="12">
        <f t="shared" ref="G24:G26" si="1">F24/C24</f>
        <v>0.875</v>
      </c>
      <c r="H24" s="4">
        <f>G24*D24</f>
        <v>0.21875</v>
      </c>
    </row>
    <row r="25" spans="1:10" ht="64.5" thickBot="1" x14ac:dyDescent="0.3">
      <c r="A25" s="3" t="s">
        <v>78</v>
      </c>
      <c r="B25" s="5">
        <v>1</v>
      </c>
      <c r="C25" s="5">
        <v>2</v>
      </c>
      <c r="D25" s="4">
        <v>0.25</v>
      </c>
      <c r="E25" s="103"/>
      <c r="F25" s="5">
        <v>1</v>
      </c>
      <c r="G25" s="12">
        <f t="shared" si="1"/>
        <v>0.5</v>
      </c>
      <c r="H25" s="4">
        <f>G25*D25</f>
        <v>0.125</v>
      </c>
    </row>
    <row r="26" spans="1:10" ht="26.25" thickBot="1" x14ac:dyDescent="0.3">
      <c r="A26" s="3" t="s">
        <v>79</v>
      </c>
      <c r="B26" s="5">
        <v>2</v>
      </c>
      <c r="C26" s="5">
        <v>4</v>
      </c>
      <c r="D26" s="4">
        <v>0.25</v>
      </c>
      <c r="E26" s="103"/>
      <c r="F26" s="5">
        <v>3</v>
      </c>
      <c r="G26" s="12">
        <f t="shared" si="1"/>
        <v>0.75</v>
      </c>
      <c r="H26" s="4">
        <f>G26*D26</f>
        <v>0.1875</v>
      </c>
    </row>
    <row r="27" spans="1:10" ht="16.5" thickBot="1" x14ac:dyDescent="0.3">
      <c r="A27" s="15" t="s">
        <v>80</v>
      </c>
      <c r="B27" s="16">
        <f>SUM(B23:B26)</f>
        <v>14</v>
      </c>
      <c r="C27" s="16">
        <f>SUM(C23:C26)</f>
        <v>28</v>
      </c>
      <c r="D27" s="17">
        <f>SUM(D23:D26)</f>
        <v>1</v>
      </c>
      <c r="E27" s="104"/>
      <c r="F27" s="16">
        <f>SUM(F23:F26)</f>
        <v>23</v>
      </c>
      <c r="G27" s="16" t="s">
        <v>81</v>
      </c>
      <c r="H27" s="18">
        <f>SUM(H23:H26)</f>
        <v>0.7455357142857143</v>
      </c>
    </row>
  </sheetData>
  <mergeCells count="6">
    <mergeCell ref="E22:E27"/>
    <mergeCell ref="A1:J1"/>
    <mergeCell ref="J4:J10"/>
    <mergeCell ref="J11:J14"/>
    <mergeCell ref="J16:J17"/>
    <mergeCell ref="A18:F18"/>
  </mergeCells>
  <conditionalFormatting sqref="G23:H26">
    <cfRule type="cellIs" dxfId="109" priority="1" operator="between">
      <formula>0.8</formula>
      <formula>1</formula>
    </cfRule>
    <cfRule type="cellIs" dxfId="108" priority="2" operator="between">
      <formula>0.41</formula>
      <formula>0.79</formula>
    </cfRule>
    <cfRule type="cellIs" dxfId="107" priority="3" operator="between">
      <formula>0</formula>
      <formula>0.4</formula>
    </cfRule>
  </conditionalFormatting>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9680A-F1F6-48D0-A9D1-C59DCC962057}">
  <dimension ref="A1:J27"/>
  <sheetViews>
    <sheetView topLeftCell="B16" workbookViewId="0">
      <selection activeCell="F24" sqref="F24"/>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32"/>
      <c r="I4" s="95">
        <v>2</v>
      </c>
      <c r="J4" s="105">
        <v>13</v>
      </c>
    </row>
    <row r="5" spans="1:10" ht="52.15" customHeight="1" x14ac:dyDescent="0.25">
      <c r="A5" s="90" t="s">
        <v>11</v>
      </c>
      <c r="B5" s="7" t="s">
        <v>17</v>
      </c>
      <c r="C5" s="8" t="s">
        <v>18</v>
      </c>
      <c r="D5" s="8" t="s">
        <v>19</v>
      </c>
      <c r="E5" s="91" t="s">
        <v>15</v>
      </c>
      <c r="F5" s="91" t="s">
        <v>16</v>
      </c>
      <c r="G5" s="32"/>
      <c r="H5" s="8"/>
      <c r="I5" s="95">
        <v>2</v>
      </c>
      <c r="J5" s="105"/>
    </row>
    <row r="6" spans="1:10" ht="44.65" customHeight="1" x14ac:dyDescent="0.25">
      <c r="A6" s="90" t="s">
        <v>11</v>
      </c>
      <c r="B6" s="7" t="s">
        <v>20</v>
      </c>
      <c r="C6" s="8" t="s">
        <v>21</v>
      </c>
      <c r="D6" s="8" t="s">
        <v>22</v>
      </c>
      <c r="E6" s="91" t="s">
        <v>15</v>
      </c>
      <c r="F6" s="91" t="s">
        <v>16</v>
      </c>
      <c r="G6" s="8"/>
      <c r="H6" s="32"/>
      <c r="I6" s="95">
        <v>2</v>
      </c>
      <c r="J6" s="105"/>
    </row>
    <row r="7" spans="1:10" ht="48.6" customHeight="1" x14ac:dyDescent="0.25">
      <c r="A7" s="90" t="s">
        <v>11</v>
      </c>
      <c r="B7" s="7" t="s">
        <v>23</v>
      </c>
      <c r="C7" s="8" t="s">
        <v>24</v>
      </c>
      <c r="D7" s="8" t="s">
        <v>25</v>
      </c>
      <c r="E7" s="91" t="s">
        <v>15</v>
      </c>
      <c r="F7" s="91" t="s">
        <v>16</v>
      </c>
      <c r="G7" s="32"/>
      <c r="H7" s="8"/>
      <c r="I7" s="95">
        <v>2</v>
      </c>
      <c r="J7" s="105"/>
    </row>
    <row r="8" spans="1:10" ht="52.5" customHeight="1" x14ac:dyDescent="0.25">
      <c r="A8" s="90" t="s">
        <v>11</v>
      </c>
      <c r="B8" s="7" t="s">
        <v>26</v>
      </c>
      <c r="C8" s="8" t="s">
        <v>27</v>
      </c>
      <c r="D8" s="8" t="s">
        <v>28</v>
      </c>
      <c r="E8" s="91" t="s">
        <v>15</v>
      </c>
      <c r="F8" s="91" t="s">
        <v>16</v>
      </c>
      <c r="G8" s="32"/>
      <c r="H8" s="8"/>
      <c r="I8" s="95">
        <v>2</v>
      </c>
      <c r="J8" s="105"/>
    </row>
    <row r="9" spans="1:10" ht="44.65" customHeight="1" x14ac:dyDescent="0.25">
      <c r="A9" s="90" t="s">
        <v>11</v>
      </c>
      <c r="B9" s="7" t="s">
        <v>29</v>
      </c>
      <c r="C9" s="8" t="s">
        <v>30</v>
      </c>
      <c r="D9" s="8" t="s">
        <v>31</v>
      </c>
      <c r="E9" s="91" t="s">
        <v>15</v>
      </c>
      <c r="F9" s="91" t="s">
        <v>16</v>
      </c>
      <c r="G9" s="32"/>
      <c r="H9" s="32"/>
      <c r="I9" s="95">
        <v>2</v>
      </c>
      <c r="J9" s="105"/>
    </row>
    <row r="10" spans="1:10" ht="76.5" customHeight="1" x14ac:dyDescent="0.25">
      <c r="A10" s="90" t="s">
        <v>11</v>
      </c>
      <c r="B10" s="7" t="s">
        <v>32</v>
      </c>
      <c r="C10" s="8" t="s">
        <v>33</v>
      </c>
      <c r="D10" s="8" t="s">
        <v>34</v>
      </c>
      <c r="E10" s="91" t="s">
        <v>15</v>
      </c>
      <c r="F10" s="91" t="s">
        <v>16</v>
      </c>
      <c r="G10" s="32"/>
      <c r="H10" s="96">
        <v>1</v>
      </c>
      <c r="I10" s="32"/>
      <c r="J10" s="105"/>
    </row>
    <row r="11" spans="1:10" ht="117.6" customHeight="1" x14ac:dyDescent="0.25">
      <c r="A11" s="90" t="s">
        <v>35</v>
      </c>
      <c r="B11" s="7" t="s">
        <v>36</v>
      </c>
      <c r="C11" s="8" t="s">
        <v>37</v>
      </c>
      <c r="D11" s="8" t="s">
        <v>38</v>
      </c>
      <c r="E11" s="8" t="s">
        <v>39</v>
      </c>
      <c r="F11" s="8" t="s">
        <v>40</v>
      </c>
      <c r="G11" s="32"/>
      <c r="H11" s="96">
        <v>1</v>
      </c>
      <c r="I11" s="32"/>
      <c r="J11" s="105">
        <v>6</v>
      </c>
    </row>
    <row r="12" spans="1:10" ht="93" customHeight="1" x14ac:dyDescent="0.25">
      <c r="A12" s="90" t="s">
        <v>35</v>
      </c>
      <c r="B12" s="7" t="s">
        <v>41</v>
      </c>
      <c r="C12" s="8" t="s">
        <v>42</v>
      </c>
      <c r="D12" s="8" t="s">
        <v>43</v>
      </c>
      <c r="E12" s="8" t="s">
        <v>44</v>
      </c>
      <c r="F12" s="8" t="s">
        <v>40</v>
      </c>
      <c r="G12" s="8"/>
      <c r="H12" s="96">
        <v>1</v>
      </c>
      <c r="I12" s="32"/>
      <c r="J12" s="105"/>
    </row>
    <row r="13" spans="1:10" ht="76.5" customHeight="1" x14ac:dyDescent="0.25">
      <c r="A13" s="90" t="s">
        <v>35</v>
      </c>
      <c r="B13" s="7" t="s">
        <v>45</v>
      </c>
      <c r="C13" s="8" t="s">
        <v>46</v>
      </c>
      <c r="D13" s="8" t="s">
        <v>47</v>
      </c>
      <c r="E13" s="8" t="s">
        <v>48</v>
      </c>
      <c r="F13" s="8" t="s">
        <v>40</v>
      </c>
      <c r="G13" s="32"/>
      <c r="H13" s="8"/>
      <c r="I13" s="97">
        <v>2</v>
      </c>
      <c r="J13" s="105"/>
    </row>
    <row r="14" spans="1:10" ht="93.6" customHeight="1" x14ac:dyDescent="0.25">
      <c r="A14" s="90" t="s">
        <v>35</v>
      </c>
      <c r="B14" s="7" t="s">
        <v>49</v>
      </c>
      <c r="C14" s="8" t="s">
        <v>50</v>
      </c>
      <c r="D14" s="8" t="s">
        <v>51</v>
      </c>
      <c r="E14" s="8" t="s">
        <v>52</v>
      </c>
      <c r="F14" s="8" t="s">
        <v>40</v>
      </c>
      <c r="G14" s="8"/>
      <c r="H14" s="32"/>
      <c r="I14" s="95">
        <v>2</v>
      </c>
      <c r="J14" s="105"/>
    </row>
    <row r="15" spans="1:10" ht="78.599999999999994" customHeight="1" x14ac:dyDescent="0.25">
      <c r="A15" s="9" t="s">
        <v>53</v>
      </c>
      <c r="B15" s="7" t="s">
        <v>54</v>
      </c>
      <c r="C15" s="8" t="s">
        <v>55</v>
      </c>
      <c r="D15" s="11" t="s">
        <v>56</v>
      </c>
      <c r="E15" s="8" t="s">
        <v>57</v>
      </c>
      <c r="F15" s="8" t="s">
        <v>58</v>
      </c>
      <c r="G15" s="32"/>
      <c r="H15" s="8"/>
      <c r="I15" s="95">
        <v>2</v>
      </c>
      <c r="J15" s="10"/>
    </row>
    <row r="16" spans="1:10" ht="65.650000000000006" customHeight="1" x14ac:dyDescent="0.25">
      <c r="A16" s="90" t="s">
        <v>59</v>
      </c>
      <c r="B16" s="7" t="s">
        <v>60</v>
      </c>
      <c r="C16" s="8" t="s">
        <v>61</v>
      </c>
      <c r="D16" s="8" t="s">
        <v>62</v>
      </c>
      <c r="E16" s="8" t="s">
        <v>63</v>
      </c>
      <c r="F16" s="8" t="s">
        <v>58</v>
      </c>
      <c r="G16" s="32"/>
      <c r="H16" s="96">
        <v>1</v>
      </c>
      <c r="I16" s="32"/>
      <c r="J16" s="105">
        <f>SUM(G16:I17)</f>
        <v>2</v>
      </c>
    </row>
    <row r="17" spans="1:10" ht="67.150000000000006" customHeight="1" x14ac:dyDescent="0.25">
      <c r="A17" s="90" t="s">
        <v>59</v>
      </c>
      <c r="B17" s="7" t="s">
        <v>64</v>
      </c>
      <c r="C17" s="8" t="s">
        <v>65</v>
      </c>
      <c r="D17" s="8" t="s">
        <v>66</v>
      </c>
      <c r="E17" s="8" t="s">
        <v>67</v>
      </c>
      <c r="F17" s="8" t="s">
        <v>40</v>
      </c>
      <c r="G17" s="8"/>
      <c r="H17" s="96">
        <v>1</v>
      </c>
      <c r="I17" s="32"/>
      <c r="J17" s="105"/>
    </row>
    <row r="18" spans="1:10" ht="15" customHeight="1" thickBot="1" x14ac:dyDescent="0.3">
      <c r="A18" s="106" t="s">
        <v>284</v>
      </c>
      <c r="B18" s="106"/>
      <c r="C18" s="106"/>
      <c r="D18" s="106"/>
      <c r="E18" s="106"/>
      <c r="F18" s="107"/>
      <c r="G18" s="14"/>
      <c r="H18" s="14">
        <f t="shared" ref="H18" si="0">SUM(H4:H17)</f>
        <v>5</v>
      </c>
      <c r="I18" s="14">
        <f>SUM(I4:I17)</f>
        <v>18</v>
      </c>
      <c r="J18" s="14">
        <f>SUM(J4:J17)</f>
        <v>21</v>
      </c>
    </row>
    <row r="21" spans="1:10" ht="15.75" thickBot="1" x14ac:dyDescent="0.3"/>
    <row r="22" spans="1:10" ht="64.5" thickBot="1" x14ac:dyDescent="0.3">
      <c r="A22" s="1" t="s">
        <v>69</v>
      </c>
      <c r="B22" s="2" t="s">
        <v>70</v>
      </c>
      <c r="C22" s="2" t="s">
        <v>71</v>
      </c>
      <c r="D22" s="2" t="s">
        <v>72</v>
      </c>
      <c r="E22" s="102" t="s">
        <v>366</v>
      </c>
      <c r="F22" s="13" t="s">
        <v>73</v>
      </c>
      <c r="G22" s="13" t="s">
        <v>74</v>
      </c>
      <c r="H22" s="13" t="s">
        <v>75</v>
      </c>
    </row>
    <row r="23" spans="1:10" ht="64.5" thickBot="1" x14ac:dyDescent="0.3">
      <c r="A23" s="3" t="s">
        <v>76</v>
      </c>
      <c r="B23" s="5">
        <v>7</v>
      </c>
      <c r="C23" s="5">
        <v>14</v>
      </c>
      <c r="D23" s="4">
        <v>0.25</v>
      </c>
      <c r="E23" s="103"/>
      <c r="F23" s="5">
        <v>13</v>
      </c>
      <c r="G23" s="12">
        <f>F23/C23</f>
        <v>0.9285714285714286</v>
      </c>
      <c r="H23" s="4">
        <f>G23*D23</f>
        <v>0.23214285714285715</v>
      </c>
    </row>
    <row r="24" spans="1:10" ht="39" thickBot="1" x14ac:dyDescent="0.3">
      <c r="A24" s="3" t="s">
        <v>77</v>
      </c>
      <c r="B24" s="5">
        <v>4</v>
      </c>
      <c r="C24" s="5">
        <v>8</v>
      </c>
      <c r="D24" s="4">
        <v>0.25</v>
      </c>
      <c r="E24" s="103"/>
      <c r="F24" s="5">
        <v>6</v>
      </c>
      <c r="G24" s="12">
        <f t="shared" ref="G24:G25" si="1">F24/C24</f>
        <v>0.75</v>
      </c>
      <c r="H24" s="4">
        <f>G24*D24</f>
        <v>0.1875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2</v>
      </c>
      <c r="G26" s="99">
        <v>0.5</v>
      </c>
      <c r="H26" s="4">
        <f>G26*D26</f>
        <v>0.125</v>
      </c>
    </row>
    <row r="27" spans="1:10" ht="16.5" thickBot="1" x14ac:dyDescent="0.3">
      <c r="A27" s="15" t="s">
        <v>80</v>
      </c>
      <c r="B27" s="16">
        <f>SUM(B23:B26)</f>
        <v>14</v>
      </c>
      <c r="C27" s="16">
        <f>SUM(C23:C26)</f>
        <v>28</v>
      </c>
      <c r="D27" s="17">
        <f>SUM(D23:D26)</f>
        <v>1</v>
      </c>
      <c r="E27" s="104"/>
      <c r="F27" s="16">
        <f>SUM(F23:F26)</f>
        <v>23</v>
      </c>
      <c r="G27" s="16" t="s">
        <v>81</v>
      </c>
      <c r="H27" s="18">
        <f>SUM(H23:H26)</f>
        <v>0.79464285714285721</v>
      </c>
    </row>
  </sheetData>
  <mergeCells count="6">
    <mergeCell ref="A1:J1"/>
    <mergeCell ref="J16:J17"/>
    <mergeCell ref="A18:F18"/>
    <mergeCell ref="E22:E27"/>
    <mergeCell ref="J4:J10"/>
    <mergeCell ref="J11:J14"/>
  </mergeCells>
  <conditionalFormatting sqref="G23:H26">
    <cfRule type="cellIs" dxfId="106" priority="1" operator="between">
      <formula>0.8</formula>
      <formula>1</formula>
    </cfRule>
    <cfRule type="cellIs" dxfId="105" priority="2" operator="between">
      <formula>0.41</formula>
      <formula>0.79</formula>
    </cfRule>
    <cfRule type="cellIs" dxfId="104" priority="3" operator="between">
      <formula>0</formula>
      <formula>0.4</formula>
    </cfRule>
  </conditionalFormatting>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A9BDE-A9C8-496C-A560-CF0A7097C600}">
  <dimension ref="A1:J27"/>
  <sheetViews>
    <sheetView topLeftCell="A16" workbookViewId="0">
      <selection activeCell="H26" sqref="H26"/>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8"/>
      <c r="I4" s="95">
        <v>2</v>
      </c>
      <c r="J4" s="105">
        <f>SUM(G4:I10)</f>
        <v>14</v>
      </c>
    </row>
    <row r="5" spans="1:10" ht="52.15" customHeight="1" x14ac:dyDescent="0.25">
      <c r="A5" s="90" t="s">
        <v>11</v>
      </c>
      <c r="B5" s="7" t="s">
        <v>17</v>
      </c>
      <c r="C5" s="8" t="s">
        <v>18</v>
      </c>
      <c r="D5" s="8" t="s">
        <v>19</v>
      </c>
      <c r="E5" s="91" t="s">
        <v>15</v>
      </c>
      <c r="F5" s="91" t="s">
        <v>16</v>
      </c>
      <c r="G5" s="8"/>
      <c r="H5" s="8"/>
      <c r="I5" s="95">
        <v>2</v>
      </c>
      <c r="J5" s="105"/>
    </row>
    <row r="6" spans="1:10" ht="44.65" customHeight="1" x14ac:dyDescent="0.25">
      <c r="A6" s="90" t="s">
        <v>11</v>
      </c>
      <c r="B6" s="7" t="s">
        <v>20</v>
      </c>
      <c r="C6" s="8"/>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8"/>
      <c r="I8" s="95">
        <v>2</v>
      </c>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8"/>
      <c r="I10" s="95">
        <v>2</v>
      </c>
      <c r="J10" s="105"/>
    </row>
    <row r="11" spans="1:10" ht="117.6" customHeight="1" x14ac:dyDescent="0.25">
      <c r="A11" s="90" t="s">
        <v>35</v>
      </c>
      <c r="B11" s="7" t="s">
        <v>36</v>
      </c>
      <c r="C11" s="8" t="s">
        <v>37</v>
      </c>
      <c r="D11" s="8" t="s">
        <v>38</v>
      </c>
      <c r="E11" s="8" t="s">
        <v>39</v>
      </c>
      <c r="F11" s="8" t="s">
        <v>40</v>
      </c>
      <c r="G11" s="8"/>
      <c r="H11" s="8"/>
      <c r="I11" s="95">
        <v>2</v>
      </c>
      <c r="J11" s="105">
        <f>SUM(G11:I14)</f>
        <v>8</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8"/>
      <c r="I13" s="95">
        <v>2</v>
      </c>
      <c r="J13" s="105"/>
    </row>
    <row r="14" spans="1:10" ht="93.6" customHeight="1" x14ac:dyDescent="0.25">
      <c r="A14" s="90" t="s">
        <v>35</v>
      </c>
      <c r="B14" s="7" t="s">
        <v>49</v>
      </c>
      <c r="C14" s="8" t="s">
        <v>50</v>
      </c>
      <c r="D14" s="8" t="s">
        <v>51</v>
      </c>
      <c r="E14" s="8" t="s">
        <v>52</v>
      </c>
      <c r="F14" s="8" t="s">
        <v>40</v>
      </c>
      <c r="G14" s="8"/>
      <c r="H14" s="8"/>
      <c r="I14" s="95">
        <v>2</v>
      </c>
      <c r="J14" s="105"/>
    </row>
    <row r="15" spans="1:10" ht="78.599999999999994" customHeight="1" x14ac:dyDescent="0.25">
      <c r="A15" s="9" t="s">
        <v>53</v>
      </c>
      <c r="B15" s="7" t="s">
        <v>54</v>
      </c>
      <c r="C15" s="8" t="s">
        <v>55</v>
      </c>
      <c r="D15" s="11" t="s">
        <v>56</v>
      </c>
      <c r="E15" s="8" t="s">
        <v>57</v>
      </c>
      <c r="F15" s="8" t="s">
        <v>58</v>
      </c>
      <c r="G15" s="8"/>
      <c r="H15" s="8"/>
      <c r="I15" s="8">
        <v>2</v>
      </c>
      <c r="J15" s="10">
        <f>SUM(G15:I15)</f>
        <v>2</v>
      </c>
    </row>
    <row r="16" spans="1:10" ht="65.650000000000006" customHeight="1" x14ac:dyDescent="0.25">
      <c r="A16" s="90" t="s">
        <v>59</v>
      </c>
      <c r="B16" s="7" t="s">
        <v>60</v>
      </c>
      <c r="C16" s="8" t="s">
        <v>61</v>
      </c>
      <c r="D16" s="8" t="s">
        <v>62</v>
      </c>
      <c r="E16" s="8" t="s">
        <v>63</v>
      </c>
      <c r="F16" s="8" t="s">
        <v>58</v>
      </c>
      <c r="G16" s="8"/>
      <c r="H16" s="8"/>
      <c r="I16" s="95">
        <v>2</v>
      </c>
      <c r="J16" s="105">
        <f>SUM(G16:I17)</f>
        <v>4</v>
      </c>
    </row>
    <row r="17" spans="1:10" ht="67.150000000000006" customHeight="1" x14ac:dyDescent="0.25">
      <c r="A17" s="90" t="s">
        <v>59</v>
      </c>
      <c r="B17" s="7" t="s">
        <v>64</v>
      </c>
      <c r="C17" s="8" t="s">
        <v>65</v>
      </c>
      <c r="D17" s="8" t="s">
        <v>66</v>
      </c>
      <c r="E17" s="8" t="s">
        <v>67</v>
      </c>
      <c r="F17" s="8" t="s">
        <v>40</v>
      </c>
      <c r="G17" s="8"/>
      <c r="H17" s="8"/>
      <c r="I17" s="95">
        <v>2</v>
      </c>
      <c r="J17" s="105"/>
    </row>
    <row r="18" spans="1:10" ht="15" customHeight="1" thickBot="1" x14ac:dyDescent="0.3">
      <c r="A18" s="106" t="s">
        <v>336</v>
      </c>
      <c r="B18" s="106"/>
      <c r="C18" s="106"/>
      <c r="D18" s="106"/>
      <c r="E18" s="106"/>
      <c r="F18" s="107"/>
      <c r="G18" s="14"/>
      <c r="H18" s="14">
        <f t="shared" ref="H18" si="0">SUM(H4:H17)</f>
        <v>0</v>
      </c>
      <c r="I18" s="14">
        <f>SUM(I4:I17)</f>
        <v>28</v>
      </c>
      <c r="J18" s="14">
        <f>SUM(J4:J17)</f>
        <v>28</v>
      </c>
    </row>
    <row r="21" spans="1:10" ht="15.75" thickBot="1" x14ac:dyDescent="0.3"/>
    <row r="22" spans="1:10" ht="64.5" thickBot="1" x14ac:dyDescent="0.3">
      <c r="A22" s="1" t="s">
        <v>69</v>
      </c>
      <c r="B22" s="2" t="s">
        <v>70</v>
      </c>
      <c r="C22" s="2" t="s">
        <v>71</v>
      </c>
      <c r="D22" s="2" t="s">
        <v>72</v>
      </c>
      <c r="E22" s="102" t="s">
        <v>341</v>
      </c>
      <c r="F22" s="13" t="s">
        <v>73</v>
      </c>
      <c r="G22" s="13" t="s">
        <v>74</v>
      </c>
      <c r="H22" s="13" t="s">
        <v>75</v>
      </c>
    </row>
    <row r="23" spans="1:10" ht="64.5" thickBot="1" x14ac:dyDescent="0.3">
      <c r="A23" s="3" t="s">
        <v>76</v>
      </c>
      <c r="B23" s="5">
        <v>7</v>
      </c>
      <c r="C23" s="5">
        <v>14</v>
      </c>
      <c r="D23" s="4">
        <v>0.25</v>
      </c>
      <c r="E23" s="103"/>
      <c r="F23" s="5">
        <v>14</v>
      </c>
      <c r="G23" s="12">
        <f>F23/C23</f>
        <v>1</v>
      </c>
      <c r="H23" s="4">
        <f>G23*D23</f>
        <v>0.25</v>
      </c>
    </row>
    <row r="24" spans="1:10" ht="39" thickBot="1" x14ac:dyDescent="0.3">
      <c r="A24" s="3" t="s">
        <v>77</v>
      </c>
      <c r="B24" s="5">
        <v>4</v>
      </c>
      <c r="C24" s="5">
        <v>8</v>
      </c>
      <c r="D24" s="4">
        <v>0.25</v>
      </c>
      <c r="E24" s="103"/>
      <c r="F24" s="5">
        <v>8</v>
      </c>
      <c r="G24" s="12">
        <f t="shared" ref="G24:G26" si="1">F24/C24</f>
        <v>1</v>
      </c>
      <c r="H24" s="4">
        <f>G24*D24</f>
        <v>0.25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4</v>
      </c>
      <c r="G26" s="12">
        <f t="shared" si="1"/>
        <v>1</v>
      </c>
      <c r="H26" s="4">
        <f>G26*D26</f>
        <v>0.25</v>
      </c>
    </row>
    <row r="27" spans="1:10" ht="16.5" thickBot="1" x14ac:dyDescent="0.3">
      <c r="A27" s="15" t="s">
        <v>80</v>
      </c>
      <c r="B27" s="16">
        <f>SUM(B23:B26)</f>
        <v>14</v>
      </c>
      <c r="C27" s="16">
        <f>SUM(C23:C26)</f>
        <v>28</v>
      </c>
      <c r="D27" s="17">
        <f>SUM(D23:D26)</f>
        <v>1</v>
      </c>
      <c r="E27" s="104"/>
      <c r="F27" s="16">
        <f>SUM(F23:F26)</f>
        <v>28</v>
      </c>
      <c r="G27" s="16" t="s">
        <v>81</v>
      </c>
      <c r="H27" s="18">
        <f>SUM(H23:H26)</f>
        <v>1</v>
      </c>
    </row>
  </sheetData>
  <mergeCells count="6">
    <mergeCell ref="E22:E27"/>
    <mergeCell ref="A1:J1"/>
    <mergeCell ref="J4:J10"/>
    <mergeCell ref="J11:J14"/>
    <mergeCell ref="J16:J17"/>
    <mergeCell ref="A18:F18"/>
  </mergeCells>
  <conditionalFormatting sqref="G23:H26">
    <cfRule type="cellIs" dxfId="103" priority="1" operator="between">
      <formula>0.8</formula>
      <formula>1</formula>
    </cfRule>
    <cfRule type="cellIs" dxfId="102" priority="2" operator="between">
      <formula>0.41</formula>
      <formula>0.79</formula>
    </cfRule>
    <cfRule type="cellIs" dxfId="101" priority="3" operator="between">
      <formula>0</formula>
      <formula>0.4</formula>
    </cfRule>
  </conditionalFormatting>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E16FD-1890-40BA-A0F2-0B2FFC741D25}">
  <dimension ref="A1:J27"/>
  <sheetViews>
    <sheetView topLeftCell="A16" workbookViewId="0">
      <selection activeCell="E17" sqref="E17"/>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8"/>
      <c r="I4" s="95">
        <v>2</v>
      </c>
      <c r="J4" s="105">
        <f>SUM(G4:I10)</f>
        <v>13</v>
      </c>
    </row>
    <row r="5" spans="1:10" ht="52.15" customHeight="1" x14ac:dyDescent="0.25">
      <c r="A5" s="90" t="s">
        <v>11</v>
      </c>
      <c r="B5" s="7" t="s">
        <v>17</v>
      </c>
      <c r="C5" s="8" t="s">
        <v>18</v>
      </c>
      <c r="D5" s="8" t="s">
        <v>19</v>
      </c>
      <c r="E5" s="91" t="s">
        <v>15</v>
      </c>
      <c r="F5" s="91" t="s">
        <v>16</v>
      </c>
      <c r="G5" s="8"/>
      <c r="H5" s="8"/>
      <c r="I5" s="95">
        <v>2</v>
      </c>
      <c r="J5" s="105"/>
    </row>
    <row r="6" spans="1:10" ht="44.65" customHeight="1" x14ac:dyDescent="0.25">
      <c r="A6" s="90" t="s">
        <v>11</v>
      </c>
      <c r="B6" s="7" t="s">
        <v>20</v>
      </c>
      <c r="C6" s="8"/>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8"/>
      <c r="I8" s="95">
        <v>2</v>
      </c>
      <c r="J8" s="105"/>
    </row>
    <row r="9" spans="1:10" ht="44.65" customHeight="1" x14ac:dyDescent="0.25">
      <c r="A9" s="90" t="s">
        <v>11</v>
      </c>
      <c r="B9" s="7" t="s">
        <v>29</v>
      </c>
      <c r="C9" s="8" t="s">
        <v>30</v>
      </c>
      <c r="D9" s="8" t="s">
        <v>31</v>
      </c>
      <c r="E9" s="91" t="s">
        <v>15</v>
      </c>
      <c r="F9" s="91" t="s">
        <v>16</v>
      </c>
      <c r="G9" s="8"/>
      <c r="H9" s="96">
        <v>1</v>
      </c>
      <c r="I9" s="8"/>
      <c r="J9" s="105"/>
    </row>
    <row r="10" spans="1:10" ht="76.5" customHeight="1" x14ac:dyDescent="0.25">
      <c r="A10" s="90" t="s">
        <v>11</v>
      </c>
      <c r="B10" s="7" t="s">
        <v>32</v>
      </c>
      <c r="C10" s="8" t="s">
        <v>33</v>
      </c>
      <c r="D10" s="8" t="s">
        <v>34</v>
      </c>
      <c r="E10" s="91" t="s">
        <v>15</v>
      </c>
      <c r="F10" s="91" t="s">
        <v>16</v>
      </c>
      <c r="G10" s="8"/>
      <c r="H10" s="8"/>
      <c r="I10" s="95">
        <v>2</v>
      </c>
      <c r="J10" s="105"/>
    </row>
    <row r="11" spans="1:10" ht="117.6" customHeight="1" x14ac:dyDescent="0.25">
      <c r="A11" s="90" t="s">
        <v>35</v>
      </c>
      <c r="B11" s="7" t="s">
        <v>36</v>
      </c>
      <c r="C11" s="8" t="s">
        <v>37</v>
      </c>
      <c r="D11" s="8" t="s">
        <v>38</v>
      </c>
      <c r="E11" s="8" t="s">
        <v>39</v>
      </c>
      <c r="F11" s="8" t="s">
        <v>40</v>
      </c>
      <c r="G11" s="8"/>
      <c r="H11" s="8"/>
      <c r="I11" s="95">
        <v>2</v>
      </c>
      <c r="J11" s="105">
        <f>SUM(G11:I14)</f>
        <v>8</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8"/>
      <c r="I13" s="95">
        <v>2</v>
      </c>
      <c r="J13" s="105"/>
    </row>
    <row r="14" spans="1:10" ht="93.6" customHeight="1" x14ac:dyDescent="0.25">
      <c r="A14" s="90" t="s">
        <v>35</v>
      </c>
      <c r="B14" s="7" t="s">
        <v>49</v>
      </c>
      <c r="C14" s="8" t="s">
        <v>50</v>
      </c>
      <c r="D14" s="8" t="s">
        <v>51</v>
      </c>
      <c r="E14" s="8" t="s">
        <v>52</v>
      </c>
      <c r="F14" s="8" t="s">
        <v>40</v>
      </c>
      <c r="G14" s="8"/>
      <c r="H14" s="8"/>
      <c r="I14" s="95">
        <v>2</v>
      </c>
      <c r="J14" s="105"/>
    </row>
    <row r="15" spans="1:10" ht="78.599999999999994" customHeight="1" x14ac:dyDescent="0.25">
      <c r="A15" s="9" t="s">
        <v>53</v>
      </c>
      <c r="B15" s="7" t="s">
        <v>54</v>
      </c>
      <c r="C15" s="8" t="s">
        <v>55</v>
      </c>
      <c r="D15" s="11" t="s">
        <v>56</v>
      </c>
      <c r="E15" s="8" t="s">
        <v>57</v>
      </c>
      <c r="F15" s="8" t="s">
        <v>58</v>
      </c>
      <c r="G15" s="8"/>
      <c r="H15" s="8"/>
      <c r="I15" s="95">
        <v>2</v>
      </c>
      <c r="J15" s="10">
        <f>SUM(G15:I15)</f>
        <v>2</v>
      </c>
    </row>
    <row r="16" spans="1:10" ht="65.650000000000006" customHeight="1" x14ac:dyDescent="0.25">
      <c r="A16" s="90" t="s">
        <v>59</v>
      </c>
      <c r="B16" s="7" t="s">
        <v>60</v>
      </c>
      <c r="C16" s="8" t="s">
        <v>61</v>
      </c>
      <c r="D16" s="8" t="s">
        <v>62</v>
      </c>
      <c r="E16" s="8" t="s">
        <v>63</v>
      </c>
      <c r="F16" s="8" t="s">
        <v>58</v>
      </c>
      <c r="G16" s="8"/>
      <c r="H16" s="8"/>
      <c r="I16" s="95">
        <v>2</v>
      </c>
      <c r="J16" s="105">
        <f>SUM(G16:I17)</f>
        <v>4</v>
      </c>
    </row>
    <row r="17" spans="1:10" ht="67.150000000000006" customHeight="1" x14ac:dyDescent="0.25">
      <c r="A17" s="90" t="s">
        <v>59</v>
      </c>
      <c r="B17" s="7" t="s">
        <v>64</v>
      </c>
      <c r="C17" s="8" t="s">
        <v>65</v>
      </c>
      <c r="D17" s="8" t="s">
        <v>66</v>
      </c>
      <c r="E17" s="8" t="s">
        <v>67</v>
      </c>
      <c r="F17" s="8" t="s">
        <v>40</v>
      </c>
      <c r="G17" s="8"/>
      <c r="H17" s="8"/>
      <c r="I17" s="95">
        <v>2</v>
      </c>
      <c r="J17" s="105"/>
    </row>
    <row r="18" spans="1:10" ht="15" customHeight="1" thickBot="1" x14ac:dyDescent="0.3">
      <c r="A18" s="106" t="s">
        <v>373</v>
      </c>
      <c r="B18" s="106"/>
      <c r="C18" s="106"/>
      <c r="D18" s="106"/>
      <c r="E18" s="106"/>
      <c r="F18" s="107"/>
      <c r="G18" s="14"/>
      <c r="H18" s="14">
        <f t="shared" ref="H18" si="0">SUM(H4:H17)</f>
        <v>1</v>
      </c>
      <c r="I18" s="14">
        <f>SUM(I4:I17)</f>
        <v>26</v>
      </c>
      <c r="J18" s="14">
        <f>SUM(J4:J17)</f>
        <v>27</v>
      </c>
    </row>
    <row r="21" spans="1:10" ht="15.75" thickBot="1" x14ac:dyDescent="0.3"/>
    <row r="22" spans="1:10" ht="64.5" thickBot="1" x14ac:dyDescent="0.3">
      <c r="A22" s="1" t="s">
        <v>69</v>
      </c>
      <c r="B22" s="2" t="s">
        <v>70</v>
      </c>
      <c r="C22" s="2" t="s">
        <v>71</v>
      </c>
      <c r="D22" s="2" t="s">
        <v>72</v>
      </c>
      <c r="E22" s="102" t="s">
        <v>342</v>
      </c>
      <c r="F22" s="13" t="s">
        <v>73</v>
      </c>
      <c r="G22" s="13" t="s">
        <v>74</v>
      </c>
      <c r="H22" s="13" t="s">
        <v>75</v>
      </c>
    </row>
    <row r="23" spans="1:10" ht="64.5" thickBot="1" x14ac:dyDescent="0.3">
      <c r="A23" s="3" t="s">
        <v>76</v>
      </c>
      <c r="B23" s="5">
        <v>7</v>
      </c>
      <c r="C23" s="5">
        <v>14</v>
      </c>
      <c r="D23" s="4">
        <v>0.25</v>
      </c>
      <c r="E23" s="103"/>
      <c r="F23" s="5">
        <v>13</v>
      </c>
      <c r="G23" s="12">
        <f>F23/C23</f>
        <v>0.9285714285714286</v>
      </c>
      <c r="H23" s="4">
        <f>G23*D23</f>
        <v>0.23214285714285715</v>
      </c>
    </row>
    <row r="24" spans="1:10" ht="39" thickBot="1" x14ac:dyDescent="0.3">
      <c r="A24" s="3" t="s">
        <v>77</v>
      </c>
      <c r="B24" s="5">
        <v>4</v>
      </c>
      <c r="C24" s="5">
        <v>8</v>
      </c>
      <c r="D24" s="4">
        <v>0.25</v>
      </c>
      <c r="E24" s="103"/>
      <c r="F24" s="5">
        <v>8</v>
      </c>
      <c r="G24" s="12">
        <f t="shared" ref="G24:G26" si="1">F24/C24</f>
        <v>1</v>
      </c>
      <c r="H24" s="4">
        <f>G24*D24</f>
        <v>0.25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4</v>
      </c>
      <c r="G26" s="12">
        <f t="shared" si="1"/>
        <v>1</v>
      </c>
      <c r="H26" s="4">
        <f>G26*D26</f>
        <v>0.25</v>
      </c>
    </row>
    <row r="27" spans="1:10" ht="16.5" thickBot="1" x14ac:dyDescent="0.3">
      <c r="A27" s="15" t="s">
        <v>80</v>
      </c>
      <c r="B27" s="16">
        <f>SUM(B23:B26)</f>
        <v>14</v>
      </c>
      <c r="C27" s="16">
        <f>SUM(C23:C26)</f>
        <v>28</v>
      </c>
      <c r="D27" s="17">
        <f>SUM(D23:D26)</f>
        <v>1</v>
      </c>
      <c r="E27" s="104"/>
      <c r="F27" s="16">
        <f>SUM(F23:F26)</f>
        <v>27</v>
      </c>
      <c r="G27" s="16" t="s">
        <v>81</v>
      </c>
      <c r="H27" s="18">
        <f>SUM(H23:H26)</f>
        <v>0.98214285714285721</v>
      </c>
    </row>
  </sheetData>
  <mergeCells count="6">
    <mergeCell ref="E22:E27"/>
    <mergeCell ref="A1:J1"/>
    <mergeCell ref="J4:J10"/>
    <mergeCell ref="J11:J14"/>
    <mergeCell ref="J16:J17"/>
    <mergeCell ref="A18:F18"/>
  </mergeCells>
  <conditionalFormatting sqref="G23:H26">
    <cfRule type="cellIs" dxfId="100" priority="1" operator="between">
      <formula>0.8</formula>
      <formula>1</formula>
    </cfRule>
    <cfRule type="cellIs" dxfId="99" priority="2" operator="between">
      <formula>0.41</formula>
      <formula>0.79</formula>
    </cfRule>
    <cfRule type="cellIs" dxfId="98" priority="3" operator="between">
      <formula>0</formula>
      <formula>0.4</formula>
    </cfRule>
  </conditionalFormatting>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844E5-AEEE-4FEE-9A09-C66F138C9DF4}">
  <dimension ref="A1:J27"/>
  <sheetViews>
    <sheetView topLeftCell="A16" workbookViewId="0">
      <selection activeCell="H24" sqref="H24"/>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96">
        <v>1</v>
      </c>
      <c r="I4" s="8"/>
      <c r="J4" s="105">
        <f>SUM(G4:I10)</f>
        <v>10</v>
      </c>
    </row>
    <row r="5" spans="1:10" ht="52.15" customHeight="1" x14ac:dyDescent="0.25">
      <c r="A5" s="90" t="s">
        <v>11</v>
      </c>
      <c r="B5" s="7" t="s">
        <v>17</v>
      </c>
      <c r="C5" s="8" t="s">
        <v>18</v>
      </c>
      <c r="D5" s="8" t="s">
        <v>19</v>
      </c>
      <c r="E5" s="91" t="s">
        <v>15</v>
      </c>
      <c r="F5" s="91" t="s">
        <v>16</v>
      </c>
      <c r="G5" s="8"/>
      <c r="H5" s="96">
        <v>1</v>
      </c>
      <c r="I5" s="8"/>
      <c r="J5" s="105"/>
    </row>
    <row r="6" spans="1:10" ht="44.65" customHeight="1" x14ac:dyDescent="0.25">
      <c r="A6" s="90" t="s">
        <v>11</v>
      </c>
      <c r="B6" s="7" t="s">
        <v>20</v>
      </c>
      <c r="C6" s="8"/>
      <c r="D6" s="8" t="s">
        <v>22</v>
      </c>
      <c r="E6" s="91" t="s">
        <v>15</v>
      </c>
      <c r="F6" s="91" t="s">
        <v>16</v>
      </c>
      <c r="G6" s="8"/>
      <c r="H6" s="96">
        <v>1</v>
      </c>
      <c r="I6" s="8"/>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96">
        <v>1</v>
      </c>
      <c r="I8" s="8"/>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8"/>
      <c r="I10" s="95">
        <v>2</v>
      </c>
      <c r="J10" s="105"/>
    </row>
    <row r="11" spans="1:10" ht="117.6" customHeight="1" x14ac:dyDescent="0.25">
      <c r="A11" s="90" t="s">
        <v>35</v>
      </c>
      <c r="B11" s="7" t="s">
        <v>36</v>
      </c>
      <c r="C11" s="8" t="s">
        <v>37</v>
      </c>
      <c r="D11" s="8" t="s">
        <v>38</v>
      </c>
      <c r="E11" s="8" t="s">
        <v>39</v>
      </c>
      <c r="F11" s="8" t="s">
        <v>40</v>
      </c>
      <c r="G11" s="8"/>
      <c r="H11" s="8"/>
      <c r="I11" s="95">
        <v>2</v>
      </c>
      <c r="J11" s="105">
        <f>SUM(G11:I14)</f>
        <v>6</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96">
        <v>1</v>
      </c>
      <c r="I13" s="8"/>
      <c r="J13" s="105"/>
    </row>
    <row r="14" spans="1:10" ht="93.6" customHeight="1" x14ac:dyDescent="0.25">
      <c r="A14" s="90" t="s">
        <v>35</v>
      </c>
      <c r="B14" s="7" t="s">
        <v>49</v>
      </c>
      <c r="C14" s="8" t="s">
        <v>50</v>
      </c>
      <c r="D14" s="8" t="s">
        <v>51</v>
      </c>
      <c r="E14" s="8" t="s">
        <v>52</v>
      </c>
      <c r="F14" s="8" t="s">
        <v>40</v>
      </c>
      <c r="G14" s="8"/>
      <c r="H14" s="96">
        <v>1</v>
      </c>
      <c r="I14" s="8"/>
      <c r="J14" s="105"/>
    </row>
    <row r="15" spans="1:10" ht="78.599999999999994" customHeight="1" x14ac:dyDescent="0.25">
      <c r="A15" s="9" t="s">
        <v>53</v>
      </c>
      <c r="B15" s="7" t="s">
        <v>54</v>
      </c>
      <c r="C15" s="8" t="s">
        <v>55</v>
      </c>
      <c r="D15" s="11" t="s">
        <v>56</v>
      </c>
      <c r="E15" s="8" t="s">
        <v>57</v>
      </c>
      <c r="F15" s="8" t="s">
        <v>58</v>
      </c>
      <c r="G15" s="8"/>
      <c r="H15" s="8"/>
      <c r="I15" s="95">
        <v>2</v>
      </c>
      <c r="J15" s="10">
        <f>SUM(G15:I15)</f>
        <v>2</v>
      </c>
    </row>
    <row r="16" spans="1:10" ht="65.650000000000006" customHeight="1" x14ac:dyDescent="0.25">
      <c r="A16" s="90" t="s">
        <v>59</v>
      </c>
      <c r="B16" s="7" t="s">
        <v>60</v>
      </c>
      <c r="C16" s="8" t="s">
        <v>61</v>
      </c>
      <c r="D16" s="8" t="s">
        <v>62</v>
      </c>
      <c r="E16" s="8" t="s">
        <v>63</v>
      </c>
      <c r="F16" s="8" t="s">
        <v>58</v>
      </c>
      <c r="G16" s="8"/>
      <c r="H16" s="96">
        <v>1</v>
      </c>
      <c r="I16" s="8"/>
      <c r="J16" s="105">
        <f>SUM(G16:I17)</f>
        <v>2</v>
      </c>
    </row>
    <row r="17" spans="1:10" ht="67.150000000000006" customHeight="1" x14ac:dyDescent="0.25">
      <c r="A17" s="90" t="s">
        <v>59</v>
      </c>
      <c r="B17" s="7" t="s">
        <v>64</v>
      </c>
      <c r="C17" s="8" t="s">
        <v>65</v>
      </c>
      <c r="D17" s="8" t="s">
        <v>66</v>
      </c>
      <c r="E17" s="8" t="s">
        <v>67</v>
      </c>
      <c r="F17" s="8" t="s">
        <v>40</v>
      </c>
      <c r="G17" s="8"/>
      <c r="H17" s="96">
        <v>1</v>
      </c>
      <c r="I17" s="8"/>
      <c r="J17" s="105"/>
    </row>
    <row r="18" spans="1:10" ht="15" customHeight="1" thickBot="1" x14ac:dyDescent="0.3">
      <c r="A18" s="106" t="s">
        <v>383</v>
      </c>
      <c r="B18" s="106"/>
      <c r="C18" s="106"/>
      <c r="D18" s="106"/>
      <c r="E18" s="106"/>
      <c r="F18" s="107"/>
      <c r="G18" s="14"/>
      <c r="H18" s="14">
        <f t="shared" ref="H18" si="0">SUM(H4:H17)</f>
        <v>8</v>
      </c>
      <c r="I18" s="14">
        <f>SUM(I4:I17)</f>
        <v>12</v>
      </c>
      <c r="J18" s="14">
        <f>SUM(J4:J17)</f>
        <v>20</v>
      </c>
    </row>
    <row r="21" spans="1:10" ht="15.75" thickBot="1" x14ac:dyDescent="0.3"/>
    <row r="22" spans="1:10" ht="64.5" thickBot="1" x14ac:dyDescent="0.3">
      <c r="A22" s="1" t="s">
        <v>69</v>
      </c>
      <c r="B22" s="2" t="s">
        <v>70</v>
      </c>
      <c r="C22" s="2" t="s">
        <v>71</v>
      </c>
      <c r="D22" s="2" t="s">
        <v>72</v>
      </c>
      <c r="E22" s="102" t="s">
        <v>343</v>
      </c>
      <c r="F22" s="13" t="s">
        <v>73</v>
      </c>
      <c r="G22" s="13" t="s">
        <v>74</v>
      </c>
      <c r="H22" s="13" t="s">
        <v>75</v>
      </c>
    </row>
    <row r="23" spans="1:10" ht="64.5" thickBot="1" x14ac:dyDescent="0.3">
      <c r="A23" s="3" t="s">
        <v>76</v>
      </c>
      <c r="B23" s="5">
        <v>7</v>
      </c>
      <c r="C23" s="5">
        <v>14</v>
      </c>
      <c r="D23" s="4">
        <v>0.25</v>
      </c>
      <c r="E23" s="103"/>
      <c r="F23" s="5">
        <v>10</v>
      </c>
      <c r="G23" s="12">
        <f>F23/C23</f>
        <v>0.7142857142857143</v>
      </c>
      <c r="H23" s="4">
        <f>G23*D23</f>
        <v>0.17857142857142858</v>
      </c>
    </row>
    <row r="24" spans="1:10" ht="39" thickBot="1" x14ac:dyDescent="0.3">
      <c r="A24" s="3" t="s">
        <v>77</v>
      </c>
      <c r="B24" s="5">
        <v>4</v>
      </c>
      <c r="C24" s="5">
        <v>8</v>
      </c>
      <c r="D24" s="4">
        <v>0.25</v>
      </c>
      <c r="E24" s="103"/>
      <c r="F24" s="5">
        <v>6</v>
      </c>
      <c r="G24" s="12">
        <f t="shared" ref="G24:G26" si="1">F24/C24</f>
        <v>0.75</v>
      </c>
      <c r="H24" s="4">
        <f>G24*D24</f>
        <v>0.1875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2</v>
      </c>
      <c r="G26" s="12">
        <f t="shared" si="1"/>
        <v>0.5</v>
      </c>
      <c r="H26" s="4">
        <f>G26*D26</f>
        <v>0.125</v>
      </c>
    </row>
    <row r="27" spans="1:10" ht="16.5" thickBot="1" x14ac:dyDescent="0.3">
      <c r="A27" s="15" t="s">
        <v>80</v>
      </c>
      <c r="B27" s="16">
        <f>SUM(B23:B26)</f>
        <v>14</v>
      </c>
      <c r="C27" s="16">
        <f>SUM(C23:C26)</f>
        <v>28</v>
      </c>
      <c r="D27" s="17">
        <f>SUM(D23:D26)</f>
        <v>1</v>
      </c>
      <c r="E27" s="104"/>
      <c r="F27" s="16">
        <f>SUM(F23:F26)</f>
        <v>20</v>
      </c>
      <c r="G27" s="16" t="s">
        <v>81</v>
      </c>
      <c r="H27" s="18">
        <f>SUM(H23:H26)</f>
        <v>0.7410714285714286</v>
      </c>
    </row>
  </sheetData>
  <mergeCells count="6">
    <mergeCell ref="E22:E27"/>
    <mergeCell ref="A1:J1"/>
    <mergeCell ref="J4:J10"/>
    <mergeCell ref="J11:J14"/>
    <mergeCell ref="J16:J17"/>
    <mergeCell ref="A18:F18"/>
  </mergeCells>
  <conditionalFormatting sqref="G23:H26">
    <cfRule type="cellIs" dxfId="97" priority="1" operator="between">
      <formula>0.8</formula>
      <formula>1</formula>
    </cfRule>
    <cfRule type="cellIs" dxfId="96" priority="2" operator="between">
      <formula>0.41</formula>
      <formula>0.79</formula>
    </cfRule>
    <cfRule type="cellIs" dxfId="95" priority="3" operator="between">
      <formula>0</formula>
      <formula>0.4</formula>
    </cfRule>
  </conditionalFormatting>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DFBE4-3A01-4B28-9EAD-116DD171BCBA}">
  <dimension ref="A1:J27"/>
  <sheetViews>
    <sheetView topLeftCell="A13" workbookViewId="0">
      <selection activeCell="H26" sqref="H26"/>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96">
        <v>1</v>
      </c>
      <c r="I4" s="8"/>
      <c r="J4" s="105">
        <f>SUM(G4:I10)</f>
        <v>10</v>
      </c>
    </row>
    <row r="5" spans="1:10" ht="52.15" customHeight="1" x14ac:dyDescent="0.25">
      <c r="A5" s="90" t="s">
        <v>11</v>
      </c>
      <c r="B5" s="7" t="s">
        <v>17</v>
      </c>
      <c r="C5" s="8" t="s">
        <v>18</v>
      </c>
      <c r="D5" s="8" t="s">
        <v>19</v>
      </c>
      <c r="E5" s="91" t="s">
        <v>15</v>
      </c>
      <c r="F5" s="91" t="s">
        <v>16</v>
      </c>
      <c r="G5" s="8"/>
      <c r="H5" s="96">
        <v>1</v>
      </c>
      <c r="I5" s="8"/>
      <c r="J5" s="105"/>
    </row>
    <row r="6" spans="1:10" ht="44.65" customHeight="1" x14ac:dyDescent="0.25">
      <c r="A6" s="90" t="s">
        <v>11</v>
      </c>
      <c r="B6" s="7" t="s">
        <v>20</v>
      </c>
      <c r="C6" s="8"/>
      <c r="D6" s="8" t="s">
        <v>22</v>
      </c>
      <c r="E6" s="91" t="s">
        <v>15</v>
      </c>
      <c r="F6" s="91" t="s">
        <v>16</v>
      </c>
      <c r="G6" s="8"/>
      <c r="H6" s="96">
        <v>1</v>
      </c>
      <c r="I6" s="8"/>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96">
        <v>1</v>
      </c>
      <c r="I8" s="8"/>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8"/>
      <c r="I10" s="95">
        <v>2</v>
      </c>
      <c r="J10" s="105"/>
    </row>
    <row r="11" spans="1:10" ht="117.6" customHeight="1" x14ac:dyDescent="0.25">
      <c r="A11" s="90" t="s">
        <v>35</v>
      </c>
      <c r="B11" s="7" t="s">
        <v>36</v>
      </c>
      <c r="C11" s="8" t="s">
        <v>37</v>
      </c>
      <c r="D11" s="8" t="s">
        <v>38</v>
      </c>
      <c r="E11" s="8" t="s">
        <v>39</v>
      </c>
      <c r="F11" s="8" t="s">
        <v>40</v>
      </c>
      <c r="G11" s="8"/>
      <c r="H11" s="8"/>
      <c r="I11" s="95">
        <v>2</v>
      </c>
      <c r="J11" s="105">
        <f>SUM(G11:I14)</f>
        <v>7</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8"/>
      <c r="I13" s="95">
        <v>2</v>
      </c>
      <c r="J13" s="105"/>
    </row>
    <row r="14" spans="1:10" ht="93.6" customHeight="1" x14ac:dyDescent="0.25">
      <c r="A14" s="90" t="s">
        <v>35</v>
      </c>
      <c r="B14" s="7" t="s">
        <v>49</v>
      </c>
      <c r="C14" s="8" t="s">
        <v>50</v>
      </c>
      <c r="D14" s="8" t="s">
        <v>51</v>
      </c>
      <c r="E14" s="8" t="s">
        <v>52</v>
      </c>
      <c r="F14" s="8" t="s">
        <v>40</v>
      </c>
      <c r="G14" s="8"/>
      <c r="H14" s="96">
        <v>1</v>
      </c>
      <c r="I14" s="8"/>
      <c r="J14" s="105"/>
    </row>
    <row r="15" spans="1:10" ht="78.599999999999994" customHeight="1" x14ac:dyDescent="0.25">
      <c r="A15" s="9" t="s">
        <v>53</v>
      </c>
      <c r="B15" s="7" t="s">
        <v>54</v>
      </c>
      <c r="C15" s="8" t="s">
        <v>55</v>
      </c>
      <c r="D15" s="11" t="s">
        <v>56</v>
      </c>
      <c r="E15" s="8" t="s">
        <v>57</v>
      </c>
      <c r="F15" s="8" t="s">
        <v>58</v>
      </c>
      <c r="G15" s="8"/>
      <c r="H15" s="96">
        <v>1</v>
      </c>
      <c r="I15" s="8"/>
      <c r="J15" s="10">
        <f>SUM(G15:I15)</f>
        <v>1</v>
      </c>
    </row>
    <row r="16" spans="1:10" ht="65.650000000000006" customHeight="1" x14ac:dyDescent="0.25">
      <c r="A16" s="90" t="s">
        <v>59</v>
      </c>
      <c r="B16" s="7" t="s">
        <v>60</v>
      </c>
      <c r="C16" s="8" t="s">
        <v>61</v>
      </c>
      <c r="D16" s="8" t="s">
        <v>62</v>
      </c>
      <c r="E16" s="8" t="s">
        <v>63</v>
      </c>
      <c r="F16" s="8" t="s">
        <v>58</v>
      </c>
      <c r="G16" s="8"/>
      <c r="H16" s="96">
        <v>1</v>
      </c>
      <c r="I16" s="8"/>
      <c r="J16" s="105">
        <f>SUM(G16:I17)</f>
        <v>2</v>
      </c>
    </row>
    <row r="17" spans="1:10" ht="67.150000000000006" customHeight="1" x14ac:dyDescent="0.25">
      <c r="A17" s="90" t="s">
        <v>59</v>
      </c>
      <c r="B17" s="7" t="s">
        <v>64</v>
      </c>
      <c r="C17" s="8" t="s">
        <v>65</v>
      </c>
      <c r="D17" s="8" t="s">
        <v>66</v>
      </c>
      <c r="E17" s="8" t="s">
        <v>67</v>
      </c>
      <c r="F17" s="8" t="s">
        <v>40</v>
      </c>
      <c r="G17" s="8"/>
      <c r="H17" s="96">
        <v>1</v>
      </c>
      <c r="I17" s="8"/>
      <c r="J17" s="105"/>
    </row>
    <row r="18" spans="1:10" ht="15" customHeight="1" thickBot="1" x14ac:dyDescent="0.3">
      <c r="A18" s="106" t="s">
        <v>375</v>
      </c>
      <c r="B18" s="106"/>
      <c r="C18" s="106"/>
      <c r="D18" s="106"/>
      <c r="E18" s="106"/>
      <c r="F18" s="107"/>
      <c r="G18" s="14"/>
      <c r="H18" s="14">
        <f t="shared" ref="H18" si="0">SUM(H4:H17)</f>
        <v>8</v>
      </c>
      <c r="I18" s="14">
        <f>SUM(I4:I17)</f>
        <v>12</v>
      </c>
      <c r="J18" s="14">
        <f>SUM(J4:J17)</f>
        <v>20</v>
      </c>
    </row>
    <row r="21" spans="1:10" ht="15.75" thickBot="1" x14ac:dyDescent="0.3"/>
    <row r="22" spans="1:10" ht="64.5" thickBot="1" x14ac:dyDescent="0.3">
      <c r="A22" s="1" t="s">
        <v>69</v>
      </c>
      <c r="B22" s="2" t="s">
        <v>70</v>
      </c>
      <c r="C22" s="2" t="s">
        <v>71</v>
      </c>
      <c r="D22" s="2" t="s">
        <v>72</v>
      </c>
      <c r="E22" s="102" t="s">
        <v>344</v>
      </c>
      <c r="F22" s="13" t="s">
        <v>73</v>
      </c>
      <c r="G22" s="13" t="s">
        <v>74</v>
      </c>
      <c r="H22" s="13" t="s">
        <v>75</v>
      </c>
    </row>
    <row r="23" spans="1:10" ht="64.5" thickBot="1" x14ac:dyDescent="0.3">
      <c r="A23" s="3" t="s">
        <v>76</v>
      </c>
      <c r="B23" s="5">
        <v>7</v>
      </c>
      <c r="C23" s="5">
        <v>14</v>
      </c>
      <c r="D23" s="4">
        <v>0.25</v>
      </c>
      <c r="E23" s="103"/>
      <c r="F23" s="5">
        <v>10</v>
      </c>
      <c r="G23" s="12">
        <f>F23/C23</f>
        <v>0.7142857142857143</v>
      </c>
      <c r="H23" s="4">
        <f>G23*D23</f>
        <v>0.17857142857142858</v>
      </c>
    </row>
    <row r="24" spans="1:10" ht="39" thickBot="1" x14ac:dyDescent="0.3">
      <c r="A24" s="3" t="s">
        <v>77</v>
      </c>
      <c r="B24" s="5">
        <v>4</v>
      </c>
      <c r="C24" s="5">
        <v>8</v>
      </c>
      <c r="D24" s="4">
        <v>0.25</v>
      </c>
      <c r="E24" s="103"/>
      <c r="F24" s="5">
        <v>7</v>
      </c>
      <c r="G24" s="12">
        <f t="shared" ref="G24:G26" si="1">F24/C24</f>
        <v>0.875</v>
      </c>
      <c r="H24" s="4">
        <f>G24*D24</f>
        <v>0.21875</v>
      </c>
    </row>
    <row r="25" spans="1:10" ht="64.5" thickBot="1" x14ac:dyDescent="0.3">
      <c r="A25" s="3" t="s">
        <v>78</v>
      </c>
      <c r="B25" s="5">
        <v>1</v>
      </c>
      <c r="C25" s="5">
        <v>2</v>
      </c>
      <c r="D25" s="4">
        <v>0.25</v>
      </c>
      <c r="E25" s="103"/>
      <c r="F25" s="5">
        <v>1</v>
      </c>
      <c r="G25" s="12">
        <f t="shared" si="1"/>
        <v>0.5</v>
      </c>
      <c r="H25" s="4">
        <f>G25*D25</f>
        <v>0.125</v>
      </c>
    </row>
    <row r="26" spans="1:10" ht="26.25" thickBot="1" x14ac:dyDescent="0.3">
      <c r="A26" s="3" t="s">
        <v>79</v>
      </c>
      <c r="B26" s="5">
        <v>2</v>
      </c>
      <c r="C26" s="5">
        <v>4</v>
      </c>
      <c r="D26" s="4">
        <v>0.25</v>
      </c>
      <c r="E26" s="103"/>
      <c r="F26" s="5">
        <v>2</v>
      </c>
      <c r="G26" s="12">
        <f t="shared" si="1"/>
        <v>0.5</v>
      </c>
      <c r="H26" s="4">
        <f>G26*D26</f>
        <v>0.125</v>
      </c>
    </row>
    <row r="27" spans="1:10" ht="16.5" thickBot="1" x14ac:dyDescent="0.3">
      <c r="A27" s="15" t="s">
        <v>80</v>
      </c>
      <c r="B27" s="16">
        <f>SUM(B23:B26)</f>
        <v>14</v>
      </c>
      <c r="C27" s="16">
        <f>SUM(C23:C26)</f>
        <v>28</v>
      </c>
      <c r="D27" s="17">
        <f>SUM(D23:D26)</f>
        <v>1</v>
      </c>
      <c r="E27" s="104"/>
      <c r="F27" s="16">
        <f>SUM(F23:F26)</f>
        <v>20</v>
      </c>
      <c r="G27" s="16" t="s">
        <v>81</v>
      </c>
      <c r="H27" s="18">
        <f>SUM(H23:H26)</f>
        <v>0.6473214285714286</v>
      </c>
    </row>
  </sheetData>
  <mergeCells count="6">
    <mergeCell ref="E22:E27"/>
    <mergeCell ref="A1:J1"/>
    <mergeCell ref="J4:J10"/>
    <mergeCell ref="J11:J14"/>
    <mergeCell ref="J16:J17"/>
    <mergeCell ref="A18:F18"/>
  </mergeCells>
  <conditionalFormatting sqref="G23:H26">
    <cfRule type="cellIs" dxfId="94" priority="1" operator="between">
      <formula>0.8</formula>
      <formula>1</formula>
    </cfRule>
    <cfRule type="cellIs" dxfId="93" priority="2" operator="between">
      <formula>0.41</formula>
      <formula>0.79</formula>
    </cfRule>
    <cfRule type="cellIs" dxfId="92" priority="3" operator="between">
      <formula>0</formula>
      <formula>0.4</formula>
    </cfRule>
  </conditionalFormatting>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47B2-DDAC-4C79-93EE-0936484C2573}">
  <dimension ref="A1:J27"/>
  <sheetViews>
    <sheetView topLeftCell="A16" workbookViewId="0">
      <selection activeCell="H25" sqref="H25"/>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96">
        <v>1</v>
      </c>
      <c r="I4" s="8"/>
      <c r="J4" s="105">
        <f>SUM(G4:I10)</f>
        <v>10</v>
      </c>
    </row>
    <row r="5" spans="1:10" ht="52.15" customHeight="1" x14ac:dyDescent="0.25">
      <c r="A5" s="90" t="s">
        <v>11</v>
      </c>
      <c r="B5" s="7" t="s">
        <v>17</v>
      </c>
      <c r="C5" s="8" t="s">
        <v>18</v>
      </c>
      <c r="D5" s="8" t="s">
        <v>19</v>
      </c>
      <c r="E5" s="91" t="s">
        <v>15</v>
      </c>
      <c r="F5" s="91" t="s">
        <v>16</v>
      </c>
      <c r="G5" s="8"/>
      <c r="H5" s="8"/>
      <c r="I5" s="95">
        <v>2</v>
      </c>
      <c r="J5" s="105"/>
    </row>
    <row r="6" spans="1:10" ht="44.65" customHeight="1" x14ac:dyDescent="0.25">
      <c r="A6" s="90" t="s">
        <v>11</v>
      </c>
      <c r="B6" s="7" t="s">
        <v>20</v>
      </c>
      <c r="C6" s="8"/>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98">
        <v>0</v>
      </c>
      <c r="H8" s="8"/>
      <c r="I8" s="8"/>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96">
        <v>1</v>
      </c>
      <c r="I10" s="8"/>
      <c r="J10" s="105"/>
    </row>
    <row r="11" spans="1:10" ht="117.6" customHeight="1" x14ac:dyDescent="0.25">
      <c r="A11" s="90" t="s">
        <v>35</v>
      </c>
      <c r="B11" s="7" t="s">
        <v>36</v>
      </c>
      <c r="C11" s="8" t="s">
        <v>37</v>
      </c>
      <c r="D11" s="8" t="s">
        <v>38</v>
      </c>
      <c r="E11" s="8" t="s">
        <v>39</v>
      </c>
      <c r="F11" s="8" t="s">
        <v>40</v>
      </c>
      <c r="G11" s="8"/>
      <c r="H11" s="96">
        <v>1</v>
      </c>
      <c r="I11" s="8"/>
      <c r="J11" s="105">
        <f>SUM(G11:I14)</f>
        <v>7</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8"/>
      <c r="I13" s="95">
        <v>2</v>
      </c>
      <c r="J13" s="105"/>
    </row>
    <row r="14" spans="1:10" ht="93.6" customHeight="1" x14ac:dyDescent="0.25">
      <c r="A14" s="90" t="s">
        <v>35</v>
      </c>
      <c r="B14" s="7" t="s">
        <v>49</v>
      </c>
      <c r="C14" s="8" t="s">
        <v>50</v>
      </c>
      <c r="D14" s="8" t="s">
        <v>51</v>
      </c>
      <c r="E14" s="8" t="s">
        <v>52</v>
      </c>
      <c r="F14" s="8" t="s">
        <v>40</v>
      </c>
      <c r="G14" s="8"/>
      <c r="H14" s="8"/>
      <c r="I14" s="95">
        <v>2</v>
      </c>
      <c r="J14" s="105"/>
    </row>
    <row r="15" spans="1:10" ht="78.599999999999994" customHeight="1" x14ac:dyDescent="0.25">
      <c r="A15" s="9" t="s">
        <v>53</v>
      </c>
      <c r="B15" s="7" t="s">
        <v>54</v>
      </c>
      <c r="C15" s="8" t="s">
        <v>55</v>
      </c>
      <c r="D15" s="11" t="s">
        <v>56</v>
      </c>
      <c r="E15" s="8" t="s">
        <v>57</v>
      </c>
      <c r="F15" s="8" t="s">
        <v>58</v>
      </c>
      <c r="G15" s="8"/>
      <c r="H15" s="8">
        <v>1</v>
      </c>
      <c r="I15" s="8"/>
      <c r="J15" s="10">
        <f>SUM(G15:I15)</f>
        <v>1</v>
      </c>
    </row>
    <row r="16" spans="1:10" ht="65.650000000000006" customHeight="1" x14ac:dyDescent="0.25">
      <c r="A16" s="90" t="s">
        <v>59</v>
      </c>
      <c r="B16" s="7" t="s">
        <v>60</v>
      </c>
      <c r="C16" s="8" t="s">
        <v>61</v>
      </c>
      <c r="D16" s="8" t="s">
        <v>62</v>
      </c>
      <c r="E16" s="8" t="s">
        <v>63</v>
      </c>
      <c r="F16" s="8" t="s">
        <v>58</v>
      </c>
      <c r="G16" s="8"/>
      <c r="H16" s="8"/>
      <c r="I16" s="95">
        <v>2</v>
      </c>
      <c r="J16" s="105">
        <f>SUM(G16:I17)</f>
        <v>4</v>
      </c>
    </row>
    <row r="17" spans="1:10" ht="67.150000000000006" customHeight="1" x14ac:dyDescent="0.25">
      <c r="A17" s="90" t="s">
        <v>59</v>
      </c>
      <c r="B17" s="7" t="s">
        <v>64</v>
      </c>
      <c r="C17" s="8" t="s">
        <v>65</v>
      </c>
      <c r="D17" s="8" t="s">
        <v>66</v>
      </c>
      <c r="E17" s="8" t="s">
        <v>67</v>
      </c>
      <c r="F17" s="8" t="s">
        <v>40</v>
      </c>
      <c r="G17" s="8"/>
      <c r="H17" s="8"/>
      <c r="I17" s="95">
        <v>2</v>
      </c>
      <c r="J17" s="105"/>
    </row>
    <row r="18" spans="1:10" ht="15" customHeight="1" thickBot="1" x14ac:dyDescent="0.3">
      <c r="A18" s="106" t="s">
        <v>376</v>
      </c>
      <c r="B18" s="106"/>
      <c r="C18" s="106"/>
      <c r="D18" s="106"/>
      <c r="E18" s="106"/>
      <c r="F18" s="107"/>
      <c r="G18" s="14"/>
      <c r="H18" s="14">
        <f t="shared" ref="H18" si="0">SUM(H4:H17)</f>
        <v>4</v>
      </c>
      <c r="I18" s="14">
        <f>SUM(I4:I17)</f>
        <v>18</v>
      </c>
      <c r="J18" s="14">
        <f>SUM(J4:J17)</f>
        <v>22</v>
      </c>
    </row>
    <row r="21" spans="1:10" ht="15.75" thickBot="1" x14ac:dyDescent="0.3"/>
    <row r="22" spans="1:10" ht="64.5" thickBot="1" x14ac:dyDescent="0.3">
      <c r="A22" s="1" t="s">
        <v>69</v>
      </c>
      <c r="B22" s="2" t="s">
        <v>70</v>
      </c>
      <c r="C22" s="2" t="s">
        <v>71</v>
      </c>
      <c r="D22" s="2" t="s">
        <v>72</v>
      </c>
      <c r="E22" s="102" t="s">
        <v>345</v>
      </c>
      <c r="F22" s="13" t="s">
        <v>73</v>
      </c>
      <c r="G22" s="13" t="s">
        <v>74</v>
      </c>
      <c r="H22" s="13" t="s">
        <v>75</v>
      </c>
    </row>
    <row r="23" spans="1:10" ht="64.5" thickBot="1" x14ac:dyDescent="0.3">
      <c r="A23" s="3" t="s">
        <v>76</v>
      </c>
      <c r="B23" s="5">
        <v>7</v>
      </c>
      <c r="C23" s="5">
        <v>14</v>
      </c>
      <c r="D23" s="4">
        <v>0.25</v>
      </c>
      <c r="E23" s="103"/>
      <c r="F23" s="5">
        <v>10</v>
      </c>
      <c r="G23" s="12">
        <f>F23/C23</f>
        <v>0.7142857142857143</v>
      </c>
      <c r="H23" s="4">
        <f>G23*D23</f>
        <v>0.17857142857142858</v>
      </c>
    </row>
    <row r="24" spans="1:10" ht="39" thickBot="1" x14ac:dyDescent="0.3">
      <c r="A24" s="3" t="s">
        <v>77</v>
      </c>
      <c r="B24" s="5">
        <v>4</v>
      </c>
      <c r="C24" s="5">
        <v>8</v>
      </c>
      <c r="D24" s="4">
        <v>0.25</v>
      </c>
      <c r="E24" s="103"/>
      <c r="F24" s="5">
        <v>7</v>
      </c>
      <c r="G24" s="12">
        <f t="shared" ref="G24:G26" si="1">F24/C24</f>
        <v>0.875</v>
      </c>
      <c r="H24" s="4">
        <f>G24*D24</f>
        <v>0.21875</v>
      </c>
    </row>
    <row r="25" spans="1:10" ht="64.5" thickBot="1" x14ac:dyDescent="0.3">
      <c r="A25" s="3" t="s">
        <v>78</v>
      </c>
      <c r="B25" s="5">
        <v>1</v>
      </c>
      <c r="C25" s="5">
        <v>2</v>
      </c>
      <c r="D25" s="4">
        <v>0.25</v>
      </c>
      <c r="E25" s="103"/>
      <c r="F25" s="5">
        <v>1</v>
      </c>
      <c r="G25" s="12">
        <f t="shared" si="1"/>
        <v>0.5</v>
      </c>
      <c r="H25" s="4">
        <f>G25*D25</f>
        <v>0.125</v>
      </c>
    </row>
    <row r="26" spans="1:10" ht="26.25" thickBot="1" x14ac:dyDescent="0.3">
      <c r="A26" s="3" t="s">
        <v>79</v>
      </c>
      <c r="B26" s="5">
        <v>2</v>
      </c>
      <c r="C26" s="5">
        <v>4</v>
      </c>
      <c r="D26" s="4">
        <v>0.25</v>
      </c>
      <c r="E26" s="103"/>
      <c r="F26" s="5">
        <v>4</v>
      </c>
      <c r="G26" s="12">
        <f t="shared" si="1"/>
        <v>1</v>
      </c>
      <c r="H26" s="4">
        <f>G26*D26</f>
        <v>0.25</v>
      </c>
    </row>
    <row r="27" spans="1:10" ht="16.5" thickBot="1" x14ac:dyDescent="0.3">
      <c r="A27" s="15" t="s">
        <v>80</v>
      </c>
      <c r="B27" s="16">
        <f>SUM(B23:B26)</f>
        <v>14</v>
      </c>
      <c r="C27" s="16">
        <f>SUM(C23:C26)</f>
        <v>28</v>
      </c>
      <c r="D27" s="17">
        <f>SUM(D23:D26)</f>
        <v>1</v>
      </c>
      <c r="E27" s="104"/>
      <c r="F27" s="16">
        <f>SUM(F23:F26)</f>
        <v>22</v>
      </c>
      <c r="G27" s="16" t="s">
        <v>81</v>
      </c>
      <c r="H27" s="18">
        <f>SUM(H23:H26)</f>
        <v>0.7723214285714286</v>
      </c>
    </row>
  </sheetData>
  <mergeCells count="6">
    <mergeCell ref="E22:E27"/>
    <mergeCell ref="A1:J1"/>
    <mergeCell ref="J4:J10"/>
    <mergeCell ref="J11:J14"/>
    <mergeCell ref="J16:J17"/>
    <mergeCell ref="A18:F18"/>
  </mergeCells>
  <conditionalFormatting sqref="G23:H26">
    <cfRule type="cellIs" dxfId="91" priority="1" operator="between">
      <formula>0.8</formula>
      <formula>1</formula>
    </cfRule>
    <cfRule type="cellIs" dxfId="90" priority="2" operator="between">
      <formula>0.41</formula>
      <formula>0.79</formula>
    </cfRule>
    <cfRule type="cellIs" dxfId="89" priority="3" operator="between">
      <formula>0</formula>
      <formula>0.4</formula>
    </cfRule>
  </conditionalFormatting>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D24D-EDE1-4D88-9933-CF6169300CC4}">
  <dimension ref="A1:J27"/>
  <sheetViews>
    <sheetView topLeftCell="A16" workbookViewId="0">
      <selection activeCell="E22" sqref="E22:E27"/>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96">
        <v>1</v>
      </c>
      <c r="I4" s="8"/>
      <c r="J4" s="105">
        <f>SUM(G4:I10)</f>
        <v>9</v>
      </c>
    </row>
    <row r="5" spans="1:10" ht="52.15" customHeight="1" x14ac:dyDescent="0.25">
      <c r="A5" s="90" t="s">
        <v>11</v>
      </c>
      <c r="B5" s="7" t="s">
        <v>17</v>
      </c>
      <c r="C5" s="8" t="s">
        <v>18</v>
      </c>
      <c r="D5" s="8" t="s">
        <v>19</v>
      </c>
      <c r="E5" s="91" t="s">
        <v>15</v>
      </c>
      <c r="F5" s="91" t="s">
        <v>16</v>
      </c>
      <c r="G5" s="8"/>
      <c r="H5" s="96">
        <v>1</v>
      </c>
      <c r="I5" s="8"/>
      <c r="J5" s="105"/>
    </row>
    <row r="6" spans="1:10" ht="44.65" customHeight="1" x14ac:dyDescent="0.25">
      <c r="A6" s="90" t="s">
        <v>11</v>
      </c>
      <c r="B6" s="7" t="s">
        <v>20</v>
      </c>
      <c r="C6" s="8"/>
      <c r="D6" s="8" t="s">
        <v>22</v>
      </c>
      <c r="E6" s="91" t="s">
        <v>15</v>
      </c>
      <c r="F6" s="91" t="s">
        <v>16</v>
      </c>
      <c r="G6" s="8"/>
      <c r="H6" s="96">
        <v>1</v>
      </c>
      <c r="I6" s="8"/>
      <c r="J6" s="105"/>
    </row>
    <row r="7" spans="1:10" ht="48.6" customHeight="1" x14ac:dyDescent="0.25">
      <c r="A7" s="90" t="s">
        <v>11</v>
      </c>
      <c r="B7" s="7" t="s">
        <v>23</v>
      </c>
      <c r="C7" s="8" t="s">
        <v>24</v>
      </c>
      <c r="D7" s="8" t="s">
        <v>25</v>
      </c>
      <c r="E7" s="91" t="s">
        <v>15</v>
      </c>
      <c r="F7" s="91" t="s">
        <v>16</v>
      </c>
      <c r="G7" s="8"/>
      <c r="H7" s="96">
        <v>1</v>
      </c>
      <c r="I7" s="8"/>
      <c r="J7" s="105"/>
    </row>
    <row r="8" spans="1:10" ht="52.5" customHeight="1" x14ac:dyDescent="0.25">
      <c r="A8" s="90" t="s">
        <v>11</v>
      </c>
      <c r="B8" s="7" t="s">
        <v>26</v>
      </c>
      <c r="C8" s="8" t="s">
        <v>27</v>
      </c>
      <c r="D8" s="8" t="s">
        <v>28</v>
      </c>
      <c r="E8" s="91" t="s">
        <v>15</v>
      </c>
      <c r="F8" s="91" t="s">
        <v>16</v>
      </c>
      <c r="G8" s="8"/>
      <c r="H8" s="8"/>
      <c r="I8" s="95">
        <v>2</v>
      </c>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96">
        <v>1</v>
      </c>
      <c r="I10" s="8"/>
      <c r="J10" s="105"/>
    </row>
    <row r="11" spans="1:10" ht="117.6" customHeight="1" x14ac:dyDescent="0.25">
      <c r="A11" s="90" t="s">
        <v>35</v>
      </c>
      <c r="B11" s="7" t="s">
        <v>36</v>
      </c>
      <c r="C11" s="8" t="s">
        <v>37</v>
      </c>
      <c r="D11" s="8" t="s">
        <v>38</v>
      </c>
      <c r="E11" s="8" t="s">
        <v>39</v>
      </c>
      <c r="F11" s="8" t="s">
        <v>40</v>
      </c>
      <c r="G11" s="8"/>
      <c r="H11" s="8"/>
      <c r="I11" s="95">
        <v>2</v>
      </c>
      <c r="J11" s="105">
        <f>SUM(G11:I14)</f>
        <v>6</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96">
        <v>1</v>
      </c>
      <c r="I13" s="8"/>
      <c r="J13" s="105"/>
    </row>
    <row r="14" spans="1:10" ht="93.6" customHeight="1" x14ac:dyDescent="0.25">
      <c r="A14" s="90" t="s">
        <v>35</v>
      </c>
      <c r="B14" s="7" t="s">
        <v>49</v>
      </c>
      <c r="C14" s="8" t="s">
        <v>50</v>
      </c>
      <c r="D14" s="8" t="s">
        <v>51</v>
      </c>
      <c r="E14" s="8" t="s">
        <v>52</v>
      </c>
      <c r="F14" s="8" t="s">
        <v>40</v>
      </c>
      <c r="G14" s="8"/>
      <c r="H14" s="96">
        <v>1</v>
      </c>
      <c r="I14" s="8"/>
      <c r="J14" s="105"/>
    </row>
    <row r="15" spans="1:10" ht="78.599999999999994" customHeight="1" x14ac:dyDescent="0.25">
      <c r="A15" s="9" t="s">
        <v>53</v>
      </c>
      <c r="B15" s="7" t="s">
        <v>54</v>
      </c>
      <c r="C15" s="8" t="s">
        <v>55</v>
      </c>
      <c r="D15" s="11" t="s">
        <v>56</v>
      </c>
      <c r="E15" s="8" t="s">
        <v>57</v>
      </c>
      <c r="F15" s="8" t="s">
        <v>58</v>
      </c>
      <c r="G15" s="8"/>
      <c r="H15" s="8"/>
      <c r="I15" s="95">
        <v>2</v>
      </c>
      <c r="J15" s="10">
        <f>SUM(G15:I15)</f>
        <v>2</v>
      </c>
    </row>
    <row r="16" spans="1:10" ht="65.650000000000006" customHeight="1" x14ac:dyDescent="0.25">
      <c r="A16" s="90" t="s">
        <v>59</v>
      </c>
      <c r="B16" s="7" t="s">
        <v>60</v>
      </c>
      <c r="C16" s="8" t="s">
        <v>61</v>
      </c>
      <c r="D16" s="8" t="s">
        <v>62</v>
      </c>
      <c r="E16" s="8" t="s">
        <v>63</v>
      </c>
      <c r="F16" s="8" t="s">
        <v>58</v>
      </c>
      <c r="G16" s="8"/>
      <c r="H16" s="8"/>
      <c r="I16" s="95">
        <v>2</v>
      </c>
      <c r="J16" s="105">
        <f>SUM(G16:I17)</f>
        <v>4</v>
      </c>
    </row>
    <row r="17" spans="1:10" ht="67.150000000000006" customHeight="1" x14ac:dyDescent="0.25">
      <c r="A17" s="90" t="s">
        <v>59</v>
      </c>
      <c r="B17" s="7" t="s">
        <v>64</v>
      </c>
      <c r="C17" s="8" t="s">
        <v>65</v>
      </c>
      <c r="D17" s="8" t="s">
        <v>66</v>
      </c>
      <c r="E17" s="8" t="s">
        <v>67</v>
      </c>
      <c r="F17" s="8" t="s">
        <v>40</v>
      </c>
      <c r="G17" s="8"/>
      <c r="H17" s="8"/>
      <c r="I17" s="95">
        <v>2</v>
      </c>
      <c r="J17" s="105"/>
    </row>
    <row r="18" spans="1:10" ht="15" customHeight="1" thickBot="1" x14ac:dyDescent="0.3">
      <c r="A18" s="106" t="s">
        <v>333</v>
      </c>
      <c r="B18" s="106"/>
      <c r="C18" s="106"/>
      <c r="D18" s="106"/>
      <c r="E18" s="106"/>
      <c r="F18" s="107"/>
      <c r="G18" s="14"/>
      <c r="H18" s="14">
        <f t="shared" ref="H18" si="0">SUM(H4:H17)</f>
        <v>7</v>
      </c>
      <c r="I18" s="14">
        <f>SUM(I4:I17)</f>
        <v>14</v>
      </c>
      <c r="J18" s="14">
        <f>SUM(J4:J17)</f>
        <v>21</v>
      </c>
    </row>
    <row r="21" spans="1:10" ht="15.75" thickBot="1" x14ac:dyDescent="0.3"/>
    <row r="22" spans="1:10" ht="64.5" thickBot="1" x14ac:dyDescent="0.3">
      <c r="A22" s="1" t="s">
        <v>69</v>
      </c>
      <c r="B22" s="2" t="s">
        <v>70</v>
      </c>
      <c r="C22" s="2" t="s">
        <v>71</v>
      </c>
      <c r="D22" s="2" t="s">
        <v>72</v>
      </c>
      <c r="E22" s="102" t="s">
        <v>334</v>
      </c>
      <c r="F22" s="13" t="s">
        <v>73</v>
      </c>
      <c r="G22" s="13" t="s">
        <v>74</v>
      </c>
      <c r="H22" s="13" t="s">
        <v>75</v>
      </c>
    </row>
    <row r="23" spans="1:10" ht="64.5" thickBot="1" x14ac:dyDescent="0.3">
      <c r="A23" s="3" t="s">
        <v>76</v>
      </c>
      <c r="B23" s="5">
        <v>7</v>
      </c>
      <c r="C23" s="5">
        <v>14</v>
      </c>
      <c r="D23" s="4">
        <v>0.25</v>
      </c>
      <c r="E23" s="103"/>
      <c r="F23" s="5">
        <v>9</v>
      </c>
      <c r="G23" s="12">
        <f>F23/C23</f>
        <v>0.6428571428571429</v>
      </c>
      <c r="H23" s="4">
        <f>G23*D23</f>
        <v>0.16071428571428573</v>
      </c>
    </row>
    <row r="24" spans="1:10" ht="39" thickBot="1" x14ac:dyDescent="0.3">
      <c r="A24" s="3" t="s">
        <v>77</v>
      </c>
      <c r="B24" s="5">
        <v>4</v>
      </c>
      <c r="C24" s="5">
        <v>8</v>
      </c>
      <c r="D24" s="4">
        <v>0.25</v>
      </c>
      <c r="E24" s="103"/>
      <c r="F24" s="5">
        <v>6</v>
      </c>
      <c r="G24" s="12">
        <f t="shared" ref="G24:G26" si="1">F24/C24</f>
        <v>0.75</v>
      </c>
      <c r="H24" s="4">
        <f>G24*D24</f>
        <v>0.1875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4</v>
      </c>
      <c r="G26" s="12">
        <f t="shared" si="1"/>
        <v>1</v>
      </c>
      <c r="H26" s="4">
        <f>G26*D26</f>
        <v>0.25</v>
      </c>
    </row>
    <row r="27" spans="1:10" ht="16.5" thickBot="1" x14ac:dyDescent="0.3">
      <c r="A27" s="15" t="s">
        <v>80</v>
      </c>
      <c r="B27" s="16">
        <f>SUM(B23:B26)</f>
        <v>14</v>
      </c>
      <c r="C27" s="16">
        <f>SUM(C23:C26)</f>
        <v>28</v>
      </c>
      <c r="D27" s="17">
        <f>SUM(D23:D26)</f>
        <v>1</v>
      </c>
      <c r="E27" s="104"/>
      <c r="F27" s="16">
        <f>SUM(F23:F26)</f>
        <v>21</v>
      </c>
      <c r="G27" s="16" t="s">
        <v>81</v>
      </c>
      <c r="H27" s="18">
        <f>SUM(H23:H26)</f>
        <v>0.8482142857142857</v>
      </c>
    </row>
  </sheetData>
  <mergeCells count="6">
    <mergeCell ref="E22:E27"/>
    <mergeCell ref="A1:J1"/>
    <mergeCell ref="J4:J10"/>
    <mergeCell ref="J11:J14"/>
    <mergeCell ref="J16:J17"/>
    <mergeCell ref="A18:F18"/>
  </mergeCells>
  <conditionalFormatting sqref="G23:H26">
    <cfRule type="cellIs" dxfId="88" priority="1" operator="between">
      <formula>0.8</formula>
      <formula>1</formula>
    </cfRule>
    <cfRule type="cellIs" dxfId="87" priority="2" operator="between">
      <formula>0.41</formula>
      <formula>0.79</formula>
    </cfRule>
    <cfRule type="cellIs" dxfId="86" priority="3" operator="between">
      <formula>0</formula>
      <formula>0.4</formula>
    </cfRule>
  </conditionalFormatting>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A3953-44CF-4D0B-A5EB-754ADB6F9CD9}">
  <dimension ref="A1:J27"/>
  <sheetViews>
    <sheetView topLeftCell="A15" workbookViewId="0">
      <selection activeCell="C25" sqref="C25"/>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8"/>
      <c r="I4" s="8">
        <v>2</v>
      </c>
      <c r="J4" s="105">
        <f>SUM(G4:I10)</f>
        <v>13</v>
      </c>
    </row>
    <row r="5" spans="1:10" ht="52.15" customHeight="1" x14ac:dyDescent="0.25">
      <c r="A5" s="90" t="s">
        <v>11</v>
      </c>
      <c r="B5" s="7" t="s">
        <v>17</v>
      </c>
      <c r="C5" s="8" t="s">
        <v>18</v>
      </c>
      <c r="D5" s="8" t="s">
        <v>19</v>
      </c>
      <c r="E5" s="91" t="s">
        <v>15</v>
      </c>
      <c r="F5" s="91" t="s">
        <v>16</v>
      </c>
      <c r="G5" s="8"/>
      <c r="H5" s="8"/>
      <c r="I5" s="8">
        <v>2</v>
      </c>
      <c r="J5" s="105"/>
    </row>
    <row r="6" spans="1:10" ht="44.65" customHeight="1" x14ac:dyDescent="0.25">
      <c r="A6" s="90" t="s">
        <v>11</v>
      </c>
      <c r="B6" s="7" t="s">
        <v>20</v>
      </c>
      <c r="C6" s="8"/>
      <c r="D6" s="8" t="s">
        <v>22</v>
      </c>
      <c r="E6" s="91" t="s">
        <v>15</v>
      </c>
      <c r="F6" s="91" t="s">
        <v>16</v>
      </c>
      <c r="G6" s="8"/>
      <c r="H6" s="8"/>
      <c r="I6" s="8">
        <v>2</v>
      </c>
      <c r="J6" s="105"/>
    </row>
    <row r="7" spans="1:10" ht="48.6" customHeight="1" x14ac:dyDescent="0.25">
      <c r="A7" s="90" t="s">
        <v>11</v>
      </c>
      <c r="B7" s="7" t="s">
        <v>23</v>
      </c>
      <c r="C7" s="8" t="s">
        <v>24</v>
      </c>
      <c r="D7" s="8" t="s">
        <v>25</v>
      </c>
      <c r="E7" s="91" t="s">
        <v>15</v>
      </c>
      <c r="F7" s="91" t="s">
        <v>16</v>
      </c>
      <c r="G7" s="8"/>
      <c r="H7" s="8"/>
      <c r="I7" s="8">
        <v>2</v>
      </c>
      <c r="J7" s="105"/>
    </row>
    <row r="8" spans="1:10" ht="52.5" customHeight="1" x14ac:dyDescent="0.25">
      <c r="A8" s="90" t="s">
        <v>11</v>
      </c>
      <c r="B8" s="7" t="s">
        <v>26</v>
      </c>
      <c r="C8" s="8" t="s">
        <v>27</v>
      </c>
      <c r="D8" s="8" t="s">
        <v>28</v>
      </c>
      <c r="E8" s="91" t="s">
        <v>15</v>
      </c>
      <c r="F8" s="91" t="s">
        <v>16</v>
      </c>
      <c r="G8" s="8"/>
      <c r="H8" s="8"/>
      <c r="I8" s="8">
        <v>2</v>
      </c>
      <c r="J8" s="105"/>
    </row>
    <row r="9" spans="1:10" ht="44.65" customHeight="1" x14ac:dyDescent="0.25">
      <c r="A9" s="90" t="s">
        <v>11</v>
      </c>
      <c r="B9" s="7" t="s">
        <v>29</v>
      </c>
      <c r="C9" s="8" t="s">
        <v>30</v>
      </c>
      <c r="D9" s="8" t="s">
        <v>31</v>
      </c>
      <c r="E9" s="91" t="s">
        <v>15</v>
      </c>
      <c r="F9" s="91" t="s">
        <v>16</v>
      </c>
      <c r="G9" s="8"/>
      <c r="H9" s="8">
        <v>1</v>
      </c>
      <c r="I9" s="8"/>
      <c r="J9" s="105"/>
    </row>
    <row r="10" spans="1:10" ht="76.5" customHeight="1" x14ac:dyDescent="0.25">
      <c r="A10" s="90" t="s">
        <v>11</v>
      </c>
      <c r="B10" s="7" t="s">
        <v>32</v>
      </c>
      <c r="C10" s="8" t="s">
        <v>33</v>
      </c>
      <c r="D10" s="8" t="s">
        <v>34</v>
      </c>
      <c r="E10" s="91" t="s">
        <v>15</v>
      </c>
      <c r="F10" s="91" t="s">
        <v>16</v>
      </c>
      <c r="G10" s="8"/>
      <c r="H10" s="8"/>
      <c r="I10" s="8">
        <v>2</v>
      </c>
      <c r="J10" s="105"/>
    </row>
    <row r="11" spans="1:10" ht="117.6" customHeight="1" x14ac:dyDescent="0.25">
      <c r="A11" s="90" t="s">
        <v>35</v>
      </c>
      <c r="B11" s="7" t="s">
        <v>36</v>
      </c>
      <c r="C11" s="8" t="s">
        <v>37</v>
      </c>
      <c r="D11" s="8" t="s">
        <v>38</v>
      </c>
      <c r="E11" s="8" t="s">
        <v>39</v>
      </c>
      <c r="F11" s="8" t="s">
        <v>40</v>
      </c>
      <c r="G11" s="8"/>
      <c r="H11" s="8">
        <v>1</v>
      </c>
      <c r="I11" s="8"/>
      <c r="J11" s="105">
        <f>SUM(G11:I14)</f>
        <v>7</v>
      </c>
    </row>
    <row r="12" spans="1:10" ht="93" customHeight="1" x14ac:dyDescent="0.25">
      <c r="A12" s="90" t="s">
        <v>35</v>
      </c>
      <c r="B12" s="7" t="s">
        <v>41</v>
      </c>
      <c r="C12" s="8" t="s">
        <v>42</v>
      </c>
      <c r="D12" s="8" t="s">
        <v>43</v>
      </c>
      <c r="E12" s="8" t="s">
        <v>44</v>
      </c>
      <c r="F12" s="8" t="s">
        <v>40</v>
      </c>
      <c r="G12" s="8"/>
      <c r="H12" s="8"/>
      <c r="I12" s="8">
        <v>2</v>
      </c>
      <c r="J12" s="105"/>
    </row>
    <row r="13" spans="1:10" ht="76.5" customHeight="1" x14ac:dyDescent="0.25">
      <c r="A13" s="90" t="s">
        <v>35</v>
      </c>
      <c r="B13" s="7" t="s">
        <v>45</v>
      </c>
      <c r="C13" s="8" t="s">
        <v>46</v>
      </c>
      <c r="D13" s="8" t="s">
        <v>47</v>
      </c>
      <c r="E13" s="8" t="s">
        <v>48</v>
      </c>
      <c r="F13" s="8" t="s">
        <v>40</v>
      </c>
      <c r="G13" s="8"/>
      <c r="H13" s="8"/>
      <c r="I13" s="8">
        <v>2</v>
      </c>
      <c r="J13" s="105"/>
    </row>
    <row r="14" spans="1:10" ht="93.6" customHeight="1" x14ac:dyDescent="0.25">
      <c r="A14" s="90" t="s">
        <v>35</v>
      </c>
      <c r="B14" s="7" t="s">
        <v>49</v>
      </c>
      <c r="C14" s="8" t="s">
        <v>50</v>
      </c>
      <c r="D14" s="8" t="s">
        <v>51</v>
      </c>
      <c r="E14" s="8" t="s">
        <v>52</v>
      </c>
      <c r="F14" s="8" t="s">
        <v>40</v>
      </c>
      <c r="G14" s="8"/>
      <c r="H14" s="8"/>
      <c r="I14" s="8">
        <v>2</v>
      </c>
      <c r="J14" s="105"/>
    </row>
    <row r="15" spans="1:10" ht="78.599999999999994" customHeight="1" x14ac:dyDescent="0.25">
      <c r="A15" s="9" t="s">
        <v>53</v>
      </c>
      <c r="B15" s="7" t="s">
        <v>54</v>
      </c>
      <c r="C15" s="8" t="s">
        <v>55</v>
      </c>
      <c r="D15" s="11" t="s">
        <v>56</v>
      </c>
      <c r="E15" s="8" t="s">
        <v>57</v>
      </c>
      <c r="F15" s="8" t="s">
        <v>58</v>
      </c>
      <c r="G15" s="8"/>
      <c r="H15" s="8"/>
      <c r="I15" s="8">
        <v>2</v>
      </c>
      <c r="J15" s="10">
        <f>SUM(G15:I15)</f>
        <v>2</v>
      </c>
    </row>
    <row r="16" spans="1:10" ht="65.650000000000006" customHeight="1" x14ac:dyDescent="0.25">
      <c r="A16" s="90" t="s">
        <v>59</v>
      </c>
      <c r="B16" s="7" t="s">
        <v>60</v>
      </c>
      <c r="C16" s="8" t="s">
        <v>61</v>
      </c>
      <c r="D16" s="8" t="s">
        <v>62</v>
      </c>
      <c r="E16" s="8" t="s">
        <v>63</v>
      </c>
      <c r="F16" s="8" t="s">
        <v>58</v>
      </c>
      <c r="G16" s="8"/>
      <c r="H16" s="8">
        <v>1</v>
      </c>
      <c r="I16" s="8"/>
      <c r="J16" s="105">
        <f>SUM(G16:I17)</f>
        <v>2</v>
      </c>
    </row>
    <row r="17" spans="1:10" ht="67.150000000000006" customHeight="1" x14ac:dyDescent="0.25">
      <c r="A17" s="90" t="s">
        <v>59</v>
      </c>
      <c r="B17" s="7" t="s">
        <v>64</v>
      </c>
      <c r="C17" s="8" t="s">
        <v>65</v>
      </c>
      <c r="D17" s="8" t="s">
        <v>66</v>
      </c>
      <c r="E17" s="8" t="s">
        <v>67</v>
      </c>
      <c r="F17" s="8" t="s">
        <v>40</v>
      </c>
      <c r="G17" s="8"/>
      <c r="H17" s="8">
        <v>1</v>
      </c>
      <c r="I17" s="8"/>
      <c r="J17" s="105"/>
    </row>
    <row r="18" spans="1:10" ht="15" customHeight="1" thickBot="1" x14ac:dyDescent="0.3">
      <c r="A18" s="106" t="s">
        <v>68</v>
      </c>
      <c r="B18" s="106"/>
      <c r="C18" s="106"/>
      <c r="D18" s="106"/>
      <c r="E18" s="106"/>
      <c r="F18" s="107"/>
      <c r="G18" s="14"/>
      <c r="H18" s="14">
        <f t="shared" ref="H18" si="0">SUM(H4:H17)</f>
        <v>4</v>
      </c>
      <c r="I18" s="14">
        <f>SUM(I4:I17)</f>
        <v>20</v>
      </c>
      <c r="J18" s="14">
        <f>SUM(J4:J17)</f>
        <v>24</v>
      </c>
    </row>
    <row r="21" spans="1:10" ht="15.75" thickBot="1" x14ac:dyDescent="0.3"/>
    <row r="22" spans="1:10" ht="64.5" thickBot="1" x14ac:dyDescent="0.3">
      <c r="A22" s="1" t="s">
        <v>69</v>
      </c>
      <c r="B22" s="2" t="s">
        <v>70</v>
      </c>
      <c r="C22" s="2" t="s">
        <v>71</v>
      </c>
      <c r="D22" s="2" t="s">
        <v>72</v>
      </c>
      <c r="E22" s="102" t="s">
        <v>346</v>
      </c>
      <c r="F22" s="13" t="s">
        <v>73</v>
      </c>
      <c r="G22" s="13" t="s">
        <v>74</v>
      </c>
      <c r="H22" s="13" t="s">
        <v>75</v>
      </c>
    </row>
    <row r="23" spans="1:10" ht="64.5" thickBot="1" x14ac:dyDescent="0.3">
      <c r="A23" s="3" t="s">
        <v>76</v>
      </c>
      <c r="B23" s="5">
        <v>7</v>
      </c>
      <c r="C23" s="5">
        <v>14</v>
      </c>
      <c r="D23" s="4">
        <v>0.25</v>
      </c>
      <c r="E23" s="103"/>
      <c r="F23" s="5">
        <v>13</v>
      </c>
      <c r="G23" s="12">
        <f>F23/C23</f>
        <v>0.9285714285714286</v>
      </c>
      <c r="H23" s="4">
        <f>G23*D23</f>
        <v>0.23214285714285715</v>
      </c>
    </row>
    <row r="24" spans="1:10" ht="39" thickBot="1" x14ac:dyDescent="0.3">
      <c r="A24" s="3" t="s">
        <v>77</v>
      </c>
      <c r="B24" s="5">
        <v>4</v>
      </c>
      <c r="C24" s="5">
        <v>8</v>
      </c>
      <c r="D24" s="4">
        <v>0.25</v>
      </c>
      <c r="E24" s="103"/>
      <c r="F24" s="5">
        <v>7</v>
      </c>
      <c r="G24" s="12">
        <f t="shared" ref="G24:G26" si="1">F24/C24</f>
        <v>0.875</v>
      </c>
      <c r="H24" s="4">
        <f>G24*D24</f>
        <v>0.21875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2</v>
      </c>
      <c r="G26" s="12">
        <f t="shared" si="1"/>
        <v>0.5</v>
      </c>
      <c r="H26" s="4">
        <f>G26*D26</f>
        <v>0.125</v>
      </c>
    </row>
    <row r="27" spans="1:10" ht="16.5" thickBot="1" x14ac:dyDescent="0.3">
      <c r="A27" s="15" t="s">
        <v>80</v>
      </c>
      <c r="B27" s="16">
        <f>SUM(B23:B26)</f>
        <v>14</v>
      </c>
      <c r="C27" s="16">
        <f>SUM(C23:C26)</f>
        <v>28</v>
      </c>
      <c r="D27" s="17">
        <f>SUM(D23:D26)</f>
        <v>1</v>
      </c>
      <c r="E27" s="104"/>
      <c r="F27" s="16">
        <f>SUM(F23:F26)</f>
        <v>24</v>
      </c>
      <c r="G27" s="16" t="s">
        <v>81</v>
      </c>
      <c r="H27" s="18">
        <f>SUM(H23:H26)</f>
        <v>0.82589285714285721</v>
      </c>
    </row>
  </sheetData>
  <mergeCells count="6">
    <mergeCell ref="E22:E27"/>
    <mergeCell ref="A1:J1"/>
    <mergeCell ref="J4:J10"/>
    <mergeCell ref="J11:J14"/>
    <mergeCell ref="J16:J17"/>
    <mergeCell ref="A18:F18"/>
  </mergeCells>
  <conditionalFormatting sqref="G23:H26">
    <cfRule type="cellIs" dxfId="85" priority="1" operator="between">
      <formula>0.8</formula>
      <formula>1</formula>
    </cfRule>
    <cfRule type="cellIs" dxfId="84" priority="2" operator="between">
      <formula>0.41</formula>
      <formula>0.79</formula>
    </cfRule>
    <cfRule type="cellIs" dxfId="83" priority="3" operator="between">
      <formula>0</formula>
      <formula>0.4</formula>
    </cfRule>
  </conditionalFormatting>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405DF-0306-44B4-B846-67E589079B1C}">
  <dimension ref="A1:J27"/>
  <sheetViews>
    <sheetView topLeftCell="A16" workbookViewId="0">
      <selection activeCell="F25" sqref="F25"/>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8"/>
      <c r="I4" s="8">
        <v>2</v>
      </c>
      <c r="J4" s="105">
        <f>SUM(G4:I10)</f>
        <v>13</v>
      </c>
    </row>
    <row r="5" spans="1:10" ht="52.15" customHeight="1" x14ac:dyDescent="0.25">
      <c r="A5" s="90" t="s">
        <v>11</v>
      </c>
      <c r="B5" s="7" t="s">
        <v>17</v>
      </c>
      <c r="C5" s="8" t="s">
        <v>18</v>
      </c>
      <c r="D5" s="8" t="s">
        <v>19</v>
      </c>
      <c r="E5" s="91" t="s">
        <v>15</v>
      </c>
      <c r="F5" s="91" t="s">
        <v>16</v>
      </c>
      <c r="G5" s="8"/>
      <c r="H5" s="8"/>
      <c r="I5" s="8">
        <v>2</v>
      </c>
      <c r="J5" s="105"/>
    </row>
    <row r="6" spans="1:10" ht="44.65" customHeight="1" x14ac:dyDescent="0.25">
      <c r="A6" s="90" t="s">
        <v>11</v>
      </c>
      <c r="B6" s="7" t="s">
        <v>20</v>
      </c>
      <c r="C6" s="8"/>
      <c r="D6" s="8" t="s">
        <v>22</v>
      </c>
      <c r="E6" s="91" t="s">
        <v>15</v>
      </c>
      <c r="F6" s="91" t="s">
        <v>16</v>
      </c>
      <c r="G6" s="8"/>
      <c r="H6" s="8"/>
      <c r="I6" s="8">
        <v>2</v>
      </c>
      <c r="J6" s="105"/>
    </row>
    <row r="7" spans="1:10" ht="48.6" customHeight="1" x14ac:dyDescent="0.25">
      <c r="A7" s="90" t="s">
        <v>11</v>
      </c>
      <c r="B7" s="7" t="s">
        <v>23</v>
      </c>
      <c r="C7" s="8" t="s">
        <v>24</v>
      </c>
      <c r="D7" s="8" t="s">
        <v>25</v>
      </c>
      <c r="E7" s="91" t="s">
        <v>15</v>
      </c>
      <c r="F7" s="91" t="s">
        <v>16</v>
      </c>
      <c r="G7" s="8"/>
      <c r="H7" s="8"/>
      <c r="I7" s="8">
        <v>2</v>
      </c>
      <c r="J7" s="105"/>
    </row>
    <row r="8" spans="1:10" ht="52.5" customHeight="1" x14ac:dyDescent="0.25">
      <c r="A8" s="90" t="s">
        <v>11</v>
      </c>
      <c r="B8" s="7" t="s">
        <v>26</v>
      </c>
      <c r="C8" s="8" t="s">
        <v>27</v>
      </c>
      <c r="D8" s="8" t="s">
        <v>28</v>
      </c>
      <c r="E8" s="91" t="s">
        <v>15</v>
      </c>
      <c r="F8" s="91" t="s">
        <v>16</v>
      </c>
      <c r="G8" s="8"/>
      <c r="H8" s="8"/>
      <c r="I8" s="8">
        <v>2</v>
      </c>
      <c r="J8" s="105"/>
    </row>
    <row r="9" spans="1:10" ht="44.65" customHeight="1" x14ac:dyDescent="0.25">
      <c r="A9" s="90" t="s">
        <v>11</v>
      </c>
      <c r="B9" s="7" t="s">
        <v>29</v>
      </c>
      <c r="C9" s="8" t="s">
        <v>30</v>
      </c>
      <c r="D9" s="8" t="s">
        <v>31</v>
      </c>
      <c r="E9" s="91" t="s">
        <v>15</v>
      </c>
      <c r="F9" s="91" t="s">
        <v>16</v>
      </c>
      <c r="G9" s="8"/>
      <c r="H9" s="8">
        <v>1</v>
      </c>
      <c r="I9" s="8"/>
      <c r="J9" s="105"/>
    </row>
    <row r="10" spans="1:10" ht="76.5" customHeight="1" x14ac:dyDescent="0.25">
      <c r="A10" s="90" t="s">
        <v>11</v>
      </c>
      <c r="B10" s="7" t="s">
        <v>32</v>
      </c>
      <c r="C10" s="8" t="s">
        <v>33</v>
      </c>
      <c r="D10" s="8" t="s">
        <v>34</v>
      </c>
      <c r="E10" s="91" t="s">
        <v>15</v>
      </c>
      <c r="F10" s="91" t="s">
        <v>16</v>
      </c>
      <c r="G10" s="8"/>
      <c r="H10" s="8"/>
      <c r="I10" s="8">
        <v>2</v>
      </c>
      <c r="J10" s="105"/>
    </row>
    <row r="11" spans="1:10" ht="117.6" customHeight="1" x14ac:dyDescent="0.25">
      <c r="A11" s="90" t="s">
        <v>35</v>
      </c>
      <c r="B11" s="7" t="s">
        <v>36</v>
      </c>
      <c r="C11" s="8" t="s">
        <v>37</v>
      </c>
      <c r="D11" s="8" t="s">
        <v>38</v>
      </c>
      <c r="E11" s="8" t="s">
        <v>39</v>
      </c>
      <c r="F11" s="8" t="s">
        <v>40</v>
      </c>
      <c r="G11" s="8"/>
      <c r="H11" s="8">
        <v>1</v>
      </c>
      <c r="I11" s="8"/>
      <c r="J11" s="105">
        <f>SUM(G11:I14)</f>
        <v>7</v>
      </c>
    </row>
    <row r="12" spans="1:10" ht="93" customHeight="1" x14ac:dyDescent="0.25">
      <c r="A12" s="90" t="s">
        <v>35</v>
      </c>
      <c r="B12" s="7" t="s">
        <v>41</v>
      </c>
      <c r="C12" s="8" t="s">
        <v>42</v>
      </c>
      <c r="D12" s="8" t="s">
        <v>43</v>
      </c>
      <c r="E12" s="8" t="s">
        <v>44</v>
      </c>
      <c r="F12" s="8" t="s">
        <v>40</v>
      </c>
      <c r="G12" s="8"/>
      <c r="H12" s="8"/>
      <c r="I12" s="31">
        <v>2</v>
      </c>
      <c r="J12" s="105"/>
    </row>
    <row r="13" spans="1:10" ht="76.5" customHeight="1" x14ac:dyDescent="0.25">
      <c r="A13" s="90" t="s">
        <v>35</v>
      </c>
      <c r="B13" s="7" t="s">
        <v>45</v>
      </c>
      <c r="C13" s="8" t="s">
        <v>46</v>
      </c>
      <c r="D13" s="8" t="s">
        <v>47</v>
      </c>
      <c r="E13" s="8" t="s">
        <v>48</v>
      </c>
      <c r="F13" s="8" t="s">
        <v>40</v>
      </c>
      <c r="G13" s="8"/>
      <c r="H13" s="8"/>
      <c r="I13" s="8">
        <v>2</v>
      </c>
      <c r="J13" s="105"/>
    </row>
    <row r="14" spans="1:10" ht="93.6" customHeight="1" x14ac:dyDescent="0.25">
      <c r="A14" s="90" t="s">
        <v>35</v>
      </c>
      <c r="B14" s="7" t="s">
        <v>49</v>
      </c>
      <c r="C14" s="8" t="s">
        <v>50</v>
      </c>
      <c r="D14" s="8" t="s">
        <v>51</v>
      </c>
      <c r="E14" s="8" t="s">
        <v>52</v>
      </c>
      <c r="F14" s="8" t="s">
        <v>40</v>
      </c>
      <c r="G14" s="8"/>
      <c r="H14" s="8"/>
      <c r="I14" s="8">
        <v>2</v>
      </c>
      <c r="J14" s="105"/>
    </row>
    <row r="15" spans="1:10" ht="78.599999999999994" customHeight="1" x14ac:dyDescent="0.25">
      <c r="A15" s="9" t="s">
        <v>53</v>
      </c>
      <c r="B15" s="7" t="s">
        <v>54</v>
      </c>
      <c r="C15" s="8" t="s">
        <v>55</v>
      </c>
      <c r="D15" s="11" t="s">
        <v>56</v>
      </c>
      <c r="E15" s="8" t="s">
        <v>57</v>
      </c>
      <c r="F15" s="8" t="s">
        <v>58</v>
      </c>
      <c r="G15" s="8"/>
      <c r="H15" s="8"/>
      <c r="I15" s="8">
        <v>2</v>
      </c>
      <c r="J15" s="10">
        <f>SUM(G15:I15)</f>
        <v>2</v>
      </c>
    </row>
    <row r="16" spans="1:10" ht="65.650000000000006" customHeight="1" x14ac:dyDescent="0.25">
      <c r="A16" s="90" t="s">
        <v>59</v>
      </c>
      <c r="B16" s="7" t="s">
        <v>60</v>
      </c>
      <c r="C16" s="8" t="s">
        <v>61</v>
      </c>
      <c r="D16" s="8" t="s">
        <v>62</v>
      </c>
      <c r="E16" s="8" t="s">
        <v>63</v>
      </c>
      <c r="F16" s="8" t="s">
        <v>58</v>
      </c>
      <c r="G16" s="8"/>
      <c r="H16" s="8">
        <v>1</v>
      </c>
      <c r="I16" s="8"/>
      <c r="J16" s="105">
        <f>SUM(G16:I17)</f>
        <v>2</v>
      </c>
    </row>
    <row r="17" spans="1:10" ht="67.150000000000006" customHeight="1" x14ac:dyDescent="0.25">
      <c r="A17" s="90" t="s">
        <v>59</v>
      </c>
      <c r="B17" s="7" t="s">
        <v>64</v>
      </c>
      <c r="C17" s="8" t="s">
        <v>65</v>
      </c>
      <c r="D17" s="8" t="s">
        <v>66</v>
      </c>
      <c r="E17" s="8" t="s">
        <v>67</v>
      </c>
      <c r="F17" s="8" t="s">
        <v>40</v>
      </c>
      <c r="G17" s="8"/>
      <c r="H17" s="8">
        <v>1</v>
      </c>
      <c r="I17" s="8"/>
      <c r="J17" s="105"/>
    </row>
    <row r="18" spans="1:10" ht="15" customHeight="1" thickBot="1" x14ac:dyDescent="0.3">
      <c r="A18" s="106" t="s">
        <v>68</v>
      </c>
      <c r="B18" s="106"/>
      <c r="C18" s="106"/>
      <c r="D18" s="106"/>
      <c r="E18" s="106"/>
      <c r="F18" s="107"/>
      <c r="G18" s="14"/>
      <c r="H18" s="14">
        <f t="shared" ref="H18" si="0">SUM(H4:H17)</f>
        <v>4</v>
      </c>
      <c r="I18" s="14">
        <f>SUM(I4:I17)</f>
        <v>20</v>
      </c>
      <c r="J18" s="14">
        <f>SUM(J4:J17)</f>
        <v>24</v>
      </c>
    </row>
    <row r="21" spans="1:10" ht="15.75" thickBot="1" x14ac:dyDescent="0.3"/>
    <row r="22" spans="1:10" ht="64.5" thickBot="1" x14ac:dyDescent="0.3">
      <c r="A22" s="1" t="s">
        <v>69</v>
      </c>
      <c r="B22" s="2" t="s">
        <v>70</v>
      </c>
      <c r="C22" s="2" t="s">
        <v>71</v>
      </c>
      <c r="D22" s="2" t="s">
        <v>72</v>
      </c>
      <c r="E22" s="102" t="s">
        <v>347</v>
      </c>
      <c r="F22" s="13" t="s">
        <v>73</v>
      </c>
      <c r="G22" s="13" t="s">
        <v>74</v>
      </c>
      <c r="H22" s="13" t="s">
        <v>75</v>
      </c>
    </row>
    <row r="23" spans="1:10" ht="64.5" thickBot="1" x14ac:dyDescent="0.3">
      <c r="A23" s="3" t="s">
        <v>76</v>
      </c>
      <c r="B23" s="5">
        <v>7</v>
      </c>
      <c r="C23" s="5">
        <v>14</v>
      </c>
      <c r="D23" s="4">
        <v>0.25</v>
      </c>
      <c r="E23" s="103"/>
      <c r="F23" s="5">
        <v>13</v>
      </c>
      <c r="G23" s="12">
        <f>F23/C23</f>
        <v>0.9285714285714286</v>
      </c>
      <c r="H23" s="4">
        <f>G23*D23</f>
        <v>0.23214285714285715</v>
      </c>
    </row>
    <row r="24" spans="1:10" ht="39" thickBot="1" x14ac:dyDescent="0.3">
      <c r="A24" s="3" t="s">
        <v>77</v>
      </c>
      <c r="B24" s="5">
        <v>4</v>
      </c>
      <c r="C24" s="5">
        <v>8</v>
      </c>
      <c r="D24" s="4">
        <v>0.25</v>
      </c>
      <c r="E24" s="103"/>
      <c r="F24" s="5">
        <v>7</v>
      </c>
      <c r="G24" s="12">
        <f t="shared" ref="G24:G26" si="1">F24/C24</f>
        <v>0.875</v>
      </c>
      <c r="H24" s="4">
        <f>G24*D24</f>
        <v>0.21875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2</v>
      </c>
      <c r="G26" s="12">
        <f t="shared" si="1"/>
        <v>0.5</v>
      </c>
      <c r="H26" s="4">
        <f>G26*D26</f>
        <v>0.125</v>
      </c>
    </row>
    <row r="27" spans="1:10" ht="16.5" thickBot="1" x14ac:dyDescent="0.3">
      <c r="A27" s="15" t="s">
        <v>80</v>
      </c>
      <c r="B27" s="16">
        <f>SUM(B23:B26)</f>
        <v>14</v>
      </c>
      <c r="C27" s="16">
        <f>SUM(C23:C26)</f>
        <v>28</v>
      </c>
      <c r="D27" s="17">
        <f>SUM(D23:D26)</f>
        <v>1</v>
      </c>
      <c r="E27" s="104"/>
      <c r="F27" s="16">
        <f>SUM(F23:F26)</f>
        <v>24</v>
      </c>
      <c r="G27" s="16" t="s">
        <v>81</v>
      </c>
      <c r="H27" s="18">
        <f>SUM(H23:H26)</f>
        <v>0.82589285714285721</v>
      </c>
    </row>
  </sheetData>
  <mergeCells count="6">
    <mergeCell ref="E22:E27"/>
    <mergeCell ref="A1:J1"/>
    <mergeCell ref="J4:J10"/>
    <mergeCell ref="J11:J14"/>
    <mergeCell ref="J16:J17"/>
    <mergeCell ref="A18:F18"/>
  </mergeCells>
  <conditionalFormatting sqref="G23:H26">
    <cfRule type="cellIs" dxfId="82" priority="1" operator="between">
      <formula>0.8</formula>
      <formula>1</formula>
    </cfRule>
    <cfRule type="cellIs" dxfId="81" priority="2" operator="between">
      <formula>0.41</formula>
      <formula>0.79</formula>
    </cfRule>
    <cfRule type="cellIs" dxfId="80" priority="3" operator="between">
      <formula>0</formula>
      <formula>0.4</formula>
    </cfRule>
  </conditionalFormatting>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48FA7-100C-463F-B58A-6665C494BD88}">
  <dimension ref="A1:J27"/>
  <sheetViews>
    <sheetView topLeftCell="A13" workbookViewId="0">
      <selection activeCell="F24" sqref="F24"/>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8"/>
      <c r="I4" s="8">
        <v>2</v>
      </c>
      <c r="J4" s="105">
        <f>SUM(G4:I10)</f>
        <v>13</v>
      </c>
    </row>
    <row r="5" spans="1:10" ht="52.15" customHeight="1" x14ac:dyDescent="0.25">
      <c r="A5" s="90" t="s">
        <v>11</v>
      </c>
      <c r="B5" s="7" t="s">
        <v>17</v>
      </c>
      <c r="C5" s="8" t="s">
        <v>18</v>
      </c>
      <c r="D5" s="8" t="s">
        <v>19</v>
      </c>
      <c r="E5" s="91" t="s">
        <v>15</v>
      </c>
      <c r="F5" s="91" t="s">
        <v>16</v>
      </c>
      <c r="G5" s="8"/>
      <c r="H5" s="8"/>
      <c r="I5" s="8">
        <v>2</v>
      </c>
      <c r="J5" s="105"/>
    </row>
    <row r="6" spans="1:10" ht="44.65" customHeight="1" x14ac:dyDescent="0.25">
      <c r="A6" s="90" t="s">
        <v>11</v>
      </c>
      <c r="B6" s="7" t="s">
        <v>20</v>
      </c>
      <c r="C6" s="8"/>
      <c r="D6" s="8" t="s">
        <v>22</v>
      </c>
      <c r="E6" s="91" t="s">
        <v>15</v>
      </c>
      <c r="F6" s="91" t="s">
        <v>16</v>
      </c>
      <c r="G6" s="8"/>
      <c r="H6" s="8"/>
      <c r="I6" s="8">
        <v>2</v>
      </c>
      <c r="J6" s="105"/>
    </row>
    <row r="7" spans="1:10" ht="48.6" customHeight="1" x14ac:dyDescent="0.25">
      <c r="A7" s="90" t="s">
        <v>11</v>
      </c>
      <c r="B7" s="7" t="s">
        <v>23</v>
      </c>
      <c r="C7" s="8" t="s">
        <v>24</v>
      </c>
      <c r="D7" s="8" t="s">
        <v>25</v>
      </c>
      <c r="E7" s="91" t="s">
        <v>15</v>
      </c>
      <c r="F7" s="91" t="s">
        <v>16</v>
      </c>
      <c r="G7" s="8"/>
      <c r="H7" s="8"/>
      <c r="I7" s="8">
        <v>2</v>
      </c>
      <c r="J7" s="105"/>
    </row>
    <row r="8" spans="1:10" ht="52.5" customHeight="1" x14ac:dyDescent="0.25">
      <c r="A8" s="90" t="s">
        <v>11</v>
      </c>
      <c r="B8" s="7" t="s">
        <v>26</v>
      </c>
      <c r="C8" s="8" t="s">
        <v>27</v>
      </c>
      <c r="D8" s="8" t="s">
        <v>28</v>
      </c>
      <c r="E8" s="91" t="s">
        <v>15</v>
      </c>
      <c r="F8" s="91" t="s">
        <v>16</v>
      </c>
      <c r="G8" s="8"/>
      <c r="H8" s="8"/>
      <c r="I8" s="8">
        <v>2</v>
      </c>
      <c r="J8" s="105"/>
    </row>
    <row r="9" spans="1:10" ht="44.65" customHeight="1" x14ac:dyDescent="0.25">
      <c r="A9" s="90" t="s">
        <v>11</v>
      </c>
      <c r="B9" s="7" t="s">
        <v>29</v>
      </c>
      <c r="C9" s="8" t="s">
        <v>30</v>
      </c>
      <c r="D9" s="8" t="s">
        <v>31</v>
      </c>
      <c r="E9" s="91" t="s">
        <v>15</v>
      </c>
      <c r="F9" s="91" t="s">
        <v>16</v>
      </c>
      <c r="G9" s="8"/>
      <c r="H9" s="8">
        <v>1</v>
      </c>
      <c r="I9" s="8"/>
      <c r="J9" s="105"/>
    </row>
    <row r="10" spans="1:10" ht="76.5" customHeight="1" x14ac:dyDescent="0.25">
      <c r="A10" s="90" t="s">
        <v>11</v>
      </c>
      <c r="B10" s="7" t="s">
        <v>32</v>
      </c>
      <c r="C10" s="8" t="s">
        <v>33</v>
      </c>
      <c r="D10" s="8" t="s">
        <v>34</v>
      </c>
      <c r="E10" s="91" t="s">
        <v>15</v>
      </c>
      <c r="F10" s="91" t="s">
        <v>16</v>
      </c>
      <c r="G10" s="8"/>
      <c r="H10" s="8"/>
      <c r="I10" s="8">
        <v>2</v>
      </c>
      <c r="J10" s="105"/>
    </row>
    <row r="11" spans="1:10" ht="117.6" customHeight="1" x14ac:dyDescent="0.25">
      <c r="A11" s="90" t="s">
        <v>35</v>
      </c>
      <c r="B11" s="7" t="s">
        <v>36</v>
      </c>
      <c r="C11" s="8" t="s">
        <v>37</v>
      </c>
      <c r="D11" s="8" t="s">
        <v>38</v>
      </c>
      <c r="E11" s="8" t="s">
        <v>39</v>
      </c>
      <c r="F11" s="8" t="s">
        <v>40</v>
      </c>
      <c r="G11" s="8"/>
      <c r="H11" s="8">
        <v>1</v>
      </c>
      <c r="I11" s="8"/>
      <c r="J11" s="105">
        <f>SUM(G11:I14)</f>
        <v>7</v>
      </c>
    </row>
    <row r="12" spans="1:10" ht="93" customHeight="1" x14ac:dyDescent="0.25">
      <c r="A12" s="90" t="s">
        <v>35</v>
      </c>
      <c r="B12" s="7" t="s">
        <v>41</v>
      </c>
      <c r="C12" s="8" t="s">
        <v>42</v>
      </c>
      <c r="D12" s="8" t="s">
        <v>43</v>
      </c>
      <c r="E12" s="8" t="s">
        <v>44</v>
      </c>
      <c r="F12" s="8" t="s">
        <v>40</v>
      </c>
      <c r="G12" s="8"/>
      <c r="H12" s="8"/>
      <c r="I12" s="31">
        <v>2</v>
      </c>
      <c r="J12" s="105"/>
    </row>
    <row r="13" spans="1:10" ht="76.5" customHeight="1" x14ac:dyDescent="0.25">
      <c r="A13" s="90" t="s">
        <v>35</v>
      </c>
      <c r="B13" s="7" t="s">
        <v>45</v>
      </c>
      <c r="C13" s="8" t="s">
        <v>46</v>
      </c>
      <c r="D13" s="8" t="s">
        <v>47</v>
      </c>
      <c r="E13" s="8" t="s">
        <v>48</v>
      </c>
      <c r="F13" s="8" t="s">
        <v>40</v>
      </c>
      <c r="G13" s="8"/>
      <c r="H13" s="8"/>
      <c r="I13" s="8">
        <v>2</v>
      </c>
      <c r="J13" s="105"/>
    </row>
    <row r="14" spans="1:10" ht="93.6" customHeight="1" x14ac:dyDescent="0.25">
      <c r="A14" s="90" t="s">
        <v>35</v>
      </c>
      <c r="B14" s="7" t="s">
        <v>49</v>
      </c>
      <c r="C14" s="8" t="s">
        <v>50</v>
      </c>
      <c r="D14" s="8" t="s">
        <v>51</v>
      </c>
      <c r="E14" s="8" t="s">
        <v>52</v>
      </c>
      <c r="F14" s="8" t="s">
        <v>40</v>
      </c>
      <c r="G14" s="8"/>
      <c r="H14" s="8"/>
      <c r="I14" s="8">
        <v>2</v>
      </c>
      <c r="J14" s="105"/>
    </row>
    <row r="15" spans="1:10" ht="78.599999999999994" customHeight="1" x14ac:dyDescent="0.25">
      <c r="A15" s="9" t="s">
        <v>53</v>
      </c>
      <c r="B15" s="7" t="s">
        <v>54</v>
      </c>
      <c r="C15" s="8" t="s">
        <v>55</v>
      </c>
      <c r="D15" s="11" t="s">
        <v>56</v>
      </c>
      <c r="E15" s="8" t="s">
        <v>57</v>
      </c>
      <c r="F15" s="8" t="s">
        <v>58</v>
      </c>
      <c r="G15" s="8"/>
      <c r="H15" s="8"/>
      <c r="I15" s="8">
        <v>2</v>
      </c>
      <c r="J15" s="10">
        <f>SUM(G15:I15)</f>
        <v>2</v>
      </c>
    </row>
    <row r="16" spans="1:10" ht="65.650000000000006" customHeight="1" x14ac:dyDescent="0.25">
      <c r="A16" s="90" t="s">
        <v>59</v>
      </c>
      <c r="B16" s="7" t="s">
        <v>60</v>
      </c>
      <c r="C16" s="8" t="s">
        <v>61</v>
      </c>
      <c r="D16" s="8" t="s">
        <v>62</v>
      </c>
      <c r="E16" s="8" t="s">
        <v>63</v>
      </c>
      <c r="F16" s="8" t="s">
        <v>58</v>
      </c>
      <c r="G16" s="8"/>
      <c r="H16" s="8">
        <v>1</v>
      </c>
      <c r="I16" s="8"/>
      <c r="J16" s="105">
        <f>SUM(G16:I17)</f>
        <v>2</v>
      </c>
    </row>
    <row r="17" spans="1:10" ht="67.150000000000006" customHeight="1" x14ac:dyDescent="0.25">
      <c r="A17" s="90" t="s">
        <v>59</v>
      </c>
      <c r="B17" s="7" t="s">
        <v>64</v>
      </c>
      <c r="C17" s="8" t="s">
        <v>65</v>
      </c>
      <c r="D17" s="8" t="s">
        <v>66</v>
      </c>
      <c r="E17" s="8" t="s">
        <v>67</v>
      </c>
      <c r="F17" s="8" t="s">
        <v>40</v>
      </c>
      <c r="G17" s="8"/>
      <c r="H17" s="8">
        <v>1</v>
      </c>
      <c r="I17" s="8"/>
      <c r="J17" s="105"/>
    </row>
    <row r="18" spans="1:10" ht="15" customHeight="1" thickBot="1" x14ac:dyDescent="0.3">
      <c r="A18" s="106" t="s">
        <v>68</v>
      </c>
      <c r="B18" s="106"/>
      <c r="C18" s="106"/>
      <c r="D18" s="106"/>
      <c r="E18" s="106"/>
      <c r="F18" s="107"/>
      <c r="G18" s="14"/>
      <c r="H18" s="14">
        <f t="shared" ref="H18" si="0">SUM(H4:H17)</f>
        <v>4</v>
      </c>
      <c r="I18" s="14">
        <f>SUM(I4:I17)</f>
        <v>20</v>
      </c>
      <c r="J18" s="14">
        <f>SUM(J4:J17)</f>
        <v>24</v>
      </c>
    </row>
    <row r="21" spans="1:10" ht="15.75" thickBot="1" x14ac:dyDescent="0.3"/>
    <row r="22" spans="1:10" ht="64.5" thickBot="1" x14ac:dyDescent="0.3">
      <c r="A22" s="1" t="s">
        <v>69</v>
      </c>
      <c r="B22" s="2" t="s">
        <v>70</v>
      </c>
      <c r="C22" s="2" t="s">
        <v>71</v>
      </c>
      <c r="D22" s="2" t="s">
        <v>72</v>
      </c>
      <c r="E22" s="102" t="s">
        <v>214</v>
      </c>
      <c r="F22" s="13" t="s">
        <v>73</v>
      </c>
      <c r="G22" s="13" t="s">
        <v>74</v>
      </c>
      <c r="H22" s="13" t="s">
        <v>75</v>
      </c>
    </row>
    <row r="23" spans="1:10" ht="64.5" thickBot="1" x14ac:dyDescent="0.3">
      <c r="A23" s="3" t="s">
        <v>76</v>
      </c>
      <c r="B23" s="5">
        <v>7</v>
      </c>
      <c r="C23" s="5">
        <v>14</v>
      </c>
      <c r="D23" s="4">
        <v>0.25</v>
      </c>
      <c r="E23" s="103"/>
      <c r="F23" s="5">
        <v>13</v>
      </c>
      <c r="G23" s="12">
        <f>F23/C23</f>
        <v>0.9285714285714286</v>
      </c>
      <c r="H23" s="4">
        <f>G23*D23</f>
        <v>0.23214285714285715</v>
      </c>
    </row>
    <row r="24" spans="1:10" ht="39" thickBot="1" x14ac:dyDescent="0.3">
      <c r="A24" s="3" t="s">
        <v>77</v>
      </c>
      <c r="B24" s="5">
        <v>4</v>
      </c>
      <c r="C24" s="5">
        <v>8</v>
      </c>
      <c r="D24" s="4">
        <v>0.25</v>
      </c>
      <c r="E24" s="103"/>
      <c r="F24" s="5">
        <v>7</v>
      </c>
      <c r="G24" s="12">
        <f t="shared" ref="G24:G26" si="1">F24/C24</f>
        <v>0.875</v>
      </c>
      <c r="H24" s="4">
        <f>G24*D24</f>
        <v>0.21875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2</v>
      </c>
      <c r="G26" s="12">
        <f t="shared" si="1"/>
        <v>0.5</v>
      </c>
      <c r="H26" s="4">
        <f>G26*D26</f>
        <v>0.125</v>
      </c>
    </row>
    <row r="27" spans="1:10" ht="16.5" thickBot="1" x14ac:dyDescent="0.3">
      <c r="A27" s="15" t="s">
        <v>80</v>
      </c>
      <c r="B27" s="16">
        <f>SUM(B23:B26)</f>
        <v>14</v>
      </c>
      <c r="C27" s="16">
        <f>SUM(C23:C26)</f>
        <v>28</v>
      </c>
      <c r="D27" s="17">
        <f>SUM(D23:D26)</f>
        <v>1</v>
      </c>
      <c r="E27" s="104"/>
      <c r="F27" s="16">
        <f>SUM(F23:F26)</f>
        <v>24</v>
      </c>
      <c r="G27" s="16" t="s">
        <v>81</v>
      </c>
      <c r="H27" s="18">
        <f>SUM(H23:H26)</f>
        <v>0.82589285714285721</v>
      </c>
    </row>
  </sheetData>
  <mergeCells count="6">
    <mergeCell ref="E22:E27"/>
    <mergeCell ref="A1:J1"/>
    <mergeCell ref="J4:J10"/>
    <mergeCell ref="J11:J14"/>
    <mergeCell ref="J16:J17"/>
    <mergeCell ref="A18:F18"/>
  </mergeCells>
  <conditionalFormatting sqref="G23:H26">
    <cfRule type="cellIs" dxfId="79" priority="1" operator="between">
      <formula>0.8</formula>
      <formula>1</formula>
    </cfRule>
    <cfRule type="cellIs" dxfId="78" priority="2" operator="between">
      <formula>0.41</formula>
      <formula>0.79</formula>
    </cfRule>
    <cfRule type="cellIs" dxfId="77" priority="3" operator="between">
      <formula>0</formula>
      <formula>0.4</formula>
    </cfRule>
  </conditionalFormatting>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A720-5E76-4F55-BF7A-83C0D31701F6}">
  <dimension ref="A1:J27"/>
  <sheetViews>
    <sheetView topLeftCell="A16" workbookViewId="0">
      <selection activeCell="H23" sqref="H23"/>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32"/>
      <c r="H4" s="8"/>
      <c r="I4" s="95">
        <v>2</v>
      </c>
      <c r="J4" s="105">
        <f>SUM(G4:I10)</f>
        <v>11</v>
      </c>
    </row>
    <row r="5" spans="1:10" ht="52.15" customHeight="1" x14ac:dyDescent="0.25">
      <c r="A5" s="90" t="s">
        <v>11</v>
      </c>
      <c r="B5" s="7" t="s">
        <v>17</v>
      </c>
      <c r="C5" s="8" t="s">
        <v>18</v>
      </c>
      <c r="D5" s="8" t="s">
        <v>19</v>
      </c>
      <c r="E5" s="91" t="s">
        <v>15</v>
      </c>
      <c r="F5" s="91" t="s">
        <v>16</v>
      </c>
      <c r="G5" s="32"/>
      <c r="H5" s="8"/>
      <c r="I5" s="95">
        <v>2</v>
      </c>
      <c r="J5" s="105"/>
    </row>
    <row r="6" spans="1:10" ht="44.65" customHeight="1" x14ac:dyDescent="0.25">
      <c r="A6" s="90" t="s">
        <v>11</v>
      </c>
      <c r="B6" s="7" t="s">
        <v>20</v>
      </c>
      <c r="C6" s="8" t="s">
        <v>21</v>
      </c>
      <c r="D6" s="8" t="s">
        <v>22</v>
      </c>
      <c r="E6" s="91" t="s">
        <v>15</v>
      </c>
      <c r="F6" s="91" t="s">
        <v>16</v>
      </c>
      <c r="G6" s="32"/>
      <c r="H6" s="8"/>
      <c r="I6" s="95">
        <v>2</v>
      </c>
      <c r="J6" s="105"/>
    </row>
    <row r="7" spans="1:10" ht="48.6" customHeight="1" x14ac:dyDescent="0.25">
      <c r="A7" s="90" t="s">
        <v>11</v>
      </c>
      <c r="B7" s="7" t="s">
        <v>23</v>
      </c>
      <c r="C7" s="8" t="s">
        <v>24</v>
      </c>
      <c r="D7" s="8" t="s">
        <v>25</v>
      </c>
      <c r="E7" s="91" t="s">
        <v>15</v>
      </c>
      <c r="F7" s="91" t="s">
        <v>16</v>
      </c>
      <c r="G7" s="32"/>
      <c r="H7" s="96">
        <v>1</v>
      </c>
      <c r="I7" s="8"/>
      <c r="J7" s="105"/>
    </row>
    <row r="8" spans="1:10" ht="52.5" customHeight="1" x14ac:dyDescent="0.25">
      <c r="A8" s="90" t="s">
        <v>11</v>
      </c>
      <c r="B8" s="7" t="s">
        <v>26</v>
      </c>
      <c r="C8" s="8" t="s">
        <v>27</v>
      </c>
      <c r="D8" s="8" t="s">
        <v>28</v>
      </c>
      <c r="E8" s="91" t="s">
        <v>15</v>
      </c>
      <c r="F8" s="91" t="s">
        <v>16</v>
      </c>
      <c r="G8" s="32"/>
      <c r="H8" s="96">
        <v>1</v>
      </c>
      <c r="I8" s="8"/>
      <c r="J8" s="105"/>
    </row>
    <row r="9" spans="1:10" ht="44.65" customHeight="1" x14ac:dyDescent="0.25">
      <c r="A9" s="90" t="s">
        <v>11</v>
      </c>
      <c r="B9" s="7" t="s">
        <v>29</v>
      </c>
      <c r="C9" s="8" t="s">
        <v>30</v>
      </c>
      <c r="D9" s="8" t="s">
        <v>31</v>
      </c>
      <c r="E9" s="91" t="s">
        <v>15</v>
      </c>
      <c r="F9" s="91" t="s">
        <v>16</v>
      </c>
      <c r="G9" s="32"/>
      <c r="H9" s="96">
        <v>1</v>
      </c>
      <c r="I9" s="8"/>
      <c r="J9" s="105"/>
    </row>
    <row r="10" spans="1:10" ht="76.5" customHeight="1" x14ac:dyDescent="0.25">
      <c r="A10" s="90" t="s">
        <v>11</v>
      </c>
      <c r="B10" s="7" t="s">
        <v>32</v>
      </c>
      <c r="C10" s="8" t="s">
        <v>33</v>
      </c>
      <c r="D10" s="8" t="s">
        <v>34</v>
      </c>
      <c r="E10" s="91" t="s">
        <v>15</v>
      </c>
      <c r="F10" s="91" t="s">
        <v>16</v>
      </c>
      <c r="G10" s="32"/>
      <c r="H10" s="8"/>
      <c r="I10" s="95">
        <v>2</v>
      </c>
      <c r="J10" s="105"/>
    </row>
    <row r="11" spans="1:10" ht="117.6" customHeight="1" x14ac:dyDescent="0.25">
      <c r="A11" s="90" t="s">
        <v>35</v>
      </c>
      <c r="B11" s="7" t="s">
        <v>36</v>
      </c>
      <c r="C11" s="8" t="s">
        <v>37</v>
      </c>
      <c r="D11" s="8" t="s">
        <v>38</v>
      </c>
      <c r="E11" s="8" t="s">
        <v>39</v>
      </c>
      <c r="F11" s="8" t="s">
        <v>40</v>
      </c>
      <c r="G11" s="32"/>
      <c r="H11" s="32"/>
      <c r="I11" s="95">
        <v>2</v>
      </c>
      <c r="J11" s="105">
        <f>SUM(G11:I14)</f>
        <v>8</v>
      </c>
    </row>
    <row r="12" spans="1:10" ht="93" customHeight="1" x14ac:dyDescent="0.25">
      <c r="A12" s="90" t="s">
        <v>35</v>
      </c>
      <c r="B12" s="7" t="s">
        <v>41</v>
      </c>
      <c r="C12" s="8" t="s">
        <v>42</v>
      </c>
      <c r="D12" s="8" t="s">
        <v>43</v>
      </c>
      <c r="E12" s="8" t="s">
        <v>44</v>
      </c>
      <c r="F12" s="8" t="s">
        <v>40</v>
      </c>
      <c r="G12" s="32"/>
      <c r="H12" s="32"/>
      <c r="I12" s="95">
        <v>2</v>
      </c>
      <c r="J12" s="105"/>
    </row>
    <row r="13" spans="1:10" ht="76.5" customHeight="1" x14ac:dyDescent="0.25">
      <c r="A13" s="90" t="s">
        <v>35</v>
      </c>
      <c r="B13" s="7" t="s">
        <v>45</v>
      </c>
      <c r="C13" s="8" t="s">
        <v>46</v>
      </c>
      <c r="D13" s="8" t="s">
        <v>47</v>
      </c>
      <c r="E13" s="8" t="s">
        <v>48</v>
      </c>
      <c r="F13" s="8" t="s">
        <v>40</v>
      </c>
      <c r="G13" s="32"/>
      <c r="H13" s="32"/>
      <c r="I13" s="95">
        <v>2</v>
      </c>
      <c r="J13" s="105"/>
    </row>
    <row r="14" spans="1:10" ht="93.6" customHeight="1" x14ac:dyDescent="0.25">
      <c r="A14" s="90" t="s">
        <v>35</v>
      </c>
      <c r="B14" s="7" t="s">
        <v>49</v>
      </c>
      <c r="C14" s="8" t="s">
        <v>50</v>
      </c>
      <c r="D14" s="8" t="s">
        <v>51</v>
      </c>
      <c r="E14" s="8" t="s">
        <v>52</v>
      </c>
      <c r="F14" s="8" t="s">
        <v>40</v>
      </c>
      <c r="G14" s="32"/>
      <c r="H14" s="32"/>
      <c r="I14" s="95">
        <v>2</v>
      </c>
      <c r="J14" s="105"/>
    </row>
    <row r="15" spans="1:10" ht="78.599999999999994" customHeight="1" x14ac:dyDescent="0.25">
      <c r="A15" s="9" t="s">
        <v>53</v>
      </c>
      <c r="B15" s="7" t="s">
        <v>54</v>
      </c>
      <c r="C15" s="8" t="s">
        <v>55</v>
      </c>
      <c r="D15" s="11" t="s">
        <v>56</v>
      </c>
      <c r="E15" s="8" t="s">
        <v>57</v>
      </c>
      <c r="F15" s="8" t="s">
        <v>58</v>
      </c>
      <c r="G15" s="32"/>
      <c r="H15" s="32"/>
      <c r="I15" s="95">
        <v>2</v>
      </c>
      <c r="J15" s="10">
        <f>SUM(G15:I15)</f>
        <v>2</v>
      </c>
    </row>
    <row r="16" spans="1:10" ht="65.650000000000006" customHeight="1" x14ac:dyDescent="0.25">
      <c r="A16" s="90" t="s">
        <v>59</v>
      </c>
      <c r="B16" s="7" t="s">
        <v>60</v>
      </c>
      <c r="C16" s="8" t="s">
        <v>61</v>
      </c>
      <c r="D16" s="8" t="s">
        <v>62</v>
      </c>
      <c r="E16" s="8" t="s">
        <v>63</v>
      </c>
      <c r="F16" s="8" t="s">
        <v>58</v>
      </c>
      <c r="G16" s="32"/>
      <c r="H16" s="32"/>
      <c r="I16" s="95">
        <v>2</v>
      </c>
      <c r="J16" s="105">
        <f>SUM(G16:I17)</f>
        <v>4</v>
      </c>
    </row>
    <row r="17" spans="1:10" ht="67.150000000000006" customHeight="1" x14ac:dyDescent="0.25">
      <c r="A17" s="90" t="s">
        <v>59</v>
      </c>
      <c r="B17" s="7" t="s">
        <v>64</v>
      </c>
      <c r="C17" s="8" t="s">
        <v>65</v>
      </c>
      <c r="D17" s="8" t="s">
        <v>66</v>
      </c>
      <c r="E17" s="8" t="s">
        <v>67</v>
      </c>
      <c r="F17" s="8" t="s">
        <v>40</v>
      </c>
      <c r="G17" s="32"/>
      <c r="H17" s="32"/>
      <c r="I17" s="95">
        <v>2</v>
      </c>
      <c r="J17" s="105"/>
    </row>
    <row r="18" spans="1:10" ht="15" customHeight="1" thickBot="1" x14ac:dyDescent="0.3">
      <c r="A18" s="106" t="s">
        <v>382</v>
      </c>
      <c r="B18" s="106"/>
      <c r="C18" s="106"/>
      <c r="D18" s="106"/>
      <c r="E18" s="106"/>
      <c r="F18" s="107"/>
      <c r="G18" s="14"/>
      <c r="H18" s="14">
        <f t="shared" ref="H18" si="0">SUM(H4:H17)</f>
        <v>3</v>
      </c>
      <c r="I18" s="14">
        <f>SUM(I4:I17)</f>
        <v>22</v>
      </c>
      <c r="J18" s="14">
        <f>SUM(J4:J17)</f>
        <v>25</v>
      </c>
    </row>
    <row r="20" spans="1:10" x14ac:dyDescent="0.25">
      <c r="A20" s="108"/>
      <c r="B20" s="108"/>
      <c r="C20" s="108"/>
      <c r="D20" s="108"/>
      <c r="E20" s="108"/>
      <c r="F20" s="108"/>
      <c r="G20" s="108"/>
      <c r="H20" s="108"/>
    </row>
    <row r="21" spans="1:10" ht="15.75" thickBot="1" x14ac:dyDescent="0.3"/>
    <row r="22" spans="1:10" ht="64.5" thickBot="1" x14ac:dyDescent="0.3">
      <c r="A22" s="1" t="s">
        <v>69</v>
      </c>
      <c r="B22" s="2" t="s">
        <v>70</v>
      </c>
      <c r="C22" s="2" t="s">
        <v>71</v>
      </c>
      <c r="D22" s="2" t="s">
        <v>72</v>
      </c>
      <c r="E22" s="102" t="s">
        <v>367</v>
      </c>
      <c r="F22" s="13" t="s">
        <v>73</v>
      </c>
      <c r="G22" s="13" t="s">
        <v>74</v>
      </c>
      <c r="H22" s="13" t="s">
        <v>75</v>
      </c>
    </row>
    <row r="23" spans="1:10" ht="64.5" thickBot="1" x14ac:dyDescent="0.3">
      <c r="A23" s="3" t="s">
        <v>76</v>
      </c>
      <c r="B23" s="5">
        <v>7</v>
      </c>
      <c r="C23" s="5">
        <v>14</v>
      </c>
      <c r="D23" s="4">
        <v>0.25</v>
      </c>
      <c r="E23" s="103"/>
      <c r="F23" s="5">
        <v>11</v>
      </c>
      <c r="G23" s="12">
        <f>F23/C23</f>
        <v>0.7857142857142857</v>
      </c>
      <c r="H23" s="4">
        <f>G23*D23</f>
        <v>0.19642857142857142</v>
      </c>
    </row>
    <row r="24" spans="1:10" ht="39" thickBot="1" x14ac:dyDescent="0.3">
      <c r="A24" s="3" t="s">
        <v>77</v>
      </c>
      <c r="B24" s="5">
        <v>4</v>
      </c>
      <c r="C24" s="5">
        <v>8</v>
      </c>
      <c r="D24" s="4">
        <v>0.25</v>
      </c>
      <c r="E24" s="103"/>
      <c r="F24" s="5">
        <v>8</v>
      </c>
      <c r="G24" s="12">
        <f t="shared" ref="G24:G26" si="1">F24/C24</f>
        <v>1</v>
      </c>
      <c r="H24" s="4">
        <f>G24*D24</f>
        <v>0.25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4</v>
      </c>
      <c r="G26" s="12">
        <f t="shared" si="1"/>
        <v>1</v>
      </c>
      <c r="H26" s="4">
        <f>G26*D26</f>
        <v>0.25</v>
      </c>
    </row>
    <row r="27" spans="1:10" ht="16.5" thickBot="1" x14ac:dyDescent="0.3">
      <c r="A27" s="15" t="s">
        <v>80</v>
      </c>
      <c r="B27" s="16">
        <f>SUM(B23:B26)</f>
        <v>14</v>
      </c>
      <c r="C27" s="16">
        <f>SUM(C23:C26)</f>
        <v>28</v>
      </c>
      <c r="D27" s="17">
        <f>SUM(D23:D26)</f>
        <v>1</v>
      </c>
      <c r="E27" s="104"/>
      <c r="F27" s="16">
        <f>SUM(F23:F26)</f>
        <v>25</v>
      </c>
      <c r="G27" s="16" t="s">
        <v>81</v>
      </c>
      <c r="H27" s="18">
        <f>SUM(H23:H26)</f>
        <v>0.9464285714285714</v>
      </c>
    </row>
  </sheetData>
  <mergeCells count="7">
    <mergeCell ref="E22:E27"/>
    <mergeCell ref="A20:H20"/>
    <mergeCell ref="J11:J14"/>
    <mergeCell ref="A1:J1"/>
    <mergeCell ref="J4:J10"/>
    <mergeCell ref="J16:J17"/>
    <mergeCell ref="A18:F18"/>
  </mergeCells>
  <conditionalFormatting sqref="G23:H26">
    <cfRule type="cellIs" dxfId="76" priority="1" operator="between">
      <formula>0.8</formula>
      <formula>1</formula>
    </cfRule>
    <cfRule type="cellIs" dxfId="75" priority="2" operator="between">
      <formula>0.41</formula>
      <formula>0.79</formula>
    </cfRule>
    <cfRule type="cellIs" dxfId="74" priority="3" operator="between">
      <formula>0</formula>
      <formula>0.4</formula>
    </cfRule>
  </conditionalFormatting>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56BB-3839-43AB-AA2B-F2F5AEAAEAD4}">
  <dimension ref="A1:J27"/>
  <sheetViews>
    <sheetView topLeftCell="A16" workbookViewId="0">
      <selection activeCell="A20" sqref="A20:H20"/>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32"/>
      <c r="H4" s="8">
        <v>1</v>
      </c>
      <c r="I4" s="8"/>
      <c r="J4" s="105">
        <f>SUM(G4:I10)</f>
        <v>13</v>
      </c>
    </row>
    <row r="5" spans="1:10" ht="52.15" customHeight="1" x14ac:dyDescent="0.25">
      <c r="A5" s="90" t="s">
        <v>11</v>
      </c>
      <c r="B5" s="7" t="s">
        <v>17</v>
      </c>
      <c r="C5" s="8" t="s">
        <v>18</v>
      </c>
      <c r="D5" s="8" t="s">
        <v>19</v>
      </c>
      <c r="E5" s="91" t="s">
        <v>15</v>
      </c>
      <c r="F5" s="91" t="s">
        <v>16</v>
      </c>
      <c r="G5" s="32"/>
      <c r="H5" s="8"/>
      <c r="I5" s="8">
        <v>2</v>
      </c>
      <c r="J5" s="105"/>
    </row>
    <row r="6" spans="1:10" ht="44.65" customHeight="1" x14ac:dyDescent="0.25">
      <c r="A6" s="90" t="s">
        <v>11</v>
      </c>
      <c r="B6" s="7" t="s">
        <v>20</v>
      </c>
      <c r="C6" s="8" t="s">
        <v>21</v>
      </c>
      <c r="D6" s="8" t="s">
        <v>22</v>
      </c>
      <c r="E6" s="91" t="s">
        <v>15</v>
      </c>
      <c r="F6" s="91" t="s">
        <v>16</v>
      </c>
      <c r="G6" s="32"/>
      <c r="H6" s="8"/>
      <c r="I6" s="8">
        <v>2</v>
      </c>
      <c r="J6" s="105"/>
    </row>
    <row r="7" spans="1:10" ht="48.6" customHeight="1" x14ac:dyDescent="0.25">
      <c r="A7" s="90" t="s">
        <v>11</v>
      </c>
      <c r="B7" s="7" t="s">
        <v>23</v>
      </c>
      <c r="C7" s="8" t="s">
        <v>24</v>
      </c>
      <c r="D7" s="8" t="s">
        <v>25</v>
      </c>
      <c r="E7" s="91" t="s">
        <v>15</v>
      </c>
      <c r="F7" s="91" t="s">
        <v>16</v>
      </c>
      <c r="G7" s="32"/>
      <c r="H7" s="8"/>
      <c r="I7" s="8">
        <v>2</v>
      </c>
      <c r="J7" s="105"/>
    </row>
    <row r="8" spans="1:10" ht="52.5" customHeight="1" x14ac:dyDescent="0.25">
      <c r="A8" s="90" t="s">
        <v>11</v>
      </c>
      <c r="B8" s="7" t="s">
        <v>26</v>
      </c>
      <c r="C8" s="8" t="s">
        <v>27</v>
      </c>
      <c r="D8" s="8" t="s">
        <v>28</v>
      </c>
      <c r="E8" s="91" t="s">
        <v>15</v>
      </c>
      <c r="F8" s="91" t="s">
        <v>16</v>
      </c>
      <c r="G8" s="32"/>
      <c r="H8" s="8"/>
      <c r="I8" s="8">
        <v>2</v>
      </c>
      <c r="J8" s="105"/>
    </row>
    <row r="9" spans="1:10" ht="44.65" customHeight="1" x14ac:dyDescent="0.25">
      <c r="A9" s="90" t="s">
        <v>11</v>
      </c>
      <c r="B9" s="7" t="s">
        <v>29</v>
      </c>
      <c r="C9" s="8" t="s">
        <v>30</v>
      </c>
      <c r="D9" s="8" t="s">
        <v>31</v>
      </c>
      <c r="E9" s="91" t="s">
        <v>15</v>
      </c>
      <c r="F9" s="91" t="s">
        <v>16</v>
      </c>
      <c r="G9" s="32"/>
      <c r="H9" s="8"/>
      <c r="I9" s="8">
        <v>2</v>
      </c>
      <c r="J9" s="105"/>
    </row>
    <row r="10" spans="1:10" ht="76.5" customHeight="1" x14ac:dyDescent="0.25">
      <c r="A10" s="90" t="s">
        <v>11</v>
      </c>
      <c r="B10" s="7" t="s">
        <v>32</v>
      </c>
      <c r="C10" s="8" t="s">
        <v>33</v>
      </c>
      <c r="D10" s="8" t="s">
        <v>34</v>
      </c>
      <c r="E10" s="91" t="s">
        <v>15</v>
      </c>
      <c r="F10" s="91" t="s">
        <v>16</v>
      </c>
      <c r="G10" s="32"/>
      <c r="H10" s="8"/>
      <c r="I10" s="8">
        <v>2</v>
      </c>
      <c r="J10" s="105"/>
    </row>
    <row r="11" spans="1:10" ht="117.6" customHeight="1" x14ac:dyDescent="0.25">
      <c r="A11" s="90" t="s">
        <v>35</v>
      </c>
      <c r="B11" s="7" t="s">
        <v>36</v>
      </c>
      <c r="C11" s="8" t="s">
        <v>37</v>
      </c>
      <c r="D11" s="8" t="s">
        <v>38</v>
      </c>
      <c r="E11" s="8" t="s">
        <v>39</v>
      </c>
      <c r="F11" s="8" t="s">
        <v>40</v>
      </c>
      <c r="G11" s="32"/>
      <c r="H11" s="8"/>
      <c r="I11" s="8">
        <v>2</v>
      </c>
      <c r="J11" s="105">
        <f>SUM(G11:I14)</f>
        <v>7</v>
      </c>
    </row>
    <row r="12" spans="1:10" ht="93" customHeight="1" x14ac:dyDescent="0.25">
      <c r="A12" s="90" t="s">
        <v>35</v>
      </c>
      <c r="B12" s="7" t="s">
        <v>41</v>
      </c>
      <c r="C12" s="8" t="s">
        <v>42</v>
      </c>
      <c r="D12" s="8" t="s">
        <v>43</v>
      </c>
      <c r="E12" s="8" t="s">
        <v>44</v>
      </c>
      <c r="F12" s="8" t="s">
        <v>40</v>
      </c>
      <c r="G12" s="32"/>
      <c r="H12" s="8"/>
      <c r="I12" s="8">
        <v>2</v>
      </c>
      <c r="J12" s="105"/>
    </row>
    <row r="13" spans="1:10" ht="76.5" customHeight="1" x14ac:dyDescent="0.25">
      <c r="A13" s="90" t="s">
        <v>35</v>
      </c>
      <c r="B13" s="7" t="s">
        <v>45</v>
      </c>
      <c r="C13" s="8" t="s">
        <v>46</v>
      </c>
      <c r="D13" s="8" t="s">
        <v>47</v>
      </c>
      <c r="E13" s="8" t="s">
        <v>48</v>
      </c>
      <c r="F13" s="8" t="s">
        <v>40</v>
      </c>
      <c r="G13" s="32"/>
      <c r="H13" s="8">
        <v>1</v>
      </c>
      <c r="I13" s="8"/>
      <c r="J13" s="105"/>
    </row>
    <row r="14" spans="1:10" ht="93.6" customHeight="1" x14ac:dyDescent="0.25">
      <c r="A14" s="90" t="s">
        <v>35</v>
      </c>
      <c r="B14" s="7" t="s">
        <v>49</v>
      </c>
      <c r="C14" s="8" t="s">
        <v>50</v>
      </c>
      <c r="D14" s="8" t="s">
        <v>51</v>
      </c>
      <c r="E14" s="8" t="s">
        <v>52</v>
      </c>
      <c r="F14" s="8" t="s">
        <v>40</v>
      </c>
      <c r="G14" s="32"/>
      <c r="H14" s="8"/>
      <c r="I14" s="8">
        <v>2</v>
      </c>
      <c r="J14" s="105"/>
    </row>
    <row r="15" spans="1:10" ht="78.599999999999994" customHeight="1" x14ac:dyDescent="0.25">
      <c r="A15" s="9" t="s">
        <v>53</v>
      </c>
      <c r="B15" s="7" t="s">
        <v>54</v>
      </c>
      <c r="C15" s="8" t="s">
        <v>55</v>
      </c>
      <c r="D15" s="11" t="s">
        <v>56</v>
      </c>
      <c r="E15" s="8" t="s">
        <v>57</v>
      </c>
      <c r="F15" s="8" t="s">
        <v>58</v>
      </c>
      <c r="G15" s="32"/>
      <c r="H15" s="8"/>
      <c r="I15" s="8">
        <v>2</v>
      </c>
      <c r="J15" s="10">
        <f>SUM(G15:I15)</f>
        <v>2</v>
      </c>
    </row>
    <row r="16" spans="1:10" ht="65.650000000000006" customHeight="1" x14ac:dyDescent="0.25">
      <c r="A16" s="90" t="s">
        <v>59</v>
      </c>
      <c r="B16" s="7" t="s">
        <v>60</v>
      </c>
      <c r="C16" s="8" t="s">
        <v>61</v>
      </c>
      <c r="D16" s="8" t="s">
        <v>62</v>
      </c>
      <c r="E16" s="8" t="s">
        <v>63</v>
      </c>
      <c r="F16" s="8" t="s">
        <v>58</v>
      </c>
      <c r="G16" s="32"/>
      <c r="H16" s="8"/>
      <c r="I16" s="8">
        <v>2</v>
      </c>
      <c r="J16" s="105">
        <f>SUM(G16:I17)</f>
        <v>4</v>
      </c>
    </row>
    <row r="17" spans="1:10" ht="67.150000000000006" customHeight="1" x14ac:dyDescent="0.25">
      <c r="A17" s="90" t="s">
        <v>59</v>
      </c>
      <c r="B17" s="7" t="s">
        <v>64</v>
      </c>
      <c r="C17" s="8" t="s">
        <v>65</v>
      </c>
      <c r="D17" s="8" t="s">
        <v>66</v>
      </c>
      <c r="E17" s="8" t="s">
        <v>67</v>
      </c>
      <c r="F17" s="8" t="s">
        <v>40</v>
      </c>
      <c r="G17" s="32"/>
      <c r="H17" s="8"/>
      <c r="I17" s="8">
        <v>2</v>
      </c>
      <c r="J17" s="105"/>
    </row>
    <row r="18" spans="1:10" ht="15" customHeight="1" thickBot="1" x14ac:dyDescent="0.3">
      <c r="A18" s="106" t="s">
        <v>82</v>
      </c>
      <c r="B18" s="106"/>
      <c r="C18" s="106"/>
      <c r="D18" s="106"/>
      <c r="E18" s="106"/>
      <c r="F18" s="107"/>
      <c r="G18" s="14"/>
      <c r="H18" s="14">
        <f t="shared" ref="H18" si="0">SUM(H4:H17)</f>
        <v>2</v>
      </c>
      <c r="I18" s="14">
        <f>SUM(I4:I17)</f>
        <v>24</v>
      </c>
      <c r="J18" s="14">
        <f>SUM(J4:J17)</f>
        <v>26</v>
      </c>
    </row>
    <row r="20" spans="1:10" x14ac:dyDescent="0.25">
      <c r="A20" s="108"/>
      <c r="B20" s="108"/>
      <c r="C20" s="108"/>
      <c r="D20" s="108"/>
      <c r="E20" s="108"/>
      <c r="F20" s="108"/>
      <c r="G20" s="108"/>
      <c r="H20" s="108"/>
    </row>
    <row r="21" spans="1:10" ht="15.75" thickBot="1" x14ac:dyDescent="0.3"/>
    <row r="22" spans="1:10" ht="64.5" thickBot="1" x14ac:dyDescent="0.3">
      <c r="A22" s="1" t="s">
        <v>69</v>
      </c>
      <c r="B22" s="2" t="s">
        <v>70</v>
      </c>
      <c r="C22" s="2" t="s">
        <v>71</v>
      </c>
      <c r="D22" s="2" t="s">
        <v>72</v>
      </c>
      <c r="E22" s="102" t="s">
        <v>256</v>
      </c>
      <c r="F22" s="13" t="s">
        <v>73</v>
      </c>
      <c r="G22" s="13" t="s">
        <v>74</v>
      </c>
      <c r="H22" s="13" t="s">
        <v>75</v>
      </c>
    </row>
    <row r="23" spans="1:10" ht="64.5" thickBot="1" x14ac:dyDescent="0.3">
      <c r="A23" s="3" t="s">
        <v>76</v>
      </c>
      <c r="B23" s="5">
        <v>7</v>
      </c>
      <c r="C23" s="5">
        <v>14</v>
      </c>
      <c r="D23" s="4">
        <v>0.25</v>
      </c>
      <c r="E23" s="103"/>
      <c r="F23" s="5">
        <v>13</v>
      </c>
      <c r="G23" s="12">
        <f>F23/C23</f>
        <v>0.9285714285714286</v>
      </c>
      <c r="H23" s="4">
        <f>G23*D23</f>
        <v>0.23214285714285715</v>
      </c>
    </row>
    <row r="24" spans="1:10" ht="39" thickBot="1" x14ac:dyDescent="0.3">
      <c r="A24" s="3" t="s">
        <v>77</v>
      </c>
      <c r="B24" s="5">
        <v>4</v>
      </c>
      <c r="C24" s="5">
        <v>8</v>
      </c>
      <c r="D24" s="4">
        <v>0.25</v>
      </c>
      <c r="E24" s="103"/>
      <c r="F24" s="5">
        <v>7</v>
      </c>
      <c r="G24" s="12">
        <f t="shared" ref="G24:G26" si="1">F24/C24</f>
        <v>0.875</v>
      </c>
      <c r="H24" s="4">
        <f>G24*D24</f>
        <v>0.21875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4</v>
      </c>
      <c r="G26" s="12">
        <f t="shared" si="1"/>
        <v>1</v>
      </c>
      <c r="H26" s="4">
        <f>G26*D26</f>
        <v>0.25</v>
      </c>
    </row>
    <row r="27" spans="1:10" ht="16.5" thickBot="1" x14ac:dyDescent="0.3">
      <c r="A27" s="15" t="s">
        <v>80</v>
      </c>
      <c r="B27" s="16">
        <f>SUM(B23:B26)</f>
        <v>14</v>
      </c>
      <c r="C27" s="16">
        <f>SUM(C23:C26)</f>
        <v>28</v>
      </c>
      <c r="D27" s="17">
        <f>SUM(D23:D26)</f>
        <v>1</v>
      </c>
      <c r="E27" s="104"/>
      <c r="F27" s="16">
        <f>SUM(F23:F26)</f>
        <v>26</v>
      </c>
      <c r="G27" s="16" t="s">
        <v>81</v>
      </c>
      <c r="H27" s="18">
        <f>SUM(H23:H26)</f>
        <v>0.95089285714285721</v>
      </c>
    </row>
  </sheetData>
  <mergeCells count="7">
    <mergeCell ref="E22:E27"/>
    <mergeCell ref="J11:J14"/>
    <mergeCell ref="A1:J1"/>
    <mergeCell ref="J4:J10"/>
    <mergeCell ref="J16:J17"/>
    <mergeCell ref="A18:F18"/>
    <mergeCell ref="A20:H20"/>
  </mergeCells>
  <conditionalFormatting sqref="G23:H26">
    <cfRule type="cellIs" dxfId="73" priority="1" operator="between">
      <formula>0.8</formula>
      <formula>1</formula>
    </cfRule>
    <cfRule type="cellIs" dxfId="72" priority="2" operator="between">
      <formula>0.41</formula>
      <formula>0.79</formula>
    </cfRule>
    <cfRule type="cellIs" dxfId="71" priority="3" operator="between">
      <formula>0</formula>
      <formula>0.4</formula>
    </cfRule>
  </conditionalFormatting>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83797-A563-4358-8073-96C860035A48}">
  <dimension ref="A1:J27"/>
  <sheetViews>
    <sheetView topLeftCell="A10" workbookViewId="0">
      <selection activeCell="H26" sqref="H26"/>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8"/>
      <c r="I4" s="95">
        <v>2</v>
      </c>
      <c r="J4" s="105">
        <f>SUM(G4:I10)</f>
        <v>14</v>
      </c>
    </row>
    <row r="5" spans="1:10" ht="52.15" customHeight="1" x14ac:dyDescent="0.25">
      <c r="A5" s="90" t="s">
        <v>11</v>
      </c>
      <c r="B5" s="7" t="s">
        <v>17</v>
      </c>
      <c r="C5" s="8" t="s">
        <v>18</v>
      </c>
      <c r="D5" s="8" t="s">
        <v>19</v>
      </c>
      <c r="E5" s="91" t="s">
        <v>15</v>
      </c>
      <c r="F5" s="91" t="s">
        <v>16</v>
      </c>
      <c r="G5" s="8"/>
      <c r="H5" s="8"/>
      <c r="I5" s="95">
        <v>2</v>
      </c>
      <c r="J5" s="105"/>
    </row>
    <row r="6" spans="1:10" ht="44.65" customHeight="1" x14ac:dyDescent="0.25">
      <c r="A6" s="90" t="s">
        <v>11</v>
      </c>
      <c r="B6" s="7" t="s">
        <v>20</v>
      </c>
      <c r="C6" s="8"/>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8"/>
      <c r="I8" s="95">
        <v>2</v>
      </c>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8"/>
      <c r="I10" s="95">
        <v>2</v>
      </c>
      <c r="J10" s="105"/>
    </row>
    <row r="11" spans="1:10" ht="117.6" customHeight="1" x14ac:dyDescent="0.25">
      <c r="A11" s="90" t="s">
        <v>35</v>
      </c>
      <c r="B11" s="7" t="s">
        <v>36</v>
      </c>
      <c r="C11" s="8" t="s">
        <v>37</v>
      </c>
      <c r="D11" s="8" t="s">
        <v>38</v>
      </c>
      <c r="E11" s="8" t="s">
        <v>39</v>
      </c>
      <c r="F11" s="8" t="s">
        <v>40</v>
      </c>
      <c r="G11" s="8"/>
      <c r="H11" s="8"/>
      <c r="I11" s="95">
        <v>2</v>
      </c>
      <c r="J11" s="105">
        <f>SUM(G11:I14)</f>
        <v>8</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8"/>
      <c r="I13" s="95">
        <v>2</v>
      </c>
      <c r="J13" s="105"/>
    </row>
    <row r="14" spans="1:10" ht="93.6" customHeight="1" x14ac:dyDescent="0.25">
      <c r="A14" s="90" t="s">
        <v>35</v>
      </c>
      <c r="B14" s="7" t="s">
        <v>49</v>
      </c>
      <c r="C14" s="8" t="s">
        <v>50</v>
      </c>
      <c r="D14" s="8" t="s">
        <v>51</v>
      </c>
      <c r="E14" s="8" t="s">
        <v>52</v>
      </c>
      <c r="F14" s="8" t="s">
        <v>40</v>
      </c>
      <c r="G14" s="8"/>
      <c r="H14" s="8"/>
      <c r="I14" s="95">
        <v>2</v>
      </c>
      <c r="J14" s="105"/>
    </row>
    <row r="15" spans="1:10" ht="78.599999999999994" customHeight="1" x14ac:dyDescent="0.25">
      <c r="A15" s="9" t="s">
        <v>53</v>
      </c>
      <c r="B15" s="7" t="s">
        <v>54</v>
      </c>
      <c r="C15" s="8" t="s">
        <v>55</v>
      </c>
      <c r="D15" s="11" t="s">
        <v>56</v>
      </c>
      <c r="E15" s="8" t="s">
        <v>57</v>
      </c>
      <c r="F15" s="8" t="s">
        <v>58</v>
      </c>
      <c r="G15" s="8"/>
      <c r="H15" s="8"/>
      <c r="I15" s="95">
        <v>2</v>
      </c>
      <c r="J15" s="10">
        <f>SUM(G15:I15)</f>
        <v>2</v>
      </c>
    </row>
    <row r="16" spans="1:10" ht="65.650000000000006" customHeight="1" x14ac:dyDescent="0.25">
      <c r="A16" s="90" t="s">
        <v>59</v>
      </c>
      <c r="B16" s="7" t="s">
        <v>60</v>
      </c>
      <c r="C16" s="8" t="s">
        <v>61</v>
      </c>
      <c r="D16" s="8" t="s">
        <v>62</v>
      </c>
      <c r="E16" s="8" t="s">
        <v>63</v>
      </c>
      <c r="F16" s="8" t="s">
        <v>58</v>
      </c>
      <c r="G16" s="8"/>
      <c r="H16" s="8"/>
      <c r="I16" s="95">
        <v>2</v>
      </c>
      <c r="J16" s="105">
        <f>SUM(G16:I17)</f>
        <v>4</v>
      </c>
    </row>
    <row r="17" spans="1:10" ht="67.150000000000006" customHeight="1" x14ac:dyDescent="0.25">
      <c r="A17" s="90" t="s">
        <v>59</v>
      </c>
      <c r="B17" s="7" t="s">
        <v>64</v>
      </c>
      <c r="C17" s="8" t="s">
        <v>65</v>
      </c>
      <c r="D17" s="8" t="s">
        <v>66</v>
      </c>
      <c r="E17" s="8" t="s">
        <v>67</v>
      </c>
      <c r="F17" s="8" t="s">
        <v>40</v>
      </c>
      <c r="G17" s="8"/>
      <c r="H17" s="8"/>
      <c r="I17" s="95">
        <v>2</v>
      </c>
      <c r="J17" s="105"/>
    </row>
    <row r="18" spans="1:10" ht="15" customHeight="1" thickBot="1" x14ac:dyDescent="0.3">
      <c r="A18" s="106" t="s">
        <v>384</v>
      </c>
      <c r="B18" s="106"/>
      <c r="C18" s="106"/>
      <c r="D18" s="106"/>
      <c r="E18" s="106"/>
      <c r="F18" s="107"/>
      <c r="G18" s="14"/>
      <c r="H18" s="14">
        <f t="shared" ref="H18" si="0">SUM(H4:H17)</f>
        <v>0</v>
      </c>
      <c r="I18" s="14">
        <f>SUM(I4:I17)</f>
        <v>28</v>
      </c>
      <c r="J18" s="14">
        <f>SUM(J4:J17)</f>
        <v>28</v>
      </c>
    </row>
    <row r="21" spans="1:10" ht="15.75" thickBot="1" x14ac:dyDescent="0.3"/>
    <row r="22" spans="1:10" ht="64.5" thickBot="1" x14ac:dyDescent="0.3">
      <c r="A22" s="1" t="s">
        <v>69</v>
      </c>
      <c r="B22" s="2" t="s">
        <v>70</v>
      </c>
      <c r="C22" s="2" t="s">
        <v>71</v>
      </c>
      <c r="D22" s="2" t="s">
        <v>72</v>
      </c>
      <c r="E22" s="102" t="s">
        <v>215</v>
      </c>
      <c r="F22" s="13" t="s">
        <v>73</v>
      </c>
      <c r="G22" s="13" t="s">
        <v>74</v>
      </c>
      <c r="H22" s="13" t="s">
        <v>75</v>
      </c>
    </row>
    <row r="23" spans="1:10" ht="64.5" thickBot="1" x14ac:dyDescent="0.3">
      <c r="A23" s="3" t="s">
        <v>76</v>
      </c>
      <c r="B23" s="5">
        <v>7</v>
      </c>
      <c r="C23" s="5">
        <v>14</v>
      </c>
      <c r="D23" s="4">
        <v>0.25</v>
      </c>
      <c r="E23" s="103"/>
      <c r="F23" s="5">
        <v>14</v>
      </c>
      <c r="G23" s="12">
        <f>F23/C23</f>
        <v>1</v>
      </c>
      <c r="H23" s="4">
        <f>G23*D23</f>
        <v>0.25</v>
      </c>
    </row>
    <row r="24" spans="1:10" ht="39" thickBot="1" x14ac:dyDescent="0.3">
      <c r="A24" s="3" t="s">
        <v>77</v>
      </c>
      <c r="B24" s="5">
        <v>4</v>
      </c>
      <c r="C24" s="5">
        <v>8</v>
      </c>
      <c r="D24" s="4">
        <v>0.25</v>
      </c>
      <c r="E24" s="103"/>
      <c r="F24" s="5">
        <v>8</v>
      </c>
      <c r="G24" s="12">
        <f t="shared" ref="G24:G26" si="1">F24/C24</f>
        <v>1</v>
      </c>
      <c r="H24" s="4">
        <f>G24*D24</f>
        <v>0.25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4</v>
      </c>
      <c r="G26" s="12">
        <f t="shared" si="1"/>
        <v>1</v>
      </c>
      <c r="H26" s="4">
        <f>G26*D26</f>
        <v>0.25</v>
      </c>
    </row>
    <row r="27" spans="1:10" ht="16.5" thickBot="1" x14ac:dyDescent="0.3">
      <c r="A27" s="15" t="s">
        <v>80</v>
      </c>
      <c r="B27" s="16">
        <f>SUM(B23:B26)</f>
        <v>14</v>
      </c>
      <c r="C27" s="16">
        <f>SUM(C23:C26)</f>
        <v>28</v>
      </c>
      <c r="D27" s="17">
        <f>SUM(D23:D26)</f>
        <v>1</v>
      </c>
      <c r="E27" s="104"/>
      <c r="F27" s="16">
        <f>SUM(F23:F26)</f>
        <v>28</v>
      </c>
      <c r="G27" s="16" t="s">
        <v>81</v>
      </c>
      <c r="H27" s="18">
        <f>SUM(H23:H26)</f>
        <v>1</v>
      </c>
    </row>
  </sheetData>
  <mergeCells count="6">
    <mergeCell ref="E22:E27"/>
    <mergeCell ref="A1:J1"/>
    <mergeCell ref="J4:J10"/>
    <mergeCell ref="J11:J14"/>
    <mergeCell ref="J16:J17"/>
    <mergeCell ref="A18:F18"/>
  </mergeCells>
  <conditionalFormatting sqref="G23:H26">
    <cfRule type="cellIs" dxfId="70" priority="1" operator="between">
      <formula>0.8</formula>
      <formula>1</formula>
    </cfRule>
    <cfRule type="cellIs" dxfId="69" priority="2" operator="between">
      <formula>0.41</formula>
      <formula>0.79</formula>
    </cfRule>
    <cfRule type="cellIs" dxfId="68" priority="3" operator="between">
      <formula>0</formula>
      <formula>0.4</formula>
    </cfRule>
  </conditionalFormatting>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40A35-83F3-48E9-806D-06338D735DCE}">
  <dimension ref="A1:J27"/>
  <sheetViews>
    <sheetView topLeftCell="A16" workbookViewId="0">
      <selection activeCell="H26" sqref="H26"/>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96">
        <v>1</v>
      </c>
      <c r="I4" s="8"/>
      <c r="J4" s="105">
        <f>SUM(G4:I10)</f>
        <v>11</v>
      </c>
    </row>
    <row r="5" spans="1:10" ht="52.15" customHeight="1" x14ac:dyDescent="0.25">
      <c r="A5" s="90" t="s">
        <v>11</v>
      </c>
      <c r="B5" s="7" t="s">
        <v>17</v>
      </c>
      <c r="C5" s="8" t="s">
        <v>18</v>
      </c>
      <c r="D5" s="8" t="s">
        <v>19</v>
      </c>
      <c r="E5" s="91" t="s">
        <v>15</v>
      </c>
      <c r="F5" s="91" t="s">
        <v>16</v>
      </c>
      <c r="G5" s="8"/>
      <c r="H5" s="96">
        <v>1</v>
      </c>
      <c r="I5" s="8"/>
      <c r="J5" s="105"/>
    </row>
    <row r="6" spans="1:10" ht="44.65" customHeight="1" x14ac:dyDescent="0.25">
      <c r="A6" s="90" t="s">
        <v>11</v>
      </c>
      <c r="B6" s="7" t="s">
        <v>20</v>
      </c>
      <c r="C6" s="8"/>
      <c r="D6" s="8" t="s">
        <v>22</v>
      </c>
      <c r="E6" s="91" t="s">
        <v>15</v>
      </c>
      <c r="F6" s="91" t="s">
        <v>16</v>
      </c>
      <c r="G6" s="8"/>
      <c r="H6" s="96">
        <v>1</v>
      </c>
      <c r="I6" s="8"/>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8"/>
      <c r="I8" s="95">
        <v>2</v>
      </c>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8"/>
      <c r="I10" s="95">
        <v>2</v>
      </c>
      <c r="J10" s="105"/>
    </row>
    <row r="11" spans="1:10" ht="117.6" customHeight="1" x14ac:dyDescent="0.25">
      <c r="A11" s="90" t="s">
        <v>35</v>
      </c>
      <c r="B11" s="7" t="s">
        <v>36</v>
      </c>
      <c r="C11" s="8" t="s">
        <v>37</v>
      </c>
      <c r="D11" s="8" t="s">
        <v>38</v>
      </c>
      <c r="E11" s="8" t="s">
        <v>39</v>
      </c>
      <c r="F11" s="8" t="s">
        <v>40</v>
      </c>
      <c r="G11" s="8"/>
      <c r="H11" s="96">
        <v>1</v>
      </c>
      <c r="I11" s="8"/>
      <c r="J11" s="105">
        <f>SUM(G11:I14)</f>
        <v>6</v>
      </c>
    </row>
    <row r="12" spans="1:10" ht="93" customHeight="1" x14ac:dyDescent="0.25">
      <c r="A12" s="90" t="s">
        <v>35</v>
      </c>
      <c r="B12" s="7" t="s">
        <v>41</v>
      </c>
      <c r="C12" s="8" t="s">
        <v>42</v>
      </c>
      <c r="D12" s="8" t="s">
        <v>43</v>
      </c>
      <c r="E12" s="8" t="s">
        <v>44</v>
      </c>
      <c r="F12" s="8" t="s">
        <v>40</v>
      </c>
      <c r="G12" s="8"/>
      <c r="H12" s="96">
        <v>1</v>
      </c>
      <c r="I12" s="8"/>
      <c r="J12" s="105"/>
    </row>
    <row r="13" spans="1:10" ht="76.5" customHeight="1" x14ac:dyDescent="0.25">
      <c r="A13" s="90" t="s">
        <v>35</v>
      </c>
      <c r="B13" s="7" t="s">
        <v>45</v>
      </c>
      <c r="C13" s="8" t="s">
        <v>46</v>
      </c>
      <c r="D13" s="8" t="s">
        <v>47</v>
      </c>
      <c r="E13" s="8" t="s">
        <v>48</v>
      </c>
      <c r="F13" s="8" t="s">
        <v>40</v>
      </c>
      <c r="G13" s="8"/>
      <c r="H13" s="8"/>
      <c r="I13" s="95">
        <v>2</v>
      </c>
      <c r="J13" s="105"/>
    </row>
    <row r="14" spans="1:10" ht="93.6" customHeight="1" x14ac:dyDescent="0.25">
      <c r="A14" s="90" t="s">
        <v>35</v>
      </c>
      <c r="B14" s="7" t="s">
        <v>49</v>
      </c>
      <c r="C14" s="8" t="s">
        <v>50</v>
      </c>
      <c r="D14" s="8" t="s">
        <v>51</v>
      </c>
      <c r="E14" s="8" t="s">
        <v>52</v>
      </c>
      <c r="F14" s="8" t="s">
        <v>40</v>
      </c>
      <c r="G14" s="8"/>
      <c r="H14" s="8"/>
      <c r="I14" s="95">
        <v>2</v>
      </c>
      <c r="J14" s="105"/>
    </row>
    <row r="15" spans="1:10" ht="78.599999999999994" customHeight="1" x14ac:dyDescent="0.25">
      <c r="A15" s="9" t="s">
        <v>53</v>
      </c>
      <c r="B15" s="7" t="s">
        <v>54</v>
      </c>
      <c r="C15" s="8" t="s">
        <v>55</v>
      </c>
      <c r="D15" s="11" t="s">
        <v>56</v>
      </c>
      <c r="E15" s="8" t="s">
        <v>57</v>
      </c>
      <c r="F15" s="8" t="s">
        <v>58</v>
      </c>
      <c r="G15" s="8"/>
      <c r="H15" s="8"/>
      <c r="I15" s="95">
        <v>2</v>
      </c>
      <c r="J15" s="10">
        <f>SUM(G15:I15)</f>
        <v>2</v>
      </c>
    </row>
    <row r="16" spans="1:10" ht="65.650000000000006" customHeight="1" x14ac:dyDescent="0.25">
      <c r="A16" s="90" t="s">
        <v>59</v>
      </c>
      <c r="B16" s="7" t="s">
        <v>60</v>
      </c>
      <c r="C16" s="8" t="s">
        <v>61</v>
      </c>
      <c r="D16" s="8" t="s">
        <v>62</v>
      </c>
      <c r="E16" s="8" t="s">
        <v>63</v>
      </c>
      <c r="F16" s="8" t="s">
        <v>58</v>
      </c>
      <c r="G16" s="8"/>
      <c r="H16" s="8"/>
      <c r="I16" s="95">
        <v>2</v>
      </c>
      <c r="J16" s="105">
        <f>SUM(G16:I17)</f>
        <v>4</v>
      </c>
    </row>
    <row r="17" spans="1:10" ht="67.150000000000006" customHeight="1" x14ac:dyDescent="0.25">
      <c r="A17" s="90" t="s">
        <v>59</v>
      </c>
      <c r="B17" s="7" t="s">
        <v>64</v>
      </c>
      <c r="C17" s="8" t="s">
        <v>65</v>
      </c>
      <c r="D17" s="8" t="s">
        <v>66</v>
      </c>
      <c r="E17" s="8" t="s">
        <v>67</v>
      </c>
      <c r="F17" s="8" t="s">
        <v>40</v>
      </c>
      <c r="G17" s="8"/>
      <c r="H17" s="8"/>
      <c r="I17" s="95">
        <v>2</v>
      </c>
      <c r="J17" s="105"/>
    </row>
    <row r="18" spans="1:10" ht="15" customHeight="1" thickBot="1" x14ac:dyDescent="0.3">
      <c r="A18" s="106" t="s">
        <v>68</v>
      </c>
      <c r="B18" s="106"/>
      <c r="C18" s="106"/>
      <c r="D18" s="106"/>
      <c r="E18" s="106"/>
      <c r="F18" s="107"/>
      <c r="G18" s="14"/>
      <c r="H18" s="14">
        <f t="shared" ref="H18" si="0">SUM(H4:H17)</f>
        <v>5</v>
      </c>
      <c r="I18" s="14">
        <f>SUM(I4:I17)</f>
        <v>18</v>
      </c>
      <c r="J18" s="14">
        <f>SUM(J4:J17)</f>
        <v>23</v>
      </c>
    </row>
    <row r="21" spans="1:10" ht="15.75" thickBot="1" x14ac:dyDescent="0.3"/>
    <row r="22" spans="1:10" ht="64.5" thickBot="1" x14ac:dyDescent="0.3">
      <c r="A22" s="1" t="s">
        <v>69</v>
      </c>
      <c r="B22" s="2" t="s">
        <v>70</v>
      </c>
      <c r="C22" s="2" t="s">
        <v>71</v>
      </c>
      <c r="D22" s="2" t="s">
        <v>72</v>
      </c>
      <c r="E22" s="102" t="s">
        <v>348</v>
      </c>
      <c r="F22" s="13" t="s">
        <v>73</v>
      </c>
      <c r="G22" s="13" t="s">
        <v>74</v>
      </c>
      <c r="H22" s="13" t="s">
        <v>75</v>
      </c>
    </row>
    <row r="23" spans="1:10" ht="64.5" thickBot="1" x14ac:dyDescent="0.3">
      <c r="A23" s="3" t="s">
        <v>76</v>
      </c>
      <c r="B23" s="5">
        <v>7</v>
      </c>
      <c r="C23" s="5">
        <v>14</v>
      </c>
      <c r="D23" s="4">
        <v>0.25</v>
      </c>
      <c r="E23" s="103"/>
      <c r="F23" s="5">
        <v>11</v>
      </c>
      <c r="G23" s="12">
        <f>F23/C23</f>
        <v>0.7857142857142857</v>
      </c>
      <c r="H23" s="4">
        <f>G23*D23</f>
        <v>0.19642857142857142</v>
      </c>
    </row>
    <row r="24" spans="1:10" ht="39" thickBot="1" x14ac:dyDescent="0.3">
      <c r="A24" s="3" t="s">
        <v>77</v>
      </c>
      <c r="B24" s="5">
        <v>4</v>
      </c>
      <c r="C24" s="5">
        <v>8</v>
      </c>
      <c r="D24" s="4">
        <v>0.25</v>
      </c>
      <c r="E24" s="103"/>
      <c r="F24" s="5">
        <v>6</v>
      </c>
      <c r="G24" s="12">
        <f t="shared" ref="G24:G26" si="1">F24/C24</f>
        <v>0.75</v>
      </c>
      <c r="H24" s="4">
        <f>G24*D24</f>
        <v>0.1875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4</v>
      </c>
      <c r="G26" s="12">
        <f t="shared" si="1"/>
        <v>1</v>
      </c>
      <c r="H26" s="4">
        <f>G26*D26</f>
        <v>0.25</v>
      </c>
    </row>
    <row r="27" spans="1:10" ht="16.5" thickBot="1" x14ac:dyDescent="0.3">
      <c r="A27" s="15" t="s">
        <v>80</v>
      </c>
      <c r="B27" s="16">
        <f>SUM(B23:B26)</f>
        <v>14</v>
      </c>
      <c r="C27" s="16">
        <f>SUM(C23:C26)</f>
        <v>28</v>
      </c>
      <c r="D27" s="17">
        <f>SUM(D23:D26)</f>
        <v>1</v>
      </c>
      <c r="E27" s="104"/>
      <c r="F27" s="16">
        <f>SUM(F23:F26)</f>
        <v>23</v>
      </c>
      <c r="G27" s="16" t="s">
        <v>81</v>
      </c>
      <c r="H27" s="18">
        <f>SUM(H23:H26)</f>
        <v>0.8839285714285714</v>
      </c>
    </row>
  </sheetData>
  <mergeCells count="6">
    <mergeCell ref="E22:E27"/>
    <mergeCell ref="A1:J1"/>
    <mergeCell ref="J4:J10"/>
    <mergeCell ref="J11:J14"/>
    <mergeCell ref="J16:J17"/>
    <mergeCell ref="A18:F18"/>
  </mergeCells>
  <conditionalFormatting sqref="G23:H26">
    <cfRule type="cellIs" dxfId="67" priority="1" operator="between">
      <formula>0.8</formula>
      <formula>1</formula>
    </cfRule>
    <cfRule type="cellIs" dxfId="66" priority="2" operator="between">
      <formula>0.41</formula>
      <formula>0.79</formula>
    </cfRule>
    <cfRule type="cellIs" dxfId="65" priority="3" operator="between">
      <formula>0</formula>
      <formula>0.4</formula>
    </cfRule>
  </conditionalFormatting>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11278-284B-4799-9D94-E8283F11BFB2}">
  <dimension ref="A1:J27"/>
  <sheetViews>
    <sheetView topLeftCell="A14" workbookViewId="0">
      <selection activeCell="D12" sqref="D12"/>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96">
        <v>1</v>
      </c>
      <c r="I4" s="8"/>
      <c r="J4" s="105">
        <f>SUM(G4:I10)</f>
        <v>11</v>
      </c>
    </row>
    <row r="5" spans="1:10" ht="52.15" customHeight="1" x14ac:dyDescent="0.25">
      <c r="A5" s="90" t="s">
        <v>11</v>
      </c>
      <c r="B5" s="7" t="s">
        <v>17</v>
      </c>
      <c r="C5" s="8" t="s">
        <v>18</v>
      </c>
      <c r="D5" s="8" t="s">
        <v>19</v>
      </c>
      <c r="E5" s="91" t="s">
        <v>15</v>
      </c>
      <c r="F5" s="91" t="s">
        <v>16</v>
      </c>
      <c r="G5" s="8"/>
      <c r="H5" s="8"/>
      <c r="I5" s="95">
        <v>2</v>
      </c>
      <c r="J5" s="105"/>
    </row>
    <row r="6" spans="1:10" ht="44.65" customHeight="1" x14ac:dyDescent="0.25">
      <c r="A6" s="90" t="s">
        <v>11</v>
      </c>
      <c r="B6" s="7" t="s">
        <v>20</v>
      </c>
      <c r="C6" s="8"/>
      <c r="D6" s="8" t="s">
        <v>22</v>
      </c>
      <c r="E6" s="91" t="s">
        <v>15</v>
      </c>
      <c r="F6" s="91" t="s">
        <v>16</v>
      </c>
      <c r="G6" s="8"/>
      <c r="H6" s="96">
        <v>1</v>
      </c>
      <c r="I6" s="8"/>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8"/>
      <c r="I8" s="95">
        <v>2</v>
      </c>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96">
        <v>1</v>
      </c>
      <c r="I10" s="8"/>
      <c r="J10" s="105"/>
    </row>
    <row r="11" spans="1:10" ht="117.6" customHeight="1" x14ac:dyDescent="0.25">
      <c r="A11" s="90" t="s">
        <v>35</v>
      </c>
      <c r="B11" s="7" t="s">
        <v>36</v>
      </c>
      <c r="C11" s="8" t="s">
        <v>37</v>
      </c>
      <c r="D11" s="8" t="s">
        <v>38</v>
      </c>
      <c r="E11" s="8" t="s">
        <v>39</v>
      </c>
      <c r="F11" s="8" t="s">
        <v>40</v>
      </c>
      <c r="G11" s="8"/>
      <c r="H11" s="8"/>
      <c r="I11" s="95">
        <v>2</v>
      </c>
      <c r="J11" s="105">
        <f>SUM(G11:I14)</f>
        <v>8</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8"/>
      <c r="I13" s="95">
        <v>2</v>
      </c>
      <c r="J13" s="105"/>
    </row>
    <row r="14" spans="1:10" ht="93.6" customHeight="1" x14ac:dyDescent="0.25">
      <c r="A14" s="90" t="s">
        <v>35</v>
      </c>
      <c r="B14" s="7" t="s">
        <v>49</v>
      </c>
      <c r="C14" s="8" t="s">
        <v>50</v>
      </c>
      <c r="D14" s="8" t="s">
        <v>51</v>
      </c>
      <c r="E14" s="8" t="s">
        <v>52</v>
      </c>
      <c r="F14" s="8" t="s">
        <v>40</v>
      </c>
      <c r="G14" s="8"/>
      <c r="H14" s="8"/>
      <c r="I14" s="95">
        <v>2</v>
      </c>
      <c r="J14" s="105"/>
    </row>
    <row r="15" spans="1:10" ht="78.599999999999994" customHeight="1" x14ac:dyDescent="0.25">
      <c r="A15" s="9" t="s">
        <v>53</v>
      </c>
      <c r="B15" s="7" t="s">
        <v>54</v>
      </c>
      <c r="C15" s="8" t="s">
        <v>55</v>
      </c>
      <c r="D15" s="11" t="s">
        <v>56</v>
      </c>
      <c r="E15" s="8" t="s">
        <v>57</v>
      </c>
      <c r="F15" s="8" t="s">
        <v>58</v>
      </c>
      <c r="G15" s="8"/>
      <c r="H15" s="8"/>
      <c r="I15" s="95">
        <v>2</v>
      </c>
      <c r="J15" s="10">
        <f>SUM(G15:I15)</f>
        <v>2</v>
      </c>
    </row>
    <row r="16" spans="1:10" ht="65.650000000000006" customHeight="1" x14ac:dyDescent="0.25">
      <c r="A16" s="90" t="s">
        <v>59</v>
      </c>
      <c r="B16" s="7" t="s">
        <v>60</v>
      </c>
      <c r="C16" s="8" t="s">
        <v>61</v>
      </c>
      <c r="D16" s="8" t="s">
        <v>62</v>
      </c>
      <c r="E16" s="8" t="s">
        <v>63</v>
      </c>
      <c r="F16" s="8" t="s">
        <v>58</v>
      </c>
      <c r="G16" s="8"/>
      <c r="H16" s="8" t="s">
        <v>331</v>
      </c>
      <c r="I16" s="8"/>
      <c r="J16" s="105">
        <f>SUM(G16:I17)</f>
        <v>0</v>
      </c>
    </row>
    <row r="17" spans="1:10" ht="67.150000000000006" customHeight="1" x14ac:dyDescent="0.25">
      <c r="A17" s="90" t="s">
        <v>59</v>
      </c>
      <c r="B17" s="7" t="s">
        <v>64</v>
      </c>
      <c r="C17" s="8" t="s">
        <v>65</v>
      </c>
      <c r="D17" s="8" t="s">
        <v>66</v>
      </c>
      <c r="E17" s="8" t="s">
        <v>67</v>
      </c>
      <c r="F17" s="8" t="s">
        <v>40</v>
      </c>
      <c r="G17" s="8"/>
      <c r="H17" s="8" t="s">
        <v>331</v>
      </c>
      <c r="I17" s="8"/>
      <c r="J17" s="105"/>
    </row>
    <row r="18" spans="1:10" ht="15" customHeight="1" thickBot="1" x14ac:dyDescent="0.3">
      <c r="A18" s="106" t="s">
        <v>369</v>
      </c>
      <c r="B18" s="106"/>
      <c r="C18" s="106"/>
      <c r="D18" s="106"/>
      <c r="E18" s="106"/>
      <c r="F18" s="107"/>
      <c r="G18" s="14"/>
      <c r="H18" s="14">
        <f t="shared" ref="H18" si="0">SUM(H4:H17)</f>
        <v>3</v>
      </c>
      <c r="I18" s="14">
        <f>SUM(I4:I17)</f>
        <v>18</v>
      </c>
      <c r="J18" s="14">
        <f>SUM(J4:J17)</f>
        <v>21</v>
      </c>
    </row>
    <row r="21" spans="1:10" ht="15.75" thickBot="1" x14ac:dyDescent="0.3"/>
    <row r="22" spans="1:10" ht="64.5" thickBot="1" x14ac:dyDescent="0.3">
      <c r="A22" s="1" t="s">
        <v>69</v>
      </c>
      <c r="B22" s="2" t="s">
        <v>70</v>
      </c>
      <c r="C22" s="2" t="s">
        <v>71</v>
      </c>
      <c r="D22" s="2" t="s">
        <v>72</v>
      </c>
      <c r="E22" s="102" t="s">
        <v>335</v>
      </c>
      <c r="F22" s="13" t="s">
        <v>73</v>
      </c>
      <c r="G22" s="13" t="s">
        <v>74</v>
      </c>
      <c r="H22" s="13" t="s">
        <v>75</v>
      </c>
    </row>
    <row r="23" spans="1:10" ht="64.5" thickBot="1" x14ac:dyDescent="0.3">
      <c r="A23" s="3" t="s">
        <v>76</v>
      </c>
      <c r="B23" s="5">
        <v>7</v>
      </c>
      <c r="C23" s="5">
        <v>14</v>
      </c>
      <c r="D23" s="4">
        <v>0.25</v>
      </c>
      <c r="E23" s="103"/>
      <c r="F23" s="5">
        <v>11</v>
      </c>
      <c r="G23" s="12">
        <f>F23/C23</f>
        <v>0.7857142857142857</v>
      </c>
      <c r="H23" s="4">
        <f>G23*D23</f>
        <v>0.19642857142857142</v>
      </c>
    </row>
    <row r="24" spans="1:10" ht="39" thickBot="1" x14ac:dyDescent="0.3">
      <c r="A24" s="3" t="s">
        <v>77</v>
      </c>
      <c r="B24" s="5">
        <v>4</v>
      </c>
      <c r="C24" s="5">
        <v>8</v>
      </c>
      <c r="D24" s="4">
        <v>0.25</v>
      </c>
      <c r="E24" s="103"/>
      <c r="F24" s="5">
        <v>8</v>
      </c>
      <c r="G24" s="12">
        <f t="shared" ref="G24:G25" si="1">F24/C24</f>
        <v>1</v>
      </c>
      <c r="H24" s="4">
        <f>G24*D24</f>
        <v>0.25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t="s">
        <v>332</v>
      </c>
      <c r="G26" s="12"/>
      <c r="H26" s="4"/>
    </row>
    <row r="27" spans="1:10" ht="16.5" thickBot="1" x14ac:dyDescent="0.3">
      <c r="A27" s="15" t="s">
        <v>80</v>
      </c>
      <c r="B27" s="16">
        <f>SUM(B23:B26)</f>
        <v>14</v>
      </c>
      <c r="C27" s="16">
        <f>SUM(C23:C26)</f>
        <v>28</v>
      </c>
      <c r="D27" s="17">
        <f>SUM(D23:D26)</f>
        <v>1</v>
      </c>
      <c r="E27" s="104"/>
      <c r="F27" s="16">
        <f>SUM(F23:F26)</f>
        <v>21</v>
      </c>
      <c r="G27" s="16" t="s">
        <v>81</v>
      </c>
      <c r="H27" s="18">
        <f>SUM(H23:H26)</f>
        <v>0.6964285714285714</v>
      </c>
    </row>
  </sheetData>
  <mergeCells count="6">
    <mergeCell ref="E22:E27"/>
    <mergeCell ref="A1:J1"/>
    <mergeCell ref="J4:J10"/>
    <mergeCell ref="J11:J14"/>
    <mergeCell ref="J16:J17"/>
    <mergeCell ref="A18:F18"/>
  </mergeCells>
  <conditionalFormatting sqref="G23:H26">
    <cfRule type="cellIs" dxfId="64" priority="1" operator="between">
      <formula>0.8</formula>
      <formula>1</formula>
    </cfRule>
    <cfRule type="cellIs" dxfId="63" priority="2" operator="between">
      <formula>0.41</formula>
      <formula>0.79</formula>
    </cfRule>
    <cfRule type="cellIs" dxfId="62" priority="3" operator="between">
      <formula>0</formula>
      <formula>0.4</formula>
    </cfRule>
  </conditionalFormatting>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5C6B2-534E-4221-81B8-C2A9D1AC33C1}">
  <dimension ref="A1:J27"/>
  <sheetViews>
    <sheetView topLeftCell="A15" workbookViewId="0">
      <selection activeCell="F24" sqref="F24"/>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8"/>
      <c r="I4" s="8">
        <v>2</v>
      </c>
      <c r="J4" s="105">
        <f>SUM(G4:I10)</f>
        <v>13</v>
      </c>
    </row>
    <row r="5" spans="1:10" ht="52.15" customHeight="1" x14ac:dyDescent="0.25">
      <c r="A5" s="90" t="s">
        <v>11</v>
      </c>
      <c r="B5" s="7" t="s">
        <v>17</v>
      </c>
      <c r="C5" s="8" t="s">
        <v>18</v>
      </c>
      <c r="D5" s="8" t="s">
        <v>19</v>
      </c>
      <c r="E5" s="91" t="s">
        <v>15</v>
      </c>
      <c r="F5" s="91" t="s">
        <v>16</v>
      </c>
      <c r="G5" s="8"/>
      <c r="H5" s="8"/>
      <c r="I5" s="8">
        <v>2</v>
      </c>
      <c r="J5" s="105"/>
    </row>
    <row r="6" spans="1:10" ht="44.65" customHeight="1" x14ac:dyDescent="0.25">
      <c r="A6" s="90" t="s">
        <v>11</v>
      </c>
      <c r="B6" s="7" t="s">
        <v>20</v>
      </c>
      <c r="C6" s="8"/>
      <c r="D6" s="8" t="s">
        <v>22</v>
      </c>
      <c r="E6" s="91" t="s">
        <v>15</v>
      </c>
      <c r="F6" s="91" t="s">
        <v>16</v>
      </c>
      <c r="G6" s="8"/>
      <c r="H6" s="8"/>
      <c r="I6" s="8">
        <v>2</v>
      </c>
      <c r="J6" s="105"/>
    </row>
    <row r="7" spans="1:10" ht="48.6" customHeight="1" x14ac:dyDescent="0.25">
      <c r="A7" s="90" t="s">
        <v>11</v>
      </c>
      <c r="B7" s="7" t="s">
        <v>23</v>
      </c>
      <c r="C7" s="8" t="s">
        <v>24</v>
      </c>
      <c r="D7" s="8" t="s">
        <v>25</v>
      </c>
      <c r="E7" s="91" t="s">
        <v>15</v>
      </c>
      <c r="F7" s="91" t="s">
        <v>16</v>
      </c>
      <c r="G7" s="8"/>
      <c r="H7" s="8"/>
      <c r="I7" s="8">
        <v>2</v>
      </c>
      <c r="J7" s="105"/>
    </row>
    <row r="8" spans="1:10" ht="52.5" customHeight="1" x14ac:dyDescent="0.25">
      <c r="A8" s="90" t="s">
        <v>11</v>
      </c>
      <c r="B8" s="7" t="s">
        <v>26</v>
      </c>
      <c r="C8" s="8" t="s">
        <v>27</v>
      </c>
      <c r="D8" s="8" t="s">
        <v>28</v>
      </c>
      <c r="E8" s="91" t="s">
        <v>15</v>
      </c>
      <c r="F8" s="91" t="s">
        <v>16</v>
      </c>
      <c r="G8" s="8"/>
      <c r="H8" s="8"/>
      <c r="I8" s="8">
        <v>2</v>
      </c>
      <c r="J8" s="105"/>
    </row>
    <row r="9" spans="1:10" ht="44.65" customHeight="1" x14ac:dyDescent="0.25">
      <c r="A9" s="90" t="s">
        <v>11</v>
      </c>
      <c r="B9" s="7" t="s">
        <v>29</v>
      </c>
      <c r="C9" s="8" t="s">
        <v>30</v>
      </c>
      <c r="D9" s="8" t="s">
        <v>31</v>
      </c>
      <c r="E9" s="91" t="s">
        <v>15</v>
      </c>
      <c r="F9" s="91" t="s">
        <v>16</v>
      </c>
      <c r="G9" s="8"/>
      <c r="H9" s="8">
        <v>1</v>
      </c>
      <c r="I9" s="8"/>
      <c r="J9" s="105"/>
    </row>
    <row r="10" spans="1:10" ht="76.5" customHeight="1" x14ac:dyDescent="0.25">
      <c r="A10" s="90" t="s">
        <v>11</v>
      </c>
      <c r="B10" s="7" t="s">
        <v>32</v>
      </c>
      <c r="C10" s="8" t="s">
        <v>33</v>
      </c>
      <c r="D10" s="8" t="s">
        <v>34</v>
      </c>
      <c r="E10" s="91" t="s">
        <v>15</v>
      </c>
      <c r="F10" s="91" t="s">
        <v>16</v>
      </c>
      <c r="G10" s="8"/>
      <c r="H10" s="8"/>
      <c r="I10" s="8">
        <v>2</v>
      </c>
      <c r="J10" s="105"/>
    </row>
    <row r="11" spans="1:10" ht="117.6" customHeight="1" x14ac:dyDescent="0.25">
      <c r="A11" s="90" t="s">
        <v>35</v>
      </c>
      <c r="B11" s="7" t="s">
        <v>36</v>
      </c>
      <c r="C11" s="8" t="s">
        <v>37</v>
      </c>
      <c r="D11" s="8" t="s">
        <v>38</v>
      </c>
      <c r="E11" s="8" t="s">
        <v>39</v>
      </c>
      <c r="F11" s="8" t="s">
        <v>40</v>
      </c>
      <c r="G11" s="8"/>
      <c r="H11" s="8">
        <v>1</v>
      </c>
      <c r="I11" s="8"/>
      <c r="J11" s="105">
        <f>SUM(G11:I14)</f>
        <v>7</v>
      </c>
    </row>
    <row r="12" spans="1:10" ht="93" customHeight="1" x14ac:dyDescent="0.25">
      <c r="A12" s="90" t="s">
        <v>35</v>
      </c>
      <c r="B12" s="7" t="s">
        <v>41</v>
      </c>
      <c r="C12" s="8" t="s">
        <v>42</v>
      </c>
      <c r="D12" s="8" t="s">
        <v>43</v>
      </c>
      <c r="E12" s="8" t="s">
        <v>44</v>
      </c>
      <c r="F12" s="8" t="s">
        <v>40</v>
      </c>
      <c r="G12" s="8"/>
      <c r="H12" s="8"/>
      <c r="I12" s="8">
        <v>2</v>
      </c>
      <c r="J12" s="105"/>
    </row>
    <row r="13" spans="1:10" ht="76.5" customHeight="1" x14ac:dyDescent="0.25">
      <c r="A13" s="90" t="s">
        <v>35</v>
      </c>
      <c r="B13" s="7" t="s">
        <v>45</v>
      </c>
      <c r="C13" s="8" t="s">
        <v>46</v>
      </c>
      <c r="D13" s="8" t="s">
        <v>47</v>
      </c>
      <c r="E13" s="8" t="s">
        <v>48</v>
      </c>
      <c r="F13" s="8" t="s">
        <v>40</v>
      </c>
      <c r="G13" s="8"/>
      <c r="H13" s="8"/>
      <c r="I13" s="8">
        <v>2</v>
      </c>
      <c r="J13" s="105"/>
    </row>
    <row r="14" spans="1:10" ht="93.6" customHeight="1" x14ac:dyDescent="0.25">
      <c r="A14" s="90" t="s">
        <v>35</v>
      </c>
      <c r="B14" s="7" t="s">
        <v>49</v>
      </c>
      <c r="C14" s="8" t="s">
        <v>50</v>
      </c>
      <c r="D14" s="8" t="s">
        <v>51</v>
      </c>
      <c r="E14" s="8" t="s">
        <v>52</v>
      </c>
      <c r="F14" s="8" t="s">
        <v>40</v>
      </c>
      <c r="G14" s="8"/>
      <c r="H14" s="8"/>
      <c r="I14" s="8">
        <v>2</v>
      </c>
      <c r="J14" s="105"/>
    </row>
    <row r="15" spans="1:10" ht="78.599999999999994" customHeight="1" x14ac:dyDescent="0.25">
      <c r="A15" s="9" t="s">
        <v>53</v>
      </c>
      <c r="B15" s="7" t="s">
        <v>54</v>
      </c>
      <c r="C15" s="8" t="s">
        <v>55</v>
      </c>
      <c r="D15" s="11" t="s">
        <v>56</v>
      </c>
      <c r="E15" s="8" t="s">
        <v>57</v>
      </c>
      <c r="F15" s="8" t="s">
        <v>58</v>
      </c>
      <c r="G15" s="8"/>
      <c r="H15" s="8"/>
      <c r="I15" s="8">
        <v>2</v>
      </c>
      <c r="J15" s="10">
        <f>SUM(G15:I15)</f>
        <v>2</v>
      </c>
    </row>
    <row r="16" spans="1:10" ht="65.650000000000006" customHeight="1" x14ac:dyDescent="0.25">
      <c r="A16" s="90" t="s">
        <v>59</v>
      </c>
      <c r="B16" s="7" t="s">
        <v>60</v>
      </c>
      <c r="C16" s="8" t="s">
        <v>61</v>
      </c>
      <c r="D16" s="8" t="s">
        <v>62</v>
      </c>
      <c r="E16" s="8" t="s">
        <v>63</v>
      </c>
      <c r="F16" s="8" t="s">
        <v>58</v>
      </c>
      <c r="G16" s="8"/>
      <c r="H16" s="8">
        <v>1</v>
      </c>
      <c r="I16" s="8"/>
      <c r="J16" s="105">
        <f>SUM(G16:I17)</f>
        <v>2</v>
      </c>
    </row>
    <row r="17" spans="1:10" ht="67.150000000000006" customHeight="1" x14ac:dyDescent="0.25">
      <c r="A17" s="90" t="s">
        <v>59</v>
      </c>
      <c r="B17" s="7" t="s">
        <v>64</v>
      </c>
      <c r="C17" s="8" t="s">
        <v>65</v>
      </c>
      <c r="D17" s="8" t="s">
        <v>66</v>
      </c>
      <c r="E17" s="8" t="s">
        <v>67</v>
      </c>
      <c r="F17" s="8" t="s">
        <v>40</v>
      </c>
      <c r="G17" s="8"/>
      <c r="H17" s="8">
        <v>1</v>
      </c>
      <c r="I17" s="8"/>
      <c r="J17" s="105"/>
    </row>
    <row r="18" spans="1:10" ht="15" customHeight="1" thickBot="1" x14ac:dyDescent="0.3">
      <c r="A18" s="106" t="s">
        <v>68</v>
      </c>
      <c r="B18" s="106"/>
      <c r="C18" s="106"/>
      <c r="D18" s="106"/>
      <c r="E18" s="106"/>
      <c r="F18" s="107"/>
      <c r="G18" s="14"/>
      <c r="H18" s="14">
        <f t="shared" ref="H18" si="0">SUM(H4:H17)</f>
        <v>4</v>
      </c>
      <c r="I18" s="14">
        <f>SUM(I4:I17)</f>
        <v>20</v>
      </c>
      <c r="J18" s="14">
        <f>SUM(J4:J17)</f>
        <v>24</v>
      </c>
    </row>
    <row r="21" spans="1:10" ht="15.75" thickBot="1" x14ac:dyDescent="0.3"/>
    <row r="22" spans="1:10" ht="64.5" thickBot="1" x14ac:dyDescent="0.3">
      <c r="A22" s="1" t="s">
        <v>69</v>
      </c>
      <c r="B22" s="2" t="s">
        <v>70</v>
      </c>
      <c r="C22" s="2" t="s">
        <v>71</v>
      </c>
      <c r="D22" s="2" t="s">
        <v>72</v>
      </c>
      <c r="E22" s="102" t="s">
        <v>349</v>
      </c>
      <c r="F22" s="13" t="s">
        <v>73</v>
      </c>
      <c r="G22" s="13" t="s">
        <v>74</v>
      </c>
      <c r="H22" s="13" t="s">
        <v>75</v>
      </c>
    </row>
    <row r="23" spans="1:10" ht="64.5" thickBot="1" x14ac:dyDescent="0.3">
      <c r="A23" s="3" t="s">
        <v>76</v>
      </c>
      <c r="B23" s="5">
        <v>7</v>
      </c>
      <c r="C23" s="5">
        <v>14</v>
      </c>
      <c r="D23" s="4">
        <v>0.25</v>
      </c>
      <c r="E23" s="103"/>
      <c r="F23" s="5">
        <v>13</v>
      </c>
      <c r="G23" s="12">
        <f>F23/C23</f>
        <v>0.9285714285714286</v>
      </c>
      <c r="H23" s="4">
        <f>G23*D23</f>
        <v>0.23214285714285715</v>
      </c>
    </row>
    <row r="24" spans="1:10" ht="39" thickBot="1" x14ac:dyDescent="0.3">
      <c r="A24" s="3" t="s">
        <v>77</v>
      </c>
      <c r="B24" s="5">
        <v>4</v>
      </c>
      <c r="C24" s="5">
        <v>8</v>
      </c>
      <c r="D24" s="4">
        <v>0.25</v>
      </c>
      <c r="E24" s="103"/>
      <c r="F24" s="5">
        <v>7</v>
      </c>
      <c r="G24" s="12">
        <f t="shared" ref="G24:G26" si="1">F24/C24</f>
        <v>0.875</v>
      </c>
      <c r="H24" s="4">
        <f>G24*D24</f>
        <v>0.21875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2</v>
      </c>
      <c r="G26" s="12">
        <f t="shared" si="1"/>
        <v>0.5</v>
      </c>
      <c r="H26" s="4">
        <f>G26*D26</f>
        <v>0.125</v>
      </c>
    </row>
    <row r="27" spans="1:10" ht="16.5" thickBot="1" x14ac:dyDescent="0.3">
      <c r="A27" s="15" t="s">
        <v>80</v>
      </c>
      <c r="B27" s="16">
        <f>SUM(B23:B26)</f>
        <v>14</v>
      </c>
      <c r="C27" s="16">
        <f>SUM(C23:C26)</f>
        <v>28</v>
      </c>
      <c r="D27" s="17">
        <f>SUM(D23:D26)</f>
        <v>1</v>
      </c>
      <c r="E27" s="104"/>
      <c r="F27" s="16">
        <f>SUM(F23:F26)</f>
        <v>24</v>
      </c>
      <c r="G27" s="16" t="s">
        <v>81</v>
      </c>
      <c r="H27" s="18">
        <f>SUM(H23:H26)</f>
        <v>0.82589285714285721</v>
      </c>
    </row>
  </sheetData>
  <mergeCells count="6">
    <mergeCell ref="E22:E27"/>
    <mergeCell ref="A1:J1"/>
    <mergeCell ref="J4:J10"/>
    <mergeCell ref="J11:J14"/>
    <mergeCell ref="J16:J17"/>
    <mergeCell ref="A18:F18"/>
  </mergeCells>
  <conditionalFormatting sqref="G23:H26">
    <cfRule type="cellIs" dxfId="61" priority="1" operator="between">
      <formula>0.8</formula>
      <formula>1</formula>
    </cfRule>
    <cfRule type="cellIs" dxfId="60" priority="2" operator="between">
      <formula>0.41</formula>
      <formula>0.79</formula>
    </cfRule>
    <cfRule type="cellIs" dxfId="59" priority="3" operator="between">
      <formula>0</formula>
      <formula>0.4</formula>
    </cfRule>
  </conditionalFormatting>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DCF86-A4E8-4690-8731-4779ADF5B2F0}">
  <dimension ref="A1:J27"/>
  <sheetViews>
    <sheetView topLeftCell="A16" workbookViewId="0">
      <selection activeCell="F24" sqref="F24"/>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2" spans="1:10" x14ac:dyDescent="0.25">
      <c r="E2" s="94">
        <v>46092</v>
      </c>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32"/>
      <c r="H4" s="96">
        <v>1</v>
      </c>
      <c r="I4" s="8"/>
      <c r="J4" s="105">
        <f>SUM(G4:I10)</f>
        <v>12</v>
      </c>
    </row>
    <row r="5" spans="1:10" ht="52.15" customHeight="1" x14ac:dyDescent="0.25">
      <c r="A5" s="90" t="s">
        <v>11</v>
      </c>
      <c r="B5" s="7" t="s">
        <v>17</v>
      </c>
      <c r="C5" s="8" t="s">
        <v>18</v>
      </c>
      <c r="D5" s="8" t="s">
        <v>19</v>
      </c>
      <c r="E5" s="91" t="s">
        <v>15</v>
      </c>
      <c r="F5" s="91" t="s">
        <v>16</v>
      </c>
      <c r="G5" s="32"/>
      <c r="H5" s="96">
        <v>1</v>
      </c>
      <c r="I5" s="8"/>
      <c r="J5" s="105"/>
    </row>
    <row r="6" spans="1:10" ht="44.65" customHeight="1" x14ac:dyDescent="0.25">
      <c r="A6" s="90" t="s">
        <v>11</v>
      </c>
      <c r="B6" s="7" t="s">
        <v>20</v>
      </c>
      <c r="C6" s="8" t="s">
        <v>21</v>
      </c>
      <c r="D6" s="8" t="s">
        <v>22</v>
      </c>
      <c r="E6" s="91" t="s">
        <v>15</v>
      </c>
      <c r="F6" s="91" t="s">
        <v>16</v>
      </c>
      <c r="G6" s="32"/>
      <c r="H6" s="8"/>
      <c r="I6" s="95">
        <v>2</v>
      </c>
      <c r="J6" s="105"/>
    </row>
    <row r="7" spans="1:10" ht="48.6" customHeight="1" x14ac:dyDescent="0.25">
      <c r="A7" s="90" t="s">
        <v>11</v>
      </c>
      <c r="B7" s="7" t="s">
        <v>23</v>
      </c>
      <c r="C7" s="8" t="s">
        <v>24</v>
      </c>
      <c r="D7" s="8" t="s">
        <v>25</v>
      </c>
      <c r="E7" s="91" t="s">
        <v>15</v>
      </c>
      <c r="F7" s="91" t="s">
        <v>16</v>
      </c>
      <c r="G7" s="32"/>
      <c r="H7" s="8"/>
      <c r="I7" s="95">
        <v>2</v>
      </c>
      <c r="J7" s="105"/>
    </row>
    <row r="8" spans="1:10" ht="52.5" customHeight="1" x14ac:dyDescent="0.25">
      <c r="A8" s="90" t="s">
        <v>11</v>
      </c>
      <c r="B8" s="7" t="s">
        <v>26</v>
      </c>
      <c r="C8" s="8" t="s">
        <v>27</v>
      </c>
      <c r="D8" s="8" t="s">
        <v>28</v>
      </c>
      <c r="E8" s="91" t="s">
        <v>15</v>
      </c>
      <c r="F8" s="91" t="s">
        <v>16</v>
      </c>
      <c r="G8" s="32"/>
      <c r="H8" s="8"/>
      <c r="I8" s="95">
        <v>2</v>
      </c>
      <c r="J8" s="105"/>
    </row>
    <row r="9" spans="1:10" ht="44.65" customHeight="1" x14ac:dyDescent="0.25">
      <c r="A9" s="90" t="s">
        <v>11</v>
      </c>
      <c r="B9" s="7" t="s">
        <v>29</v>
      </c>
      <c r="C9" s="8" t="s">
        <v>30</v>
      </c>
      <c r="D9" s="8" t="s">
        <v>31</v>
      </c>
      <c r="E9" s="91" t="s">
        <v>15</v>
      </c>
      <c r="F9" s="91" t="s">
        <v>16</v>
      </c>
      <c r="G9" s="32"/>
      <c r="H9" s="8"/>
      <c r="I9" s="95">
        <v>2</v>
      </c>
      <c r="J9" s="105"/>
    </row>
    <row r="10" spans="1:10" ht="76.5" customHeight="1" x14ac:dyDescent="0.25">
      <c r="A10" s="90" t="s">
        <v>11</v>
      </c>
      <c r="B10" s="7" t="s">
        <v>32</v>
      </c>
      <c r="C10" s="8" t="s">
        <v>33</v>
      </c>
      <c r="D10" s="8" t="s">
        <v>34</v>
      </c>
      <c r="E10" s="91" t="s">
        <v>15</v>
      </c>
      <c r="F10" s="91" t="s">
        <v>16</v>
      </c>
      <c r="G10" s="32"/>
      <c r="H10" s="8"/>
      <c r="I10" s="95">
        <v>2</v>
      </c>
      <c r="J10" s="105"/>
    </row>
    <row r="11" spans="1:10" ht="117.6" customHeight="1" x14ac:dyDescent="0.25">
      <c r="A11" s="90" t="s">
        <v>35</v>
      </c>
      <c r="B11" s="7" t="s">
        <v>36</v>
      </c>
      <c r="C11" s="8" t="s">
        <v>37</v>
      </c>
      <c r="D11" s="8" t="s">
        <v>38</v>
      </c>
      <c r="E11" s="8" t="s">
        <v>39</v>
      </c>
      <c r="F11" s="8" t="s">
        <v>40</v>
      </c>
      <c r="G11" s="32"/>
      <c r="H11" s="8"/>
      <c r="I11" s="95">
        <v>2</v>
      </c>
      <c r="J11" s="105">
        <f>SUM(G11:I14)</f>
        <v>6</v>
      </c>
    </row>
    <row r="12" spans="1:10" ht="93" customHeight="1" x14ac:dyDescent="0.25">
      <c r="A12" s="90" t="s">
        <v>35</v>
      </c>
      <c r="B12" s="7" t="s">
        <v>41</v>
      </c>
      <c r="C12" s="8" t="s">
        <v>42</v>
      </c>
      <c r="D12" s="8" t="s">
        <v>43</v>
      </c>
      <c r="E12" s="8" t="s">
        <v>44</v>
      </c>
      <c r="F12" s="8" t="s">
        <v>40</v>
      </c>
      <c r="G12" s="32"/>
      <c r="H12" s="8"/>
      <c r="I12" s="95">
        <v>2</v>
      </c>
      <c r="J12" s="105"/>
    </row>
    <row r="13" spans="1:10" ht="76.5" customHeight="1" x14ac:dyDescent="0.25">
      <c r="A13" s="90" t="s">
        <v>35</v>
      </c>
      <c r="B13" s="7" t="s">
        <v>45</v>
      </c>
      <c r="C13" s="8" t="s">
        <v>46</v>
      </c>
      <c r="D13" s="8" t="s">
        <v>47</v>
      </c>
      <c r="E13" s="8" t="s">
        <v>48</v>
      </c>
      <c r="F13" s="8" t="s">
        <v>40</v>
      </c>
      <c r="G13" s="32"/>
      <c r="H13" s="96">
        <v>1</v>
      </c>
      <c r="I13" s="8"/>
      <c r="J13" s="105"/>
    </row>
    <row r="14" spans="1:10" ht="93.6" customHeight="1" x14ac:dyDescent="0.25">
      <c r="A14" s="90" t="s">
        <v>35</v>
      </c>
      <c r="B14" s="7" t="s">
        <v>49</v>
      </c>
      <c r="C14" s="8" t="s">
        <v>50</v>
      </c>
      <c r="D14" s="8" t="s">
        <v>51</v>
      </c>
      <c r="E14" s="8" t="s">
        <v>52</v>
      </c>
      <c r="F14" s="8" t="s">
        <v>40</v>
      </c>
      <c r="G14" s="32"/>
      <c r="H14" s="96">
        <v>1</v>
      </c>
      <c r="I14" s="8"/>
      <c r="J14" s="105"/>
    </row>
    <row r="15" spans="1:10" ht="78.599999999999994" customHeight="1" x14ac:dyDescent="0.25">
      <c r="A15" s="9" t="s">
        <v>53</v>
      </c>
      <c r="B15" s="7" t="s">
        <v>54</v>
      </c>
      <c r="C15" s="8" t="s">
        <v>55</v>
      </c>
      <c r="D15" s="11" t="s">
        <v>56</v>
      </c>
      <c r="E15" s="8" t="s">
        <v>57</v>
      </c>
      <c r="F15" s="8" t="s">
        <v>58</v>
      </c>
      <c r="G15" s="32"/>
      <c r="H15" s="8"/>
      <c r="I15" s="95">
        <v>2</v>
      </c>
      <c r="J15" s="10">
        <f>SUM(G15:I15)</f>
        <v>2</v>
      </c>
    </row>
    <row r="16" spans="1:10" ht="65.650000000000006" customHeight="1" x14ac:dyDescent="0.25">
      <c r="A16" s="90" t="s">
        <v>59</v>
      </c>
      <c r="B16" s="7" t="s">
        <v>60</v>
      </c>
      <c r="C16" s="8" t="s">
        <v>61</v>
      </c>
      <c r="D16" s="8" t="s">
        <v>62</v>
      </c>
      <c r="E16" s="8" t="s">
        <v>63</v>
      </c>
      <c r="F16" s="8" t="s">
        <v>58</v>
      </c>
      <c r="G16" s="32"/>
      <c r="H16" s="96">
        <v>1</v>
      </c>
      <c r="I16" s="8"/>
      <c r="J16" s="105">
        <f>SUM(G16:I17)</f>
        <v>2</v>
      </c>
    </row>
    <row r="17" spans="1:10" ht="67.150000000000006" customHeight="1" x14ac:dyDescent="0.25">
      <c r="A17" s="90" t="s">
        <v>59</v>
      </c>
      <c r="B17" s="7" t="s">
        <v>64</v>
      </c>
      <c r="C17" s="8" t="s">
        <v>65</v>
      </c>
      <c r="D17" s="8" t="s">
        <v>66</v>
      </c>
      <c r="E17" s="8" t="s">
        <v>67</v>
      </c>
      <c r="F17" s="8" t="s">
        <v>40</v>
      </c>
      <c r="G17" s="32"/>
      <c r="H17" s="96">
        <v>1</v>
      </c>
      <c r="I17" s="8"/>
      <c r="J17" s="105"/>
    </row>
    <row r="18" spans="1:10" ht="15" customHeight="1" thickBot="1" x14ac:dyDescent="0.3">
      <c r="A18" s="106" t="s">
        <v>326</v>
      </c>
      <c r="B18" s="106"/>
      <c r="C18" s="106"/>
      <c r="D18" s="106"/>
      <c r="E18" s="106"/>
      <c r="F18" s="107"/>
      <c r="G18" s="14"/>
      <c r="H18" s="14">
        <f t="shared" ref="H18" si="0">SUM(H4:H17)</f>
        <v>6</v>
      </c>
      <c r="I18" s="14">
        <f>SUM(I4:I17)</f>
        <v>16</v>
      </c>
      <c r="J18" s="14">
        <f>SUM(J4:J17)</f>
        <v>22</v>
      </c>
    </row>
    <row r="20" spans="1:10" x14ac:dyDescent="0.25">
      <c r="A20" s="108"/>
      <c r="B20" s="108"/>
      <c r="C20" s="108"/>
      <c r="D20" s="108"/>
      <c r="E20" s="108"/>
      <c r="F20" s="108"/>
      <c r="G20" s="108"/>
      <c r="H20" s="108"/>
    </row>
    <row r="21" spans="1:10" ht="15.75" thickBot="1" x14ac:dyDescent="0.3"/>
    <row r="22" spans="1:10" ht="64.5" thickBot="1" x14ac:dyDescent="0.3">
      <c r="A22" s="1" t="s">
        <v>69</v>
      </c>
      <c r="B22" s="2" t="s">
        <v>70</v>
      </c>
      <c r="C22" s="2" t="s">
        <v>71</v>
      </c>
      <c r="D22" s="2" t="s">
        <v>72</v>
      </c>
      <c r="E22" s="102" t="s">
        <v>350</v>
      </c>
      <c r="F22" s="13" t="s">
        <v>73</v>
      </c>
      <c r="G22" s="13" t="s">
        <v>74</v>
      </c>
      <c r="H22" s="13" t="s">
        <v>75</v>
      </c>
    </row>
    <row r="23" spans="1:10" ht="64.5" thickBot="1" x14ac:dyDescent="0.3">
      <c r="A23" s="3" t="s">
        <v>76</v>
      </c>
      <c r="B23" s="5">
        <v>7</v>
      </c>
      <c r="C23" s="5">
        <v>14</v>
      </c>
      <c r="D23" s="4">
        <v>0.25</v>
      </c>
      <c r="E23" s="103"/>
      <c r="F23" s="5">
        <v>12</v>
      </c>
      <c r="G23" s="12">
        <f>F23/C23</f>
        <v>0.8571428571428571</v>
      </c>
      <c r="H23" s="4">
        <f>G23*D23</f>
        <v>0.21428571428571427</v>
      </c>
    </row>
    <row r="24" spans="1:10" ht="39" thickBot="1" x14ac:dyDescent="0.3">
      <c r="A24" s="3" t="s">
        <v>77</v>
      </c>
      <c r="B24" s="5">
        <v>4</v>
      </c>
      <c r="C24" s="5">
        <v>8</v>
      </c>
      <c r="D24" s="4">
        <v>0.25</v>
      </c>
      <c r="E24" s="103"/>
      <c r="F24" s="5">
        <v>6</v>
      </c>
      <c r="G24" s="12">
        <f t="shared" ref="G24:G26" si="1">F24/C24</f>
        <v>0.75</v>
      </c>
      <c r="H24" s="4">
        <f>G24*D24</f>
        <v>0.1875</v>
      </c>
    </row>
    <row r="25" spans="1:10" ht="64.5" thickBot="1" x14ac:dyDescent="0.3">
      <c r="A25" s="3" t="s">
        <v>78</v>
      </c>
      <c r="B25" s="5">
        <v>1</v>
      </c>
      <c r="C25" s="5">
        <v>2</v>
      </c>
      <c r="D25" s="4">
        <v>0.25</v>
      </c>
      <c r="E25" s="103"/>
      <c r="F25" s="5">
        <v>2</v>
      </c>
      <c r="G25" s="12">
        <f t="shared" si="1"/>
        <v>1</v>
      </c>
      <c r="H25" s="4">
        <f>G25*D25</f>
        <v>0.25</v>
      </c>
    </row>
    <row r="26" spans="1:10" ht="26.25" thickBot="1" x14ac:dyDescent="0.3">
      <c r="A26" s="3" t="s">
        <v>79</v>
      </c>
      <c r="B26" s="5">
        <v>2</v>
      </c>
      <c r="C26" s="5">
        <v>4</v>
      </c>
      <c r="D26" s="4">
        <v>0.25</v>
      </c>
      <c r="E26" s="103"/>
      <c r="F26" s="5">
        <v>2</v>
      </c>
      <c r="G26" s="12">
        <f t="shared" si="1"/>
        <v>0.5</v>
      </c>
      <c r="H26" s="4">
        <f>G26*D26</f>
        <v>0.125</v>
      </c>
    </row>
    <row r="27" spans="1:10" ht="16.5" thickBot="1" x14ac:dyDescent="0.3">
      <c r="A27" s="15" t="s">
        <v>80</v>
      </c>
      <c r="B27" s="16">
        <f>SUM(B23:B26)</f>
        <v>14</v>
      </c>
      <c r="C27" s="16">
        <f>SUM(C23:C26)</f>
        <v>28</v>
      </c>
      <c r="D27" s="17">
        <f>SUM(D23:D26)</f>
        <v>1</v>
      </c>
      <c r="E27" s="104"/>
      <c r="F27" s="16">
        <f>SUM(F23:F26)</f>
        <v>22</v>
      </c>
      <c r="G27" s="16" t="s">
        <v>81</v>
      </c>
      <c r="H27" s="18">
        <f>SUM(H23:H26)</f>
        <v>0.7767857142857143</v>
      </c>
    </row>
  </sheetData>
  <mergeCells count="7">
    <mergeCell ref="E22:E27"/>
    <mergeCell ref="J11:J14"/>
    <mergeCell ref="A1:J1"/>
    <mergeCell ref="J4:J10"/>
    <mergeCell ref="J16:J17"/>
    <mergeCell ref="A18:F18"/>
    <mergeCell ref="A20:H20"/>
  </mergeCells>
  <conditionalFormatting sqref="G23:G26">
    <cfRule type="cellIs" dxfId="58" priority="1" operator="between">
      <formula>0.8</formula>
      <formula>1</formula>
    </cfRule>
    <cfRule type="cellIs" dxfId="57" priority="2" operator="between">
      <formula>0.41</formula>
      <formula>0.79</formula>
    </cfRule>
    <cfRule type="cellIs" dxfId="56" priority="3" operator="between">
      <formula>0</formula>
      <formula>0.4</formula>
    </cfRule>
  </conditionalFormatting>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E2E1A-1D96-4EE3-BE54-CBA76344928A}">
  <dimension ref="A1:J27"/>
  <sheetViews>
    <sheetView topLeftCell="A16" workbookViewId="0">
      <selection activeCell="H25" sqref="H25"/>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96">
        <v>1</v>
      </c>
      <c r="I4" s="32"/>
      <c r="J4" s="105">
        <f>SUM(G4:I10)</f>
        <v>7</v>
      </c>
    </row>
    <row r="5" spans="1:10" ht="52.15" customHeight="1" x14ac:dyDescent="0.25">
      <c r="A5" s="90" t="s">
        <v>11</v>
      </c>
      <c r="B5" s="7" t="s">
        <v>17</v>
      </c>
      <c r="C5" s="8" t="s">
        <v>18</v>
      </c>
      <c r="D5" s="8" t="s">
        <v>19</v>
      </c>
      <c r="E5" s="91" t="s">
        <v>15</v>
      </c>
      <c r="F5" s="91" t="s">
        <v>16</v>
      </c>
      <c r="G5" s="8"/>
      <c r="H5" s="96">
        <v>1</v>
      </c>
      <c r="I5" s="32"/>
      <c r="J5" s="105"/>
    </row>
    <row r="6" spans="1:10" ht="44.65" customHeight="1" x14ac:dyDescent="0.25">
      <c r="A6" s="90" t="s">
        <v>11</v>
      </c>
      <c r="B6" s="7" t="s">
        <v>20</v>
      </c>
      <c r="C6" s="8" t="s">
        <v>21</v>
      </c>
      <c r="D6" s="8" t="s">
        <v>22</v>
      </c>
      <c r="E6" s="91" t="s">
        <v>15</v>
      </c>
      <c r="F6" s="91" t="s">
        <v>16</v>
      </c>
      <c r="G6" s="8"/>
      <c r="H6" s="96">
        <v>1</v>
      </c>
      <c r="I6" s="32"/>
      <c r="J6" s="105"/>
    </row>
    <row r="7" spans="1:10" ht="48.6" customHeight="1" x14ac:dyDescent="0.25">
      <c r="A7" s="90" t="s">
        <v>11</v>
      </c>
      <c r="B7" s="7" t="s">
        <v>23</v>
      </c>
      <c r="C7" s="8" t="s">
        <v>24</v>
      </c>
      <c r="D7" s="8" t="s">
        <v>25</v>
      </c>
      <c r="E7" s="91" t="s">
        <v>15</v>
      </c>
      <c r="F7" s="91" t="s">
        <v>16</v>
      </c>
      <c r="G7" s="8"/>
      <c r="H7" s="96">
        <v>1</v>
      </c>
      <c r="I7" s="32"/>
      <c r="J7" s="105"/>
    </row>
    <row r="8" spans="1:10" ht="52.5" customHeight="1" x14ac:dyDescent="0.25">
      <c r="A8" s="90" t="s">
        <v>11</v>
      </c>
      <c r="B8" s="7" t="s">
        <v>26</v>
      </c>
      <c r="C8" s="8" t="s">
        <v>27</v>
      </c>
      <c r="D8" s="8" t="s">
        <v>28</v>
      </c>
      <c r="E8" s="91" t="s">
        <v>15</v>
      </c>
      <c r="F8" s="91" t="s">
        <v>16</v>
      </c>
      <c r="G8" s="8"/>
      <c r="H8" s="96">
        <v>1</v>
      </c>
      <c r="I8" s="32"/>
      <c r="J8" s="105"/>
    </row>
    <row r="9" spans="1:10" ht="44.65" customHeight="1" x14ac:dyDescent="0.25">
      <c r="A9" s="90" t="s">
        <v>11</v>
      </c>
      <c r="B9" s="7" t="s">
        <v>29</v>
      </c>
      <c r="C9" s="8" t="s">
        <v>30</v>
      </c>
      <c r="D9" s="8" t="s">
        <v>31</v>
      </c>
      <c r="E9" s="91" t="s">
        <v>15</v>
      </c>
      <c r="F9" s="91" t="s">
        <v>16</v>
      </c>
      <c r="G9" s="8"/>
      <c r="H9" s="96">
        <v>1</v>
      </c>
      <c r="I9" s="32"/>
      <c r="J9" s="105"/>
    </row>
    <row r="10" spans="1:10" ht="76.5" customHeight="1" x14ac:dyDescent="0.25">
      <c r="A10" s="90" t="s">
        <v>11</v>
      </c>
      <c r="B10" s="7" t="s">
        <v>32</v>
      </c>
      <c r="C10" s="8" t="s">
        <v>33</v>
      </c>
      <c r="D10" s="8" t="s">
        <v>34</v>
      </c>
      <c r="E10" s="91" t="s">
        <v>15</v>
      </c>
      <c r="F10" s="91" t="s">
        <v>16</v>
      </c>
      <c r="G10" s="8"/>
      <c r="H10" s="96">
        <v>1</v>
      </c>
      <c r="I10" s="32"/>
      <c r="J10" s="105"/>
    </row>
    <row r="11" spans="1:10" ht="117.6" customHeight="1" x14ac:dyDescent="0.25">
      <c r="A11" s="90" t="s">
        <v>35</v>
      </c>
      <c r="B11" s="7" t="s">
        <v>36</v>
      </c>
      <c r="C11" s="8" t="s">
        <v>37</v>
      </c>
      <c r="D11" s="8" t="s">
        <v>38</v>
      </c>
      <c r="E11" s="8" t="s">
        <v>39</v>
      </c>
      <c r="F11" s="8" t="s">
        <v>40</v>
      </c>
      <c r="G11" s="32"/>
      <c r="H11" s="96">
        <v>1</v>
      </c>
      <c r="I11" s="32"/>
      <c r="J11" s="105">
        <f>SUM(G11:I14)</f>
        <v>4</v>
      </c>
    </row>
    <row r="12" spans="1:10" ht="93" customHeight="1" x14ac:dyDescent="0.25">
      <c r="A12" s="90" t="s">
        <v>35</v>
      </c>
      <c r="B12" s="7" t="s">
        <v>41</v>
      </c>
      <c r="C12" s="8" t="s">
        <v>42</v>
      </c>
      <c r="D12" s="8" t="s">
        <v>43</v>
      </c>
      <c r="E12" s="8" t="s">
        <v>44</v>
      </c>
      <c r="F12" s="8" t="s">
        <v>40</v>
      </c>
      <c r="G12" s="32"/>
      <c r="H12" s="96">
        <v>1</v>
      </c>
      <c r="I12" s="8"/>
      <c r="J12" s="105"/>
    </row>
    <row r="13" spans="1:10" ht="76.5" customHeight="1" x14ac:dyDescent="0.25">
      <c r="A13" s="90" t="s">
        <v>35</v>
      </c>
      <c r="B13" s="7" t="s">
        <v>45</v>
      </c>
      <c r="C13" s="8" t="s">
        <v>46</v>
      </c>
      <c r="D13" s="8" t="s">
        <v>47</v>
      </c>
      <c r="E13" s="8" t="s">
        <v>48</v>
      </c>
      <c r="F13" s="8" t="s">
        <v>40</v>
      </c>
      <c r="G13" s="32"/>
      <c r="H13" s="96">
        <v>1</v>
      </c>
      <c r="I13" s="32"/>
      <c r="J13" s="105"/>
    </row>
    <row r="14" spans="1:10" ht="93.6" customHeight="1" x14ac:dyDescent="0.25">
      <c r="A14" s="90" t="s">
        <v>35</v>
      </c>
      <c r="B14" s="7" t="s">
        <v>49</v>
      </c>
      <c r="C14" s="8" t="s">
        <v>50</v>
      </c>
      <c r="D14" s="8" t="s">
        <v>51</v>
      </c>
      <c r="E14" s="8" t="s">
        <v>52</v>
      </c>
      <c r="F14" s="8" t="s">
        <v>40</v>
      </c>
      <c r="G14" s="32"/>
      <c r="H14" s="96">
        <v>1</v>
      </c>
      <c r="I14" s="8"/>
      <c r="J14" s="105"/>
    </row>
    <row r="15" spans="1:10" ht="78.599999999999994" customHeight="1" x14ac:dyDescent="0.25">
      <c r="A15" s="9" t="s">
        <v>53</v>
      </c>
      <c r="B15" s="7" t="s">
        <v>54</v>
      </c>
      <c r="C15" s="8" t="s">
        <v>55</v>
      </c>
      <c r="D15" s="11" t="s">
        <v>56</v>
      </c>
      <c r="E15" s="8" t="s">
        <v>57</v>
      </c>
      <c r="F15" s="8" t="s">
        <v>58</v>
      </c>
      <c r="G15" s="32"/>
      <c r="H15" s="96">
        <v>1</v>
      </c>
      <c r="I15" s="8"/>
      <c r="J15" s="10">
        <f>SUM(G15:I15)</f>
        <v>1</v>
      </c>
    </row>
    <row r="16" spans="1:10" ht="65.650000000000006" customHeight="1" x14ac:dyDescent="0.25">
      <c r="A16" s="90" t="s">
        <v>59</v>
      </c>
      <c r="B16" s="7" t="s">
        <v>60</v>
      </c>
      <c r="C16" s="8" t="s">
        <v>61</v>
      </c>
      <c r="D16" s="8" t="s">
        <v>62</v>
      </c>
      <c r="E16" s="8" t="s">
        <v>63</v>
      </c>
      <c r="F16" s="8" t="s">
        <v>58</v>
      </c>
      <c r="G16" s="98">
        <v>0</v>
      </c>
      <c r="H16" s="8"/>
      <c r="I16" s="8"/>
      <c r="J16" s="105">
        <f>SUM(G16:I17)</f>
        <v>0</v>
      </c>
    </row>
    <row r="17" spans="1:10" ht="67.150000000000006" customHeight="1" x14ac:dyDescent="0.25">
      <c r="A17" s="90" t="s">
        <v>59</v>
      </c>
      <c r="B17" s="7" t="s">
        <v>64</v>
      </c>
      <c r="C17" s="8" t="s">
        <v>65</v>
      </c>
      <c r="D17" s="8" t="s">
        <v>66</v>
      </c>
      <c r="E17" s="8" t="s">
        <v>67</v>
      </c>
      <c r="F17" s="8" t="s">
        <v>40</v>
      </c>
      <c r="G17" s="98">
        <v>0</v>
      </c>
      <c r="H17" s="8"/>
      <c r="I17" s="8"/>
      <c r="J17" s="105"/>
    </row>
    <row r="18" spans="1:10" ht="15" customHeight="1" thickBot="1" x14ac:dyDescent="0.3">
      <c r="A18" s="106" t="s">
        <v>374</v>
      </c>
      <c r="B18" s="106"/>
      <c r="C18" s="106"/>
      <c r="D18" s="106"/>
      <c r="E18" s="106"/>
      <c r="F18" s="107"/>
      <c r="G18" s="14">
        <f t="shared" ref="G18:H18" si="0">SUM(G4:G17)</f>
        <v>0</v>
      </c>
      <c r="H18" s="14">
        <f t="shared" si="0"/>
        <v>12</v>
      </c>
      <c r="I18" s="14">
        <f>SUM(I4:I17)</f>
        <v>0</v>
      </c>
      <c r="J18" s="14">
        <f>SUM(J4:J17)</f>
        <v>12</v>
      </c>
    </row>
    <row r="20" spans="1:10" x14ac:dyDescent="0.25">
      <c r="A20" s="108"/>
      <c r="B20" s="108"/>
      <c r="C20" s="108"/>
      <c r="D20" s="108"/>
      <c r="E20" s="108"/>
      <c r="F20" s="108"/>
      <c r="G20" s="108"/>
      <c r="H20" s="108"/>
    </row>
    <row r="21" spans="1:10" ht="15.75" thickBot="1" x14ac:dyDescent="0.3"/>
    <row r="22" spans="1:10" ht="64.5" thickBot="1" x14ac:dyDescent="0.3">
      <c r="A22" s="1" t="s">
        <v>69</v>
      </c>
      <c r="B22" s="2" t="s">
        <v>70</v>
      </c>
      <c r="C22" s="2" t="s">
        <v>71</v>
      </c>
      <c r="D22" s="2" t="s">
        <v>72</v>
      </c>
      <c r="E22" s="102" t="s">
        <v>368</v>
      </c>
      <c r="F22" s="13" t="s">
        <v>73</v>
      </c>
      <c r="G22" s="13" t="s">
        <v>74</v>
      </c>
      <c r="H22" s="13" t="s">
        <v>75</v>
      </c>
    </row>
    <row r="23" spans="1:10" ht="64.5" thickBot="1" x14ac:dyDescent="0.3">
      <c r="A23" s="3" t="s">
        <v>76</v>
      </c>
      <c r="B23" s="5">
        <v>7</v>
      </c>
      <c r="C23" s="5">
        <v>14</v>
      </c>
      <c r="D23" s="4">
        <v>0.25</v>
      </c>
      <c r="E23" s="103"/>
      <c r="F23" s="5">
        <v>7</v>
      </c>
      <c r="G23" s="12">
        <f>F23/C23</f>
        <v>0.5</v>
      </c>
      <c r="H23" s="4">
        <f>G23*D23</f>
        <v>0.125</v>
      </c>
    </row>
    <row r="24" spans="1:10" ht="39" thickBot="1" x14ac:dyDescent="0.3">
      <c r="A24" s="3" t="s">
        <v>77</v>
      </c>
      <c r="B24" s="5">
        <v>4</v>
      </c>
      <c r="C24" s="5">
        <v>8</v>
      </c>
      <c r="D24" s="4">
        <v>0.25</v>
      </c>
      <c r="E24" s="103"/>
      <c r="F24" s="5">
        <v>4</v>
      </c>
      <c r="G24" s="12">
        <f t="shared" ref="G24:G26" si="1">F24/C24</f>
        <v>0.5</v>
      </c>
      <c r="H24" s="4">
        <f>G24*D24</f>
        <v>0.125</v>
      </c>
    </row>
    <row r="25" spans="1:10" ht="64.5" thickBot="1" x14ac:dyDescent="0.3">
      <c r="A25" s="3" t="s">
        <v>78</v>
      </c>
      <c r="B25" s="5">
        <v>1</v>
      </c>
      <c r="C25" s="5">
        <v>2</v>
      </c>
      <c r="D25" s="4">
        <v>0.25</v>
      </c>
      <c r="E25" s="103"/>
      <c r="F25" s="5">
        <v>1</v>
      </c>
      <c r="G25" s="12">
        <f t="shared" si="1"/>
        <v>0.5</v>
      </c>
      <c r="H25" s="4">
        <f>G25*D25</f>
        <v>0.125</v>
      </c>
    </row>
    <row r="26" spans="1:10" ht="26.25" thickBot="1" x14ac:dyDescent="0.3">
      <c r="A26" s="3" t="s">
        <v>79</v>
      </c>
      <c r="B26" s="5">
        <v>2</v>
      </c>
      <c r="C26" s="5">
        <v>4</v>
      </c>
      <c r="D26" s="4">
        <v>0.25</v>
      </c>
      <c r="E26" s="103"/>
      <c r="F26" s="5">
        <v>0</v>
      </c>
      <c r="G26" s="12">
        <f t="shared" si="1"/>
        <v>0</v>
      </c>
      <c r="H26" s="4">
        <f>G26*D26</f>
        <v>0</v>
      </c>
    </row>
    <row r="27" spans="1:10" ht="16.5" thickBot="1" x14ac:dyDescent="0.3">
      <c r="A27" s="15" t="s">
        <v>80</v>
      </c>
      <c r="B27" s="16">
        <f>SUM(B23:B26)</f>
        <v>14</v>
      </c>
      <c r="C27" s="16">
        <f>SUM(C23:C26)</f>
        <v>28</v>
      </c>
      <c r="D27" s="17">
        <f>SUM(D23:D26)</f>
        <v>1</v>
      </c>
      <c r="E27" s="104"/>
      <c r="F27" s="16">
        <f>SUM(F23:F26)</f>
        <v>12</v>
      </c>
      <c r="G27" s="16" t="s">
        <v>81</v>
      </c>
      <c r="H27" s="18">
        <f>SUM(H23:H26)</f>
        <v>0.375</v>
      </c>
    </row>
  </sheetData>
  <mergeCells count="7">
    <mergeCell ref="A20:H20"/>
    <mergeCell ref="E22:E27"/>
    <mergeCell ref="J11:J14"/>
    <mergeCell ref="A1:J1"/>
    <mergeCell ref="J4:J10"/>
    <mergeCell ref="J16:J17"/>
    <mergeCell ref="A18:F18"/>
  </mergeCells>
  <conditionalFormatting sqref="G23:G26">
    <cfRule type="cellIs" dxfId="55" priority="1" operator="between">
      <formula>0.8</formula>
      <formula>1</formula>
    </cfRule>
    <cfRule type="cellIs" dxfId="54" priority="2" operator="between">
      <formula>0.41</formula>
      <formula>0.79</formula>
    </cfRule>
    <cfRule type="cellIs" dxfId="53" priority="3" operator="between">
      <formula>0</formula>
      <formula>0.4</formula>
    </cfRule>
  </conditionalFormatting>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807DB-D4FD-4DB5-AA3B-F8D9D01FC238}">
  <dimension ref="A1:J27"/>
  <sheetViews>
    <sheetView topLeftCell="A16" workbookViewId="0">
      <selection activeCell="F15" sqref="F15"/>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32"/>
      <c r="H4" s="8">
        <v>1</v>
      </c>
      <c r="I4" s="8"/>
      <c r="J4" s="105">
        <f>SUM(G4:I10)</f>
        <v>12</v>
      </c>
    </row>
    <row r="5" spans="1:10" ht="52.15" customHeight="1" x14ac:dyDescent="0.25">
      <c r="A5" s="90" t="s">
        <v>11</v>
      </c>
      <c r="B5" s="7" t="s">
        <v>17</v>
      </c>
      <c r="C5" s="8" t="s">
        <v>18</v>
      </c>
      <c r="D5" s="8" t="s">
        <v>19</v>
      </c>
      <c r="E5" s="91" t="s">
        <v>15</v>
      </c>
      <c r="F5" s="91" t="s">
        <v>16</v>
      </c>
      <c r="G5" s="32"/>
      <c r="H5" s="8"/>
      <c r="I5" s="8">
        <v>2</v>
      </c>
      <c r="J5" s="105"/>
    </row>
    <row r="6" spans="1:10" ht="44.65" customHeight="1" x14ac:dyDescent="0.25">
      <c r="A6" s="90" t="s">
        <v>11</v>
      </c>
      <c r="B6" s="7" t="s">
        <v>20</v>
      </c>
      <c r="C6" s="8" t="s">
        <v>21</v>
      </c>
      <c r="D6" s="8" t="s">
        <v>22</v>
      </c>
      <c r="E6" s="91" t="s">
        <v>15</v>
      </c>
      <c r="F6" s="91" t="s">
        <v>16</v>
      </c>
      <c r="G6" s="32"/>
      <c r="H6" s="8">
        <v>1</v>
      </c>
      <c r="I6" s="8"/>
      <c r="J6" s="105"/>
    </row>
    <row r="7" spans="1:10" ht="48.6" customHeight="1" x14ac:dyDescent="0.25">
      <c r="A7" s="90" t="s">
        <v>11</v>
      </c>
      <c r="B7" s="7" t="s">
        <v>23</v>
      </c>
      <c r="C7" s="8" t="s">
        <v>24</v>
      </c>
      <c r="D7" s="8" t="s">
        <v>25</v>
      </c>
      <c r="E7" s="91" t="s">
        <v>15</v>
      </c>
      <c r="F7" s="91" t="s">
        <v>16</v>
      </c>
      <c r="G7" s="32"/>
      <c r="H7" s="8"/>
      <c r="I7" s="8">
        <v>2</v>
      </c>
      <c r="J7" s="105"/>
    </row>
    <row r="8" spans="1:10" ht="52.5" customHeight="1" x14ac:dyDescent="0.25">
      <c r="A8" s="90" t="s">
        <v>11</v>
      </c>
      <c r="B8" s="7" t="s">
        <v>26</v>
      </c>
      <c r="C8" s="8" t="s">
        <v>27</v>
      </c>
      <c r="D8" s="8" t="s">
        <v>28</v>
      </c>
      <c r="E8" s="91" t="s">
        <v>15</v>
      </c>
      <c r="F8" s="91" t="s">
        <v>16</v>
      </c>
      <c r="G8" s="32"/>
      <c r="H8" s="8"/>
      <c r="I8" s="8">
        <v>2</v>
      </c>
      <c r="J8" s="105"/>
    </row>
    <row r="9" spans="1:10" ht="44.65" customHeight="1" x14ac:dyDescent="0.25">
      <c r="A9" s="90" t="s">
        <v>11</v>
      </c>
      <c r="B9" s="7" t="s">
        <v>29</v>
      </c>
      <c r="C9" s="8" t="s">
        <v>30</v>
      </c>
      <c r="D9" s="8" t="s">
        <v>31</v>
      </c>
      <c r="E9" s="91" t="s">
        <v>15</v>
      </c>
      <c r="F9" s="91" t="s">
        <v>16</v>
      </c>
      <c r="G9" s="32"/>
      <c r="H9" s="8"/>
      <c r="I9" s="8">
        <v>2</v>
      </c>
      <c r="J9" s="105"/>
    </row>
    <row r="10" spans="1:10" ht="76.5" customHeight="1" x14ac:dyDescent="0.25">
      <c r="A10" s="90" t="s">
        <v>11</v>
      </c>
      <c r="B10" s="7" t="s">
        <v>32</v>
      </c>
      <c r="C10" s="8" t="s">
        <v>33</v>
      </c>
      <c r="D10" s="8" t="s">
        <v>34</v>
      </c>
      <c r="E10" s="91" t="s">
        <v>15</v>
      </c>
      <c r="F10" s="91" t="s">
        <v>16</v>
      </c>
      <c r="G10" s="32"/>
      <c r="H10" s="8"/>
      <c r="I10" s="8">
        <v>2</v>
      </c>
      <c r="J10" s="105"/>
    </row>
    <row r="11" spans="1:10" ht="117.6" customHeight="1" x14ac:dyDescent="0.25">
      <c r="A11" s="90" t="s">
        <v>35</v>
      </c>
      <c r="B11" s="7" t="s">
        <v>36</v>
      </c>
      <c r="C11" s="8" t="s">
        <v>37</v>
      </c>
      <c r="D11" s="8" t="s">
        <v>38</v>
      </c>
      <c r="E11" s="8" t="s">
        <v>39</v>
      </c>
      <c r="F11" s="8" t="s">
        <v>40</v>
      </c>
      <c r="G11" s="32"/>
      <c r="H11" s="8">
        <v>1</v>
      </c>
      <c r="I11" s="8"/>
      <c r="J11" s="105">
        <f>SUM(G11:I14)</f>
        <v>6</v>
      </c>
    </row>
    <row r="12" spans="1:10" ht="93" customHeight="1" x14ac:dyDescent="0.25">
      <c r="A12" s="90" t="s">
        <v>35</v>
      </c>
      <c r="B12" s="7" t="s">
        <v>41</v>
      </c>
      <c r="C12" s="8" t="s">
        <v>42</v>
      </c>
      <c r="D12" s="8" t="s">
        <v>43</v>
      </c>
      <c r="E12" s="8" t="s">
        <v>44</v>
      </c>
      <c r="F12" s="8" t="s">
        <v>40</v>
      </c>
      <c r="G12" s="32"/>
      <c r="H12" s="8"/>
      <c r="I12" s="8">
        <v>2</v>
      </c>
      <c r="J12" s="105"/>
    </row>
    <row r="13" spans="1:10" ht="76.5" customHeight="1" x14ac:dyDescent="0.25">
      <c r="A13" s="90" t="s">
        <v>35</v>
      </c>
      <c r="B13" s="7" t="s">
        <v>45</v>
      </c>
      <c r="C13" s="8" t="s">
        <v>46</v>
      </c>
      <c r="D13" s="8" t="s">
        <v>47</v>
      </c>
      <c r="E13" s="8" t="s">
        <v>48</v>
      </c>
      <c r="F13" s="8" t="s">
        <v>40</v>
      </c>
      <c r="G13" s="32"/>
      <c r="H13" s="8">
        <v>1</v>
      </c>
      <c r="I13" s="8"/>
      <c r="J13" s="105"/>
    </row>
    <row r="14" spans="1:10" ht="93.6" customHeight="1" x14ac:dyDescent="0.25">
      <c r="A14" s="90" t="s">
        <v>35</v>
      </c>
      <c r="B14" s="7" t="s">
        <v>49</v>
      </c>
      <c r="C14" s="8" t="s">
        <v>50</v>
      </c>
      <c r="D14" s="8" t="s">
        <v>51</v>
      </c>
      <c r="E14" s="8" t="s">
        <v>52</v>
      </c>
      <c r="F14" s="8" t="s">
        <v>40</v>
      </c>
      <c r="G14" s="32"/>
      <c r="H14" s="8"/>
      <c r="I14" s="8">
        <v>2</v>
      </c>
      <c r="J14" s="105"/>
    </row>
    <row r="15" spans="1:10" ht="78.599999999999994" customHeight="1" x14ac:dyDescent="0.25">
      <c r="A15" s="9" t="s">
        <v>53</v>
      </c>
      <c r="B15" s="7" t="s">
        <v>54</v>
      </c>
      <c r="C15" s="8" t="s">
        <v>55</v>
      </c>
      <c r="D15" s="11" t="s">
        <v>56</v>
      </c>
      <c r="E15" s="8" t="s">
        <v>57</v>
      </c>
      <c r="F15" s="8" t="s">
        <v>58</v>
      </c>
      <c r="G15" s="32"/>
      <c r="H15" s="8">
        <v>1</v>
      </c>
      <c r="I15" s="8"/>
      <c r="J15" s="10">
        <f>SUM(G15:I15)</f>
        <v>1</v>
      </c>
    </row>
    <row r="16" spans="1:10" ht="65.650000000000006" customHeight="1" x14ac:dyDescent="0.25">
      <c r="A16" s="90" t="s">
        <v>59</v>
      </c>
      <c r="B16" s="7" t="s">
        <v>60</v>
      </c>
      <c r="C16" s="8" t="s">
        <v>61</v>
      </c>
      <c r="D16" s="8" t="s">
        <v>62</v>
      </c>
      <c r="E16" s="8" t="s">
        <v>63</v>
      </c>
      <c r="F16" s="8" t="s">
        <v>58</v>
      </c>
      <c r="G16" s="32"/>
      <c r="H16" s="8"/>
      <c r="I16" s="8">
        <v>2</v>
      </c>
      <c r="J16" s="105">
        <f>SUM(G16:I17)</f>
        <v>4</v>
      </c>
    </row>
    <row r="17" spans="1:10" ht="67.150000000000006" customHeight="1" x14ac:dyDescent="0.25">
      <c r="A17" s="90" t="s">
        <v>59</v>
      </c>
      <c r="B17" s="7" t="s">
        <v>64</v>
      </c>
      <c r="C17" s="8" t="s">
        <v>65</v>
      </c>
      <c r="D17" s="8" t="s">
        <v>66</v>
      </c>
      <c r="E17" s="8" t="s">
        <v>67</v>
      </c>
      <c r="F17" s="8" t="s">
        <v>40</v>
      </c>
      <c r="G17" s="32"/>
      <c r="H17" s="8"/>
      <c r="I17" s="8">
        <v>2</v>
      </c>
      <c r="J17" s="105"/>
    </row>
    <row r="18" spans="1:10" ht="15" customHeight="1" thickBot="1" x14ac:dyDescent="0.3">
      <c r="A18" s="106" t="s">
        <v>82</v>
      </c>
      <c r="B18" s="106"/>
      <c r="C18" s="106"/>
      <c r="D18" s="106"/>
      <c r="E18" s="106"/>
      <c r="F18" s="107"/>
      <c r="G18" s="14">
        <f t="shared" ref="G18:H18" si="0">SUM(G4:G17)</f>
        <v>0</v>
      </c>
      <c r="H18" s="14">
        <f t="shared" si="0"/>
        <v>5</v>
      </c>
      <c r="I18" s="14">
        <f>SUM(I4:I17)</f>
        <v>18</v>
      </c>
      <c r="J18" s="14">
        <f>SUM(J4:J17)</f>
        <v>23</v>
      </c>
    </row>
    <row r="20" spans="1:10" x14ac:dyDescent="0.25">
      <c r="A20" s="108"/>
      <c r="B20" s="108"/>
      <c r="C20" s="108"/>
      <c r="D20" s="108"/>
      <c r="E20" s="108"/>
      <c r="F20" s="108"/>
      <c r="G20" s="108"/>
      <c r="H20" s="108"/>
    </row>
    <row r="21" spans="1:10" ht="15.75" thickBot="1" x14ac:dyDescent="0.3"/>
    <row r="22" spans="1:10" ht="64.5" thickBot="1" x14ac:dyDescent="0.3">
      <c r="A22" s="1" t="s">
        <v>69</v>
      </c>
      <c r="B22" s="2" t="s">
        <v>70</v>
      </c>
      <c r="C22" s="2" t="s">
        <v>71</v>
      </c>
      <c r="D22" s="2" t="s">
        <v>72</v>
      </c>
      <c r="E22" s="102" t="s">
        <v>259</v>
      </c>
      <c r="F22" s="13" t="s">
        <v>73</v>
      </c>
      <c r="G22" s="13" t="s">
        <v>74</v>
      </c>
      <c r="H22" s="13" t="s">
        <v>75</v>
      </c>
    </row>
    <row r="23" spans="1:10" ht="64.5" thickBot="1" x14ac:dyDescent="0.3">
      <c r="A23" s="3" t="s">
        <v>76</v>
      </c>
      <c r="B23" s="5">
        <v>7</v>
      </c>
      <c r="C23" s="5">
        <v>14</v>
      </c>
      <c r="D23" s="4">
        <v>0.25</v>
      </c>
      <c r="E23" s="103"/>
      <c r="F23" s="5">
        <v>12</v>
      </c>
      <c r="G23" s="12">
        <f>F23/C23</f>
        <v>0.8571428571428571</v>
      </c>
      <c r="H23" s="4">
        <f>G23*D23</f>
        <v>0.21428571428571427</v>
      </c>
    </row>
    <row r="24" spans="1:10" ht="39" thickBot="1" x14ac:dyDescent="0.3">
      <c r="A24" s="3" t="s">
        <v>77</v>
      </c>
      <c r="B24" s="5">
        <v>4</v>
      </c>
      <c r="C24" s="5">
        <v>8</v>
      </c>
      <c r="D24" s="4">
        <v>0.25</v>
      </c>
      <c r="E24" s="103"/>
      <c r="F24" s="5">
        <v>6</v>
      </c>
      <c r="G24" s="12">
        <f t="shared" ref="G24:G26" si="1">F24/C24</f>
        <v>0.75</v>
      </c>
      <c r="H24" s="4">
        <f>G24*D24</f>
        <v>0.1875</v>
      </c>
    </row>
    <row r="25" spans="1:10" ht="64.5" thickBot="1" x14ac:dyDescent="0.3">
      <c r="A25" s="3" t="s">
        <v>78</v>
      </c>
      <c r="B25" s="5">
        <v>1</v>
      </c>
      <c r="C25" s="5">
        <v>2</v>
      </c>
      <c r="D25" s="4">
        <v>0.25</v>
      </c>
      <c r="E25" s="103"/>
      <c r="F25" s="5">
        <v>1</v>
      </c>
      <c r="G25" s="12">
        <f t="shared" si="1"/>
        <v>0.5</v>
      </c>
      <c r="H25" s="4">
        <f>G25*D25</f>
        <v>0.125</v>
      </c>
    </row>
    <row r="26" spans="1:10" ht="26.25" thickBot="1" x14ac:dyDescent="0.3">
      <c r="A26" s="3" t="s">
        <v>79</v>
      </c>
      <c r="B26" s="5">
        <v>2</v>
      </c>
      <c r="C26" s="5">
        <v>4</v>
      </c>
      <c r="D26" s="4">
        <v>0.25</v>
      </c>
      <c r="E26" s="103"/>
      <c r="F26" s="5">
        <v>4</v>
      </c>
      <c r="G26" s="12">
        <f t="shared" si="1"/>
        <v>1</v>
      </c>
      <c r="H26" s="4">
        <f>G26*D26</f>
        <v>0.25</v>
      </c>
    </row>
    <row r="27" spans="1:10" ht="16.5" thickBot="1" x14ac:dyDescent="0.3">
      <c r="A27" s="15" t="s">
        <v>80</v>
      </c>
      <c r="B27" s="16">
        <f>SUM(B23:B26)</f>
        <v>14</v>
      </c>
      <c r="C27" s="16">
        <f>SUM(C23:C26)</f>
        <v>28</v>
      </c>
      <c r="D27" s="17">
        <f>SUM(D23:D26)</f>
        <v>1</v>
      </c>
      <c r="E27" s="104"/>
      <c r="F27" s="16">
        <f>SUM(F23:F26)</f>
        <v>23</v>
      </c>
      <c r="G27" s="16" t="s">
        <v>81</v>
      </c>
      <c r="H27" s="18">
        <f>SUM(H23:H26)</f>
        <v>0.7767857142857143</v>
      </c>
    </row>
  </sheetData>
  <mergeCells count="7">
    <mergeCell ref="E22:E27"/>
    <mergeCell ref="J11:J14"/>
    <mergeCell ref="A1:J1"/>
    <mergeCell ref="J4:J10"/>
    <mergeCell ref="J16:J17"/>
    <mergeCell ref="A18:F18"/>
    <mergeCell ref="A20:H20"/>
  </mergeCells>
  <conditionalFormatting sqref="G23:G26">
    <cfRule type="cellIs" dxfId="52" priority="1" operator="between">
      <formula>0.8</formula>
      <formula>1</formula>
    </cfRule>
    <cfRule type="cellIs" dxfId="51" priority="2" operator="between">
      <formula>0.41</formula>
      <formula>0.79</formula>
    </cfRule>
    <cfRule type="cellIs" dxfId="50" priority="3" operator="between">
      <formula>0</formula>
      <formula>0.4</formula>
    </cfRule>
  </conditionalFormatting>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199B-773D-4FE8-87BE-5B0AD5BD04C1}">
  <dimension ref="A1:J27"/>
  <sheetViews>
    <sheetView topLeftCell="A16" workbookViewId="0">
      <selection activeCell="E22" sqref="E22:E27"/>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96">
        <v>1</v>
      </c>
      <c r="I4" s="8"/>
      <c r="J4" s="105">
        <f>SUM(G4:I10)</f>
        <v>12</v>
      </c>
    </row>
    <row r="5" spans="1:10" ht="52.15" customHeight="1" x14ac:dyDescent="0.25">
      <c r="A5" s="90" t="s">
        <v>11</v>
      </c>
      <c r="B5" s="7" t="s">
        <v>17</v>
      </c>
      <c r="C5" s="8" t="s">
        <v>18</v>
      </c>
      <c r="D5" s="8" t="s">
        <v>19</v>
      </c>
      <c r="E5" s="91" t="s">
        <v>15</v>
      </c>
      <c r="F5" s="91" t="s">
        <v>16</v>
      </c>
      <c r="G5" s="8"/>
      <c r="H5" s="8"/>
      <c r="I5" s="95">
        <v>2</v>
      </c>
      <c r="J5" s="105"/>
    </row>
    <row r="6" spans="1:10" ht="44.65" customHeight="1" x14ac:dyDescent="0.25">
      <c r="A6" s="90" t="s">
        <v>11</v>
      </c>
      <c r="B6" s="7" t="s">
        <v>20</v>
      </c>
      <c r="C6" s="8" t="s">
        <v>21</v>
      </c>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8"/>
      <c r="I8" s="95">
        <v>2</v>
      </c>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96">
        <v>1</v>
      </c>
      <c r="I10" s="8"/>
      <c r="J10" s="105"/>
    </row>
    <row r="11" spans="1:10" ht="117.6" customHeight="1" x14ac:dyDescent="0.25">
      <c r="A11" s="90" t="s">
        <v>35</v>
      </c>
      <c r="B11" s="7" t="s">
        <v>36</v>
      </c>
      <c r="C11" s="8" t="s">
        <v>37</v>
      </c>
      <c r="D11" s="8" t="s">
        <v>38</v>
      </c>
      <c r="E11" s="8" t="s">
        <v>39</v>
      </c>
      <c r="F11" s="8" t="s">
        <v>40</v>
      </c>
      <c r="G11" s="8"/>
      <c r="H11" s="8"/>
      <c r="I11" s="95">
        <v>2</v>
      </c>
      <c r="J11" s="105">
        <f>SUM(G11:I14)</f>
        <v>8</v>
      </c>
    </row>
    <row r="12" spans="1:10" ht="93" customHeight="1" x14ac:dyDescent="0.25">
      <c r="A12" s="90" t="s">
        <v>35</v>
      </c>
      <c r="B12" s="7" t="s">
        <v>41</v>
      </c>
      <c r="C12" s="8" t="s">
        <v>42</v>
      </c>
      <c r="D12" s="8" t="s">
        <v>43</v>
      </c>
      <c r="E12" s="8" t="s">
        <v>44</v>
      </c>
      <c r="F12" s="8" t="s">
        <v>40</v>
      </c>
      <c r="G12" s="32"/>
      <c r="H12" s="8"/>
      <c r="I12" s="95">
        <v>2</v>
      </c>
      <c r="J12" s="105"/>
    </row>
    <row r="13" spans="1:10" ht="76.5" customHeight="1" x14ac:dyDescent="0.25">
      <c r="A13" s="90" t="s">
        <v>35</v>
      </c>
      <c r="B13" s="7" t="s">
        <v>45</v>
      </c>
      <c r="C13" s="8" t="s">
        <v>46</v>
      </c>
      <c r="D13" s="8" t="s">
        <v>47</v>
      </c>
      <c r="E13" s="8" t="s">
        <v>48</v>
      </c>
      <c r="F13" s="8" t="s">
        <v>40</v>
      </c>
      <c r="G13" s="32"/>
      <c r="H13" s="8"/>
      <c r="I13" s="95">
        <v>2</v>
      </c>
      <c r="J13" s="105"/>
    </row>
    <row r="14" spans="1:10" ht="93.6" customHeight="1" x14ac:dyDescent="0.25">
      <c r="A14" s="90" t="s">
        <v>35</v>
      </c>
      <c r="B14" s="7" t="s">
        <v>49</v>
      </c>
      <c r="C14" s="8" t="s">
        <v>50</v>
      </c>
      <c r="D14" s="8" t="s">
        <v>51</v>
      </c>
      <c r="E14" s="8" t="s">
        <v>52</v>
      </c>
      <c r="F14" s="8" t="s">
        <v>40</v>
      </c>
      <c r="G14" s="32"/>
      <c r="H14" s="8"/>
      <c r="I14" s="95">
        <v>2</v>
      </c>
      <c r="J14" s="105"/>
    </row>
    <row r="15" spans="1:10" ht="78.599999999999994" customHeight="1" x14ac:dyDescent="0.25">
      <c r="A15" s="9" t="s">
        <v>53</v>
      </c>
      <c r="B15" s="7" t="s">
        <v>54</v>
      </c>
      <c r="C15" s="8" t="s">
        <v>55</v>
      </c>
      <c r="D15" s="11" t="s">
        <v>56</v>
      </c>
      <c r="E15" s="8" t="s">
        <v>57</v>
      </c>
      <c r="F15" s="8" t="s">
        <v>58</v>
      </c>
      <c r="G15" s="32"/>
      <c r="H15" s="96">
        <v>1</v>
      </c>
      <c r="I15" s="8"/>
      <c r="J15" s="10">
        <f>SUM(G15:I15)</f>
        <v>1</v>
      </c>
    </row>
    <row r="16" spans="1:10" ht="65.650000000000006" customHeight="1" x14ac:dyDescent="0.25">
      <c r="A16" s="90" t="s">
        <v>59</v>
      </c>
      <c r="B16" s="7" t="s">
        <v>60</v>
      </c>
      <c r="C16" s="8" t="s">
        <v>61</v>
      </c>
      <c r="D16" s="8" t="s">
        <v>62</v>
      </c>
      <c r="E16" s="8" t="s">
        <v>63</v>
      </c>
      <c r="F16" s="8" t="s">
        <v>58</v>
      </c>
      <c r="G16" s="32"/>
      <c r="H16" s="8"/>
      <c r="I16" s="95">
        <v>2</v>
      </c>
      <c r="J16" s="105">
        <f>SUM(G16:I17)</f>
        <v>4</v>
      </c>
    </row>
    <row r="17" spans="1:10" ht="67.150000000000006" customHeight="1" x14ac:dyDescent="0.25">
      <c r="A17" s="90" t="s">
        <v>59</v>
      </c>
      <c r="B17" s="7" t="s">
        <v>64</v>
      </c>
      <c r="C17" s="8" t="s">
        <v>65</v>
      </c>
      <c r="D17" s="8" t="s">
        <v>66</v>
      </c>
      <c r="E17" s="8" t="s">
        <v>67</v>
      </c>
      <c r="F17" s="8" t="s">
        <v>40</v>
      </c>
      <c r="G17" s="32"/>
      <c r="H17" s="8"/>
      <c r="I17" s="95">
        <v>2</v>
      </c>
      <c r="J17" s="105"/>
    </row>
    <row r="18" spans="1:10" ht="15" customHeight="1" thickBot="1" x14ac:dyDescent="0.3">
      <c r="A18" s="106" t="s">
        <v>336</v>
      </c>
      <c r="B18" s="106"/>
      <c r="C18" s="106"/>
      <c r="D18" s="106"/>
      <c r="E18" s="106"/>
      <c r="F18" s="107"/>
      <c r="G18" s="14">
        <f t="shared" ref="G18:H18" si="0">SUM(G4:G17)</f>
        <v>0</v>
      </c>
      <c r="H18" s="14">
        <f t="shared" si="0"/>
        <v>3</v>
      </c>
      <c r="I18" s="14">
        <f>SUM(I4:I17)</f>
        <v>22</v>
      </c>
      <c r="J18" s="14">
        <f>SUM(J4:J17)</f>
        <v>25</v>
      </c>
    </row>
    <row r="20" spans="1:10" x14ac:dyDescent="0.25">
      <c r="A20" s="108"/>
      <c r="B20" s="108"/>
      <c r="C20" s="108"/>
      <c r="D20" s="108"/>
      <c r="E20" s="108"/>
      <c r="F20" s="108"/>
      <c r="G20" s="108"/>
      <c r="H20" s="108"/>
    </row>
    <row r="21" spans="1:10" ht="15.75" thickBot="1" x14ac:dyDescent="0.3"/>
    <row r="22" spans="1:10" ht="64.5" thickBot="1" x14ac:dyDescent="0.3">
      <c r="A22" s="1" t="s">
        <v>69</v>
      </c>
      <c r="B22" s="2" t="s">
        <v>70</v>
      </c>
      <c r="C22" s="2" t="s">
        <v>71</v>
      </c>
      <c r="D22" s="2" t="s">
        <v>72</v>
      </c>
      <c r="E22" s="102" t="s">
        <v>351</v>
      </c>
      <c r="F22" s="13" t="s">
        <v>73</v>
      </c>
      <c r="G22" s="13" t="s">
        <v>74</v>
      </c>
      <c r="H22" s="13" t="s">
        <v>75</v>
      </c>
    </row>
    <row r="23" spans="1:10" ht="64.5" thickBot="1" x14ac:dyDescent="0.3">
      <c r="A23" s="3" t="s">
        <v>76</v>
      </c>
      <c r="B23" s="5">
        <v>7</v>
      </c>
      <c r="C23" s="5">
        <v>14</v>
      </c>
      <c r="D23" s="4">
        <v>0.25</v>
      </c>
      <c r="E23" s="103"/>
      <c r="F23" s="5">
        <v>12</v>
      </c>
      <c r="G23" s="12">
        <f>F23/C23</f>
        <v>0.8571428571428571</v>
      </c>
      <c r="H23" s="4">
        <f>G23*D23</f>
        <v>0.21428571428571427</v>
      </c>
    </row>
    <row r="24" spans="1:10" ht="39" thickBot="1" x14ac:dyDescent="0.3">
      <c r="A24" s="3" t="s">
        <v>77</v>
      </c>
      <c r="B24" s="5">
        <v>4</v>
      </c>
      <c r="C24" s="5">
        <v>8</v>
      </c>
      <c r="D24" s="4">
        <v>0.25</v>
      </c>
      <c r="E24" s="103"/>
      <c r="F24" s="5">
        <v>8</v>
      </c>
      <c r="G24" s="12">
        <f t="shared" ref="G24:G26" si="1">F24/C24</f>
        <v>1</v>
      </c>
      <c r="H24" s="4">
        <f>G24*D24</f>
        <v>0.25</v>
      </c>
    </row>
    <row r="25" spans="1:10" ht="64.5" thickBot="1" x14ac:dyDescent="0.3">
      <c r="A25" s="3" t="s">
        <v>78</v>
      </c>
      <c r="B25" s="5">
        <v>1</v>
      </c>
      <c r="C25" s="5">
        <v>2</v>
      </c>
      <c r="D25" s="4">
        <v>0.25</v>
      </c>
      <c r="E25" s="103"/>
      <c r="F25" s="5">
        <v>1</v>
      </c>
      <c r="G25" s="12">
        <f t="shared" si="1"/>
        <v>0.5</v>
      </c>
      <c r="H25" s="4">
        <f>G25*D25</f>
        <v>0.125</v>
      </c>
    </row>
    <row r="26" spans="1:10" ht="26.25" thickBot="1" x14ac:dyDescent="0.3">
      <c r="A26" s="3" t="s">
        <v>79</v>
      </c>
      <c r="B26" s="5">
        <v>2</v>
      </c>
      <c r="C26" s="5">
        <v>4</v>
      </c>
      <c r="D26" s="4">
        <v>0.25</v>
      </c>
      <c r="E26" s="103"/>
      <c r="F26" s="5">
        <v>4</v>
      </c>
      <c r="G26" s="12">
        <f t="shared" si="1"/>
        <v>1</v>
      </c>
      <c r="H26" s="4">
        <f>G26*D26</f>
        <v>0.25</v>
      </c>
    </row>
    <row r="27" spans="1:10" ht="16.5" thickBot="1" x14ac:dyDescent="0.3">
      <c r="A27" s="15" t="s">
        <v>80</v>
      </c>
      <c r="B27" s="16">
        <f>SUM(B23:B26)</f>
        <v>14</v>
      </c>
      <c r="C27" s="16">
        <f>SUM(C23:C26)</f>
        <v>28</v>
      </c>
      <c r="D27" s="17">
        <f>SUM(D23:D26)</f>
        <v>1</v>
      </c>
      <c r="E27" s="104"/>
      <c r="F27" s="16">
        <f>SUM(F23:F26)</f>
        <v>25</v>
      </c>
      <c r="G27" s="16" t="s">
        <v>81</v>
      </c>
      <c r="H27" s="18">
        <f>SUM(H23:H26)</f>
        <v>0.8392857142857143</v>
      </c>
    </row>
  </sheetData>
  <mergeCells count="7">
    <mergeCell ref="E22:E27"/>
    <mergeCell ref="J11:J14"/>
    <mergeCell ref="A1:J1"/>
    <mergeCell ref="J4:J10"/>
    <mergeCell ref="J16:J17"/>
    <mergeCell ref="A18:F18"/>
    <mergeCell ref="A20:H20"/>
  </mergeCells>
  <conditionalFormatting sqref="G23:G26">
    <cfRule type="cellIs" dxfId="49" priority="1" operator="between">
      <formula>0.8</formula>
      <formula>1</formula>
    </cfRule>
    <cfRule type="cellIs" dxfId="48" priority="2" operator="between">
      <formula>0.41</formula>
      <formula>0.79</formula>
    </cfRule>
    <cfRule type="cellIs" dxfId="47" priority="3" operator="between">
      <formula>0</formula>
      <formula>0.4</formula>
    </cfRule>
  </conditionalFormatting>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ADD8F-C9CB-4DFA-8A44-FE0103A2DFC9}">
  <dimension ref="A1:J27"/>
  <sheetViews>
    <sheetView topLeftCell="B18" workbookViewId="0">
      <selection activeCell="F24" sqref="F24"/>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v>0</v>
      </c>
      <c r="H4" s="8"/>
      <c r="I4" s="8"/>
      <c r="J4" s="105">
        <f>SUM(G4:I10)</f>
        <v>8</v>
      </c>
    </row>
    <row r="5" spans="1:10" ht="52.15" customHeight="1" x14ac:dyDescent="0.25">
      <c r="A5" s="90" t="s">
        <v>11</v>
      </c>
      <c r="B5" s="7" t="s">
        <v>17</v>
      </c>
      <c r="C5" s="8" t="s">
        <v>18</v>
      </c>
      <c r="D5" s="8" t="s">
        <v>19</v>
      </c>
      <c r="E5" s="91" t="s">
        <v>15</v>
      </c>
      <c r="F5" s="91" t="s">
        <v>16</v>
      </c>
      <c r="G5" s="8"/>
      <c r="H5" s="8"/>
      <c r="I5" s="8">
        <v>2</v>
      </c>
      <c r="J5" s="105"/>
    </row>
    <row r="6" spans="1:10" ht="44.65" customHeight="1" x14ac:dyDescent="0.25">
      <c r="A6" s="90" t="s">
        <v>11</v>
      </c>
      <c r="B6" s="7" t="s">
        <v>20</v>
      </c>
      <c r="C6" s="8" t="s">
        <v>21</v>
      </c>
      <c r="D6" s="8" t="s">
        <v>22</v>
      </c>
      <c r="E6" s="91" t="s">
        <v>15</v>
      </c>
      <c r="F6" s="91" t="s">
        <v>16</v>
      </c>
      <c r="G6" s="8"/>
      <c r="H6" s="8"/>
      <c r="I6" s="8">
        <v>2</v>
      </c>
      <c r="J6" s="105"/>
    </row>
    <row r="7" spans="1:10" ht="48.6" customHeight="1" x14ac:dyDescent="0.25">
      <c r="A7" s="90" t="s">
        <v>11</v>
      </c>
      <c r="B7" s="7" t="s">
        <v>23</v>
      </c>
      <c r="C7" s="8" t="s">
        <v>24</v>
      </c>
      <c r="D7" s="8" t="s">
        <v>25</v>
      </c>
      <c r="E7" s="91" t="s">
        <v>15</v>
      </c>
      <c r="F7" s="91" t="s">
        <v>16</v>
      </c>
      <c r="G7" s="8"/>
      <c r="H7" s="8"/>
      <c r="I7" s="8">
        <v>2</v>
      </c>
      <c r="J7" s="105"/>
    </row>
    <row r="8" spans="1:10" ht="52.5" customHeight="1" x14ac:dyDescent="0.25">
      <c r="A8" s="90" t="s">
        <v>11</v>
      </c>
      <c r="B8" s="7" t="s">
        <v>26</v>
      </c>
      <c r="C8" s="8" t="s">
        <v>27</v>
      </c>
      <c r="D8" s="8" t="s">
        <v>28</v>
      </c>
      <c r="E8" s="91" t="s">
        <v>15</v>
      </c>
      <c r="F8" s="91" t="s">
        <v>16</v>
      </c>
      <c r="G8" s="8"/>
      <c r="H8" s="8">
        <v>1</v>
      </c>
      <c r="I8" s="8"/>
      <c r="J8" s="105"/>
    </row>
    <row r="9" spans="1:10" ht="44.65" customHeight="1" x14ac:dyDescent="0.25">
      <c r="A9" s="90" t="s">
        <v>11</v>
      </c>
      <c r="B9" s="7" t="s">
        <v>29</v>
      </c>
      <c r="C9" s="8" t="s">
        <v>30</v>
      </c>
      <c r="D9" s="8" t="s">
        <v>31</v>
      </c>
      <c r="E9" s="91" t="s">
        <v>15</v>
      </c>
      <c r="F9" s="91" t="s">
        <v>16</v>
      </c>
      <c r="G9" s="8"/>
      <c r="H9" s="8">
        <v>1</v>
      </c>
      <c r="I9" s="8"/>
      <c r="J9" s="105"/>
    </row>
    <row r="10" spans="1:10" ht="65.099999999999994" customHeight="1" x14ac:dyDescent="0.25">
      <c r="A10" s="90" t="s">
        <v>11</v>
      </c>
      <c r="B10" s="7" t="s">
        <v>32</v>
      </c>
      <c r="C10" s="8" t="s">
        <v>33</v>
      </c>
      <c r="D10" s="8" t="s">
        <v>34</v>
      </c>
      <c r="E10" s="91" t="s">
        <v>15</v>
      </c>
      <c r="F10" s="91" t="s">
        <v>16</v>
      </c>
      <c r="G10" s="8">
        <v>0</v>
      </c>
      <c r="H10" s="8"/>
      <c r="I10" s="8"/>
      <c r="J10" s="105"/>
    </row>
    <row r="11" spans="1:10" ht="117.6" customHeight="1" x14ac:dyDescent="0.25">
      <c r="A11" s="90" t="s">
        <v>35</v>
      </c>
      <c r="B11" s="7" t="s">
        <v>36</v>
      </c>
      <c r="C11" s="8" t="s">
        <v>37</v>
      </c>
      <c r="D11" s="8" t="s">
        <v>38</v>
      </c>
      <c r="E11" s="8" t="s">
        <v>39</v>
      </c>
      <c r="F11" s="8" t="s">
        <v>40</v>
      </c>
      <c r="G11" s="8">
        <v>0</v>
      </c>
      <c r="H11" s="8"/>
      <c r="I11" s="8"/>
      <c r="J11" s="105">
        <f>SUM(G11:I14)</f>
        <v>5</v>
      </c>
    </row>
    <row r="12" spans="1:10" ht="93" customHeight="1" x14ac:dyDescent="0.25">
      <c r="A12" s="90" t="s">
        <v>35</v>
      </c>
      <c r="B12" s="7" t="s">
        <v>41</v>
      </c>
      <c r="C12" s="8" t="s">
        <v>42</v>
      </c>
      <c r="D12" s="8" t="s">
        <v>43</v>
      </c>
      <c r="E12" s="8" t="s">
        <v>44</v>
      </c>
      <c r="F12" s="8" t="s">
        <v>40</v>
      </c>
      <c r="G12" s="8"/>
      <c r="H12" s="8"/>
      <c r="I12" s="8">
        <v>2</v>
      </c>
      <c r="J12" s="105"/>
    </row>
    <row r="13" spans="1:10" ht="76.5" customHeight="1" x14ac:dyDescent="0.25">
      <c r="A13" s="90" t="s">
        <v>35</v>
      </c>
      <c r="B13" s="7" t="s">
        <v>45</v>
      </c>
      <c r="C13" s="8" t="s">
        <v>46</v>
      </c>
      <c r="D13" s="8" t="s">
        <v>47</v>
      </c>
      <c r="E13" s="8" t="s">
        <v>48</v>
      </c>
      <c r="F13" s="8" t="s">
        <v>40</v>
      </c>
      <c r="G13" s="8"/>
      <c r="H13" s="8">
        <v>1</v>
      </c>
      <c r="I13" s="8"/>
      <c r="J13" s="105"/>
    </row>
    <row r="14" spans="1:10" ht="93.6" customHeight="1" x14ac:dyDescent="0.25">
      <c r="A14" s="90" t="s">
        <v>35</v>
      </c>
      <c r="B14" s="7" t="s">
        <v>49</v>
      </c>
      <c r="C14" s="8" t="s">
        <v>50</v>
      </c>
      <c r="D14" s="8" t="s">
        <v>51</v>
      </c>
      <c r="E14" s="8" t="s">
        <v>52</v>
      </c>
      <c r="F14" s="8" t="s">
        <v>40</v>
      </c>
      <c r="G14" s="8"/>
      <c r="H14" s="8"/>
      <c r="I14" s="8">
        <v>2</v>
      </c>
      <c r="J14" s="105"/>
    </row>
    <row r="15" spans="1:10" ht="78.599999999999994" customHeight="1" x14ac:dyDescent="0.25">
      <c r="A15" s="9" t="s">
        <v>53</v>
      </c>
      <c r="B15" s="7" t="s">
        <v>54</v>
      </c>
      <c r="C15" s="8" t="s">
        <v>55</v>
      </c>
      <c r="D15" s="11" t="s">
        <v>56</v>
      </c>
      <c r="E15" s="8" t="s">
        <v>57</v>
      </c>
      <c r="F15" s="8" t="s">
        <v>58</v>
      </c>
      <c r="G15" s="8">
        <v>0</v>
      </c>
      <c r="H15" s="8"/>
      <c r="I15" s="8"/>
      <c r="J15" s="10">
        <f>SUM(G15:I15)</f>
        <v>0</v>
      </c>
    </row>
    <row r="16" spans="1:10" ht="65.650000000000006" customHeight="1" x14ac:dyDescent="0.25">
      <c r="A16" s="90" t="s">
        <v>59</v>
      </c>
      <c r="B16" s="7" t="s">
        <v>60</v>
      </c>
      <c r="C16" s="8" t="s">
        <v>61</v>
      </c>
      <c r="D16" s="8" t="s">
        <v>62</v>
      </c>
      <c r="E16" s="8" t="s">
        <v>63</v>
      </c>
      <c r="F16" s="8" t="s">
        <v>58</v>
      </c>
      <c r="G16" s="8"/>
      <c r="H16" s="8"/>
      <c r="I16" s="8">
        <v>2</v>
      </c>
      <c r="J16" s="105">
        <f>SUM(G16:I17)</f>
        <v>4</v>
      </c>
    </row>
    <row r="17" spans="1:10" ht="67.150000000000006" customHeight="1" x14ac:dyDescent="0.25">
      <c r="A17" s="90" t="s">
        <v>59</v>
      </c>
      <c r="B17" s="7" t="s">
        <v>64</v>
      </c>
      <c r="C17" s="8" t="s">
        <v>65</v>
      </c>
      <c r="D17" s="8" t="s">
        <v>66</v>
      </c>
      <c r="E17" s="8" t="s">
        <v>67</v>
      </c>
      <c r="F17" s="8" t="s">
        <v>40</v>
      </c>
      <c r="G17" s="8"/>
      <c r="H17" s="8"/>
      <c r="I17" s="8">
        <v>2</v>
      </c>
      <c r="J17" s="105"/>
    </row>
    <row r="18" spans="1:10" ht="15" customHeight="1" thickBot="1" x14ac:dyDescent="0.3">
      <c r="A18" s="106" t="s">
        <v>83</v>
      </c>
      <c r="B18" s="106"/>
      <c r="C18" s="106"/>
      <c r="D18" s="106"/>
      <c r="E18" s="106"/>
      <c r="F18" s="107"/>
      <c r="G18" s="14">
        <f t="shared" ref="G18:H18" si="0">SUM(G4:G17)</f>
        <v>0</v>
      </c>
      <c r="H18" s="14">
        <f t="shared" si="0"/>
        <v>3</v>
      </c>
      <c r="I18" s="14">
        <f>SUM(I4:I17)</f>
        <v>14</v>
      </c>
      <c r="J18" s="14">
        <f>SUM(J4:J17)</f>
        <v>17</v>
      </c>
    </row>
    <row r="20" spans="1:10" x14ac:dyDescent="0.25">
      <c r="A20" s="108"/>
      <c r="B20" s="108"/>
      <c r="C20" s="108"/>
      <c r="D20" s="108"/>
      <c r="E20" s="108"/>
      <c r="F20" s="108"/>
      <c r="G20" s="108"/>
      <c r="H20" s="108"/>
    </row>
    <row r="21" spans="1:10" ht="15.75" thickBot="1" x14ac:dyDescent="0.3"/>
    <row r="22" spans="1:10" ht="64.5" thickBot="1" x14ac:dyDescent="0.3">
      <c r="A22" s="1" t="s">
        <v>69</v>
      </c>
      <c r="B22" s="2" t="s">
        <v>70</v>
      </c>
      <c r="C22" s="2" t="s">
        <v>71</v>
      </c>
      <c r="D22" s="2" t="s">
        <v>72</v>
      </c>
      <c r="E22" s="102" t="s">
        <v>352</v>
      </c>
      <c r="F22" s="13" t="s">
        <v>73</v>
      </c>
      <c r="G22" s="13" t="s">
        <v>74</v>
      </c>
      <c r="H22" s="13" t="s">
        <v>75</v>
      </c>
    </row>
    <row r="23" spans="1:10" ht="64.5" thickBot="1" x14ac:dyDescent="0.3">
      <c r="A23" s="3" t="s">
        <v>76</v>
      </c>
      <c r="B23" s="5">
        <v>7</v>
      </c>
      <c r="C23" s="5">
        <v>14</v>
      </c>
      <c r="D23" s="4">
        <v>0.25</v>
      </c>
      <c r="E23" s="103"/>
      <c r="F23" s="5">
        <v>8</v>
      </c>
      <c r="G23" s="12">
        <f>F23/C23</f>
        <v>0.5714285714285714</v>
      </c>
      <c r="H23" s="4">
        <f>G23*D23</f>
        <v>0.14285714285714285</v>
      </c>
    </row>
    <row r="24" spans="1:10" ht="39" thickBot="1" x14ac:dyDescent="0.3">
      <c r="A24" s="3" t="s">
        <v>77</v>
      </c>
      <c r="B24" s="5">
        <v>4</v>
      </c>
      <c r="C24" s="5">
        <v>8</v>
      </c>
      <c r="D24" s="4">
        <v>0.25</v>
      </c>
      <c r="E24" s="103"/>
      <c r="F24" s="5">
        <v>5</v>
      </c>
      <c r="G24" s="12">
        <f t="shared" ref="G24:G26" si="1">F24/C24</f>
        <v>0.625</v>
      </c>
      <c r="H24" s="4">
        <f>G24*D24</f>
        <v>0.15625</v>
      </c>
    </row>
    <row r="25" spans="1:10" ht="64.5" thickBot="1" x14ac:dyDescent="0.3">
      <c r="A25" s="3" t="s">
        <v>78</v>
      </c>
      <c r="B25" s="5">
        <v>1</v>
      </c>
      <c r="C25" s="5">
        <v>2</v>
      </c>
      <c r="D25" s="4">
        <v>0.25</v>
      </c>
      <c r="E25" s="103"/>
      <c r="F25" s="5">
        <v>0</v>
      </c>
      <c r="G25" s="12">
        <f t="shared" si="1"/>
        <v>0</v>
      </c>
      <c r="H25" s="4">
        <f>G25*D25</f>
        <v>0</v>
      </c>
    </row>
    <row r="26" spans="1:10" ht="26.25" thickBot="1" x14ac:dyDescent="0.3">
      <c r="A26" s="3" t="s">
        <v>79</v>
      </c>
      <c r="B26" s="5">
        <v>2</v>
      </c>
      <c r="C26" s="5">
        <v>4</v>
      </c>
      <c r="D26" s="4">
        <v>0.25</v>
      </c>
      <c r="E26" s="103"/>
      <c r="F26" s="5">
        <v>4</v>
      </c>
      <c r="G26" s="12">
        <f t="shared" si="1"/>
        <v>1</v>
      </c>
      <c r="H26" s="4">
        <f>G26*D26</f>
        <v>0.25</v>
      </c>
    </row>
    <row r="27" spans="1:10" ht="16.5" thickBot="1" x14ac:dyDescent="0.3">
      <c r="A27" s="15" t="s">
        <v>80</v>
      </c>
      <c r="B27" s="16">
        <f>SUM(B23:B26)</f>
        <v>14</v>
      </c>
      <c r="C27" s="16">
        <f>SUM(C23:C26)</f>
        <v>28</v>
      </c>
      <c r="D27" s="17">
        <f>SUM(D23:D26)</f>
        <v>1</v>
      </c>
      <c r="E27" s="104"/>
      <c r="F27" s="16">
        <f>SUM(F23:F26)</f>
        <v>17</v>
      </c>
      <c r="G27" s="16" t="s">
        <v>81</v>
      </c>
      <c r="H27" s="18">
        <f>SUM(H23:H26)</f>
        <v>0.54910714285714279</v>
      </c>
    </row>
  </sheetData>
  <mergeCells count="7">
    <mergeCell ref="E22:E27"/>
    <mergeCell ref="J11:J14"/>
    <mergeCell ref="A1:J1"/>
    <mergeCell ref="J4:J10"/>
    <mergeCell ref="J16:J17"/>
    <mergeCell ref="A18:F18"/>
    <mergeCell ref="A20:H20"/>
  </mergeCells>
  <conditionalFormatting sqref="G23:G26">
    <cfRule type="cellIs" dxfId="46" priority="1" operator="between">
      <formula>0.8</formula>
      <formula>1</formula>
    </cfRule>
    <cfRule type="cellIs" dxfId="45" priority="2" operator="between">
      <formula>0.41</formula>
      <formula>0.79</formula>
    </cfRule>
    <cfRule type="cellIs" dxfId="44" priority="3" operator="between">
      <formula>0</formula>
      <formula>0.4</formula>
    </cfRule>
  </conditionalFormatting>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AD2DE-3A9B-4B45-806B-2EDEF7416947}">
  <dimension ref="A1:J26"/>
  <sheetViews>
    <sheetView topLeftCell="A16" workbookViewId="0">
      <selection activeCell="H25" sqref="H25"/>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8"/>
      <c r="I4" s="95">
        <v>2</v>
      </c>
      <c r="J4" s="105">
        <f>SUM(G4:I10)</f>
        <v>12</v>
      </c>
    </row>
    <row r="5" spans="1:10" ht="52.15" customHeight="1" x14ac:dyDescent="0.25">
      <c r="A5" s="90" t="s">
        <v>11</v>
      </c>
      <c r="B5" s="7" t="s">
        <v>17</v>
      </c>
      <c r="C5" s="8" t="s">
        <v>18</v>
      </c>
      <c r="D5" s="8" t="s">
        <v>19</v>
      </c>
      <c r="E5" s="91" t="s">
        <v>15</v>
      </c>
      <c r="F5" s="91" t="s">
        <v>16</v>
      </c>
      <c r="G5" s="8"/>
      <c r="H5" s="96">
        <v>1</v>
      </c>
      <c r="I5" s="8"/>
      <c r="J5" s="105"/>
    </row>
    <row r="6" spans="1:10" ht="44.65" customHeight="1" x14ac:dyDescent="0.25">
      <c r="A6" s="90" t="s">
        <v>11</v>
      </c>
      <c r="B6" s="7" t="s">
        <v>20</v>
      </c>
      <c r="C6" s="8" t="s">
        <v>21</v>
      </c>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8"/>
      <c r="H7" s="8"/>
      <c r="I7" s="95">
        <v>2</v>
      </c>
      <c r="J7" s="105"/>
    </row>
    <row r="8" spans="1:10" ht="52.5" customHeight="1" x14ac:dyDescent="0.25">
      <c r="A8" s="90" t="s">
        <v>11</v>
      </c>
      <c r="B8" s="7" t="s">
        <v>26</v>
      </c>
      <c r="C8" s="8" t="s">
        <v>27</v>
      </c>
      <c r="D8" s="8" t="s">
        <v>28</v>
      </c>
      <c r="E8" s="91" t="s">
        <v>15</v>
      </c>
      <c r="F8" s="91" t="s">
        <v>16</v>
      </c>
      <c r="G8" s="8"/>
      <c r="H8" s="8"/>
      <c r="I8" s="95">
        <v>2</v>
      </c>
      <c r="J8" s="105"/>
    </row>
    <row r="9" spans="1:10" ht="44.65" customHeight="1" x14ac:dyDescent="0.25">
      <c r="A9" s="90" t="s">
        <v>11</v>
      </c>
      <c r="B9" s="7" t="s">
        <v>29</v>
      </c>
      <c r="C9" s="8" t="s">
        <v>30</v>
      </c>
      <c r="D9" s="8" t="s">
        <v>31</v>
      </c>
      <c r="E9" s="91" t="s">
        <v>15</v>
      </c>
      <c r="F9" s="91" t="s">
        <v>16</v>
      </c>
      <c r="G9" s="8"/>
      <c r="H9" s="96">
        <v>1</v>
      </c>
      <c r="I9" s="8"/>
      <c r="J9" s="105"/>
    </row>
    <row r="10" spans="1:10" ht="76.5" customHeight="1" x14ac:dyDescent="0.25">
      <c r="A10" s="90" t="s">
        <v>11</v>
      </c>
      <c r="B10" s="7" t="s">
        <v>32</v>
      </c>
      <c r="C10" s="8" t="s">
        <v>33</v>
      </c>
      <c r="D10" s="8" t="s">
        <v>34</v>
      </c>
      <c r="E10" s="91" t="s">
        <v>15</v>
      </c>
      <c r="F10" s="91" t="s">
        <v>16</v>
      </c>
      <c r="G10" s="8"/>
      <c r="H10" s="8"/>
      <c r="I10" s="95">
        <v>2</v>
      </c>
      <c r="J10" s="105"/>
    </row>
    <row r="11" spans="1:10" ht="117.6" customHeight="1" x14ac:dyDescent="0.25">
      <c r="A11" s="90" t="s">
        <v>35</v>
      </c>
      <c r="B11" s="7" t="s">
        <v>36</v>
      </c>
      <c r="C11" s="8" t="s">
        <v>37</v>
      </c>
      <c r="D11" s="8" t="s">
        <v>38</v>
      </c>
      <c r="E11" s="8" t="s">
        <v>39</v>
      </c>
      <c r="F11" s="8" t="s">
        <v>40</v>
      </c>
      <c r="G11" s="8"/>
      <c r="H11" s="8"/>
      <c r="I11" s="95">
        <v>2</v>
      </c>
      <c r="J11" s="105">
        <f>SUM(G11:I14)</f>
        <v>8</v>
      </c>
    </row>
    <row r="12" spans="1:10" ht="93" customHeight="1" x14ac:dyDescent="0.25">
      <c r="A12" s="90" t="s">
        <v>35</v>
      </c>
      <c r="B12" s="7" t="s">
        <v>41</v>
      </c>
      <c r="C12" s="8" t="s">
        <v>42</v>
      </c>
      <c r="D12" s="8" t="s">
        <v>43</v>
      </c>
      <c r="E12" s="8" t="s">
        <v>44</v>
      </c>
      <c r="F12" s="8" t="s">
        <v>40</v>
      </c>
      <c r="G12" s="32"/>
      <c r="H12" s="8"/>
      <c r="I12" s="95">
        <v>2</v>
      </c>
      <c r="J12" s="105"/>
    </row>
    <row r="13" spans="1:10" ht="76.5" customHeight="1" x14ac:dyDescent="0.25">
      <c r="A13" s="90" t="s">
        <v>35</v>
      </c>
      <c r="B13" s="7" t="s">
        <v>45</v>
      </c>
      <c r="C13" s="8" t="s">
        <v>46</v>
      </c>
      <c r="D13" s="8" t="s">
        <v>47</v>
      </c>
      <c r="E13" s="8" t="s">
        <v>48</v>
      </c>
      <c r="F13" s="8" t="s">
        <v>40</v>
      </c>
      <c r="G13" s="32"/>
      <c r="H13" s="8"/>
      <c r="I13" s="95">
        <v>2</v>
      </c>
      <c r="J13" s="105"/>
    </row>
    <row r="14" spans="1:10" ht="93.6" customHeight="1" x14ac:dyDescent="0.25">
      <c r="A14" s="90" t="s">
        <v>35</v>
      </c>
      <c r="B14" s="7" t="s">
        <v>49</v>
      </c>
      <c r="C14" s="8" t="s">
        <v>50</v>
      </c>
      <c r="D14" s="8" t="s">
        <v>51</v>
      </c>
      <c r="E14" s="8" t="s">
        <v>52</v>
      </c>
      <c r="F14" s="8" t="s">
        <v>40</v>
      </c>
      <c r="G14" s="32"/>
      <c r="H14" s="8"/>
      <c r="I14" s="95">
        <v>2</v>
      </c>
      <c r="J14" s="105"/>
    </row>
    <row r="15" spans="1:10" ht="78.599999999999994" customHeight="1" x14ac:dyDescent="0.25">
      <c r="A15" s="9" t="s">
        <v>53</v>
      </c>
      <c r="B15" s="7" t="s">
        <v>54</v>
      </c>
      <c r="C15" s="8" t="s">
        <v>55</v>
      </c>
      <c r="D15" s="11" t="s">
        <v>56</v>
      </c>
      <c r="E15" s="8" t="s">
        <v>57</v>
      </c>
      <c r="F15" s="8" t="s">
        <v>58</v>
      </c>
      <c r="G15" s="32"/>
      <c r="H15" s="8"/>
      <c r="I15" s="95">
        <v>2</v>
      </c>
      <c r="J15" s="10">
        <f>SUM(G15:I15)</f>
        <v>2</v>
      </c>
    </row>
    <row r="16" spans="1:10" ht="65.650000000000006" customHeight="1" x14ac:dyDescent="0.25">
      <c r="A16" s="90" t="s">
        <v>59</v>
      </c>
      <c r="B16" s="7" t="s">
        <v>60</v>
      </c>
      <c r="C16" s="8" t="s">
        <v>61</v>
      </c>
      <c r="D16" s="8" t="s">
        <v>62</v>
      </c>
      <c r="E16" s="8" t="s">
        <v>63</v>
      </c>
      <c r="F16" s="8" t="s">
        <v>58</v>
      </c>
      <c r="G16" s="32"/>
      <c r="H16" s="8"/>
      <c r="I16" s="95">
        <v>2</v>
      </c>
      <c r="J16" s="105">
        <f>SUM(G16:I17)</f>
        <v>4</v>
      </c>
    </row>
    <row r="17" spans="1:10" ht="67.150000000000006" customHeight="1" x14ac:dyDescent="0.25">
      <c r="A17" s="90" t="s">
        <v>59</v>
      </c>
      <c r="B17" s="7" t="s">
        <v>64</v>
      </c>
      <c r="C17" s="8" t="s">
        <v>65</v>
      </c>
      <c r="D17" s="8" t="s">
        <v>66</v>
      </c>
      <c r="E17" s="8" t="s">
        <v>67</v>
      </c>
      <c r="F17" s="8" t="s">
        <v>40</v>
      </c>
      <c r="G17" s="32"/>
      <c r="H17" s="8"/>
      <c r="I17" s="95">
        <v>2</v>
      </c>
      <c r="J17" s="105"/>
    </row>
    <row r="18" spans="1:10" ht="15" customHeight="1" thickBot="1" x14ac:dyDescent="0.3">
      <c r="A18" s="106" t="s">
        <v>381</v>
      </c>
      <c r="B18" s="106"/>
      <c r="C18" s="106"/>
      <c r="D18" s="106"/>
      <c r="E18" s="106"/>
      <c r="F18" s="107"/>
      <c r="G18" s="14"/>
      <c r="H18" s="14">
        <f t="shared" ref="H18" si="0">SUM(H4:H17)</f>
        <v>2</v>
      </c>
      <c r="I18" s="14">
        <f>SUM(I4:I17)</f>
        <v>24</v>
      </c>
      <c r="J18" s="14">
        <f>SUM(J4:J17)</f>
        <v>26</v>
      </c>
    </row>
    <row r="20" spans="1:10" ht="15.75" thickBot="1" x14ac:dyDescent="0.3"/>
    <row r="21" spans="1:10" ht="64.5" thickBot="1" x14ac:dyDescent="0.3">
      <c r="A21" s="1" t="s">
        <v>69</v>
      </c>
      <c r="B21" s="2" t="s">
        <v>70</v>
      </c>
      <c r="C21" s="2" t="s">
        <v>71</v>
      </c>
      <c r="D21" s="2" t="s">
        <v>72</v>
      </c>
      <c r="E21" s="102" t="s">
        <v>353</v>
      </c>
      <c r="F21" s="13" t="s">
        <v>73</v>
      </c>
      <c r="G21" s="13" t="s">
        <v>74</v>
      </c>
      <c r="H21" s="13" t="s">
        <v>75</v>
      </c>
    </row>
    <row r="22" spans="1:10" ht="64.5" thickBot="1" x14ac:dyDescent="0.3">
      <c r="A22" s="3" t="s">
        <v>76</v>
      </c>
      <c r="B22" s="5">
        <v>7</v>
      </c>
      <c r="C22" s="5">
        <v>14</v>
      </c>
      <c r="D22" s="4">
        <v>0.25</v>
      </c>
      <c r="E22" s="103"/>
      <c r="F22" s="5">
        <v>12</v>
      </c>
      <c r="G22" s="12">
        <f>F22/C22</f>
        <v>0.8571428571428571</v>
      </c>
      <c r="H22" s="4">
        <f>G22*D22</f>
        <v>0.21428571428571427</v>
      </c>
    </row>
    <row r="23" spans="1:10" ht="39" thickBot="1" x14ac:dyDescent="0.3">
      <c r="A23" s="3" t="s">
        <v>77</v>
      </c>
      <c r="B23" s="5">
        <v>4</v>
      </c>
      <c r="C23" s="5">
        <v>8</v>
      </c>
      <c r="D23" s="4">
        <v>0.25</v>
      </c>
      <c r="E23" s="103"/>
      <c r="F23" s="5">
        <v>8</v>
      </c>
      <c r="G23" s="12">
        <f t="shared" ref="G23:G25" si="1">F23/C23</f>
        <v>1</v>
      </c>
      <c r="H23" s="4">
        <f>G23*D23</f>
        <v>0.25</v>
      </c>
    </row>
    <row r="24" spans="1:10" ht="64.5" thickBot="1" x14ac:dyDescent="0.3">
      <c r="A24" s="3" t="s">
        <v>78</v>
      </c>
      <c r="B24" s="5">
        <v>1</v>
      </c>
      <c r="C24" s="5">
        <v>2</v>
      </c>
      <c r="D24" s="4">
        <v>0.25</v>
      </c>
      <c r="E24" s="103"/>
      <c r="F24" s="5">
        <v>2</v>
      </c>
      <c r="G24" s="12">
        <f t="shared" si="1"/>
        <v>1</v>
      </c>
      <c r="H24" s="4">
        <f>G24*D24</f>
        <v>0.25</v>
      </c>
    </row>
    <row r="25" spans="1:10" ht="26.25" thickBot="1" x14ac:dyDescent="0.3">
      <c r="A25" s="3" t="s">
        <v>79</v>
      </c>
      <c r="B25" s="5">
        <v>2</v>
      </c>
      <c r="C25" s="5">
        <v>4</v>
      </c>
      <c r="D25" s="4">
        <v>0.25</v>
      </c>
      <c r="E25" s="103"/>
      <c r="F25" s="5">
        <v>4</v>
      </c>
      <c r="G25" s="12">
        <f t="shared" si="1"/>
        <v>1</v>
      </c>
      <c r="H25" s="4">
        <f>G25*D25</f>
        <v>0.25</v>
      </c>
    </row>
    <row r="26" spans="1:10" ht="16.5" thickBot="1" x14ac:dyDescent="0.3">
      <c r="A26" s="15" t="s">
        <v>80</v>
      </c>
      <c r="B26" s="16">
        <f>SUM(B22:B25)</f>
        <v>14</v>
      </c>
      <c r="C26" s="16">
        <f>SUM(C22:C25)</f>
        <v>28</v>
      </c>
      <c r="D26" s="17">
        <f>SUM(D22:D25)</f>
        <v>1</v>
      </c>
      <c r="E26" s="104"/>
      <c r="F26" s="16">
        <f>SUM(F22:F25)</f>
        <v>26</v>
      </c>
      <c r="G26" s="16" t="s">
        <v>81</v>
      </c>
      <c r="H26" s="18">
        <f>SUM(H22:H25)</f>
        <v>0.9642857142857143</v>
      </c>
    </row>
  </sheetData>
  <mergeCells count="6">
    <mergeCell ref="J16:J17"/>
    <mergeCell ref="A18:F18"/>
    <mergeCell ref="E21:E26"/>
    <mergeCell ref="A1:J1"/>
    <mergeCell ref="J4:J10"/>
    <mergeCell ref="J11:J14"/>
  </mergeCells>
  <conditionalFormatting sqref="G22:G25">
    <cfRule type="cellIs" dxfId="43" priority="1" operator="between">
      <formula>0.8</formula>
      <formula>1</formula>
    </cfRule>
    <cfRule type="cellIs" dxfId="42" priority="2" operator="between">
      <formula>0.41</formula>
      <formula>0.79</formula>
    </cfRule>
    <cfRule type="cellIs" dxfId="41" priority="3" operator="between">
      <formula>0</formula>
      <formula>0.4</formula>
    </cfRule>
  </conditionalFormatting>
  <pageMargins left="0.511811024" right="0.511811024" top="0.78740157499999996" bottom="0.78740157499999996" header="0.31496062000000002" footer="0.3149606200000000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57FC2-0C42-4C36-823E-86FFCFF1B0D5}">
  <sheetPr>
    <tabColor theme="0"/>
  </sheetPr>
  <dimension ref="A1:J26"/>
  <sheetViews>
    <sheetView topLeftCell="A16" workbookViewId="0">
      <selection activeCell="F24" sqref="F24"/>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98">
        <v>0</v>
      </c>
      <c r="H4" s="8"/>
      <c r="I4" s="8"/>
      <c r="J4" s="105">
        <f>SUM(G4:I10)</f>
        <v>7</v>
      </c>
    </row>
    <row r="5" spans="1:10" ht="52.15" customHeight="1" x14ac:dyDescent="0.25">
      <c r="A5" s="90" t="s">
        <v>11</v>
      </c>
      <c r="B5" s="7" t="s">
        <v>17</v>
      </c>
      <c r="C5" s="8" t="s">
        <v>18</v>
      </c>
      <c r="D5" s="8" t="s">
        <v>19</v>
      </c>
      <c r="E5" s="91" t="s">
        <v>15</v>
      </c>
      <c r="F5" s="91" t="s">
        <v>16</v>
      </c>
      <c r="G5" s="32"/>
      <c r="H5" s="96">
        <v>1</v>
      </c>
      <c r="I5" s="8"/>
      <c r="J5" s="105"/>
    </row>
    <row r="6" spans="1:10" ht="44.65" customHeight="1" x14ac:dyDescent="0.25">
      <c r="A6" s="90" t="s">
        <v>11</v>
      </c>
      <c r="B6" s="7" t="s">
        <v>20</v>
      </c>
      <c r="C6" s="8" t="s">
        <v>21</v>
      </c>
      <c r="D6" s="8" t="s">
        <v>22</v>
      </c>
      <c r="E6" s="91" t="s">
        <v>15</v>
      </c>
      <c r="F6" s="91" t="s">
        <v>16</v>
      </c>
      <c r="G6" s="98">
        <v>0</v>
      </c>
      <c r="H6" s="8"/>
      <c r="I6" s="8"/>
      <c r="J6" s="105"/>
    </row>
    <row r="7" spans="1:10" ht="48.6" customHeight="1" x14ac:dyDescent="0.25">
      <c r="A7" s="90" t="s">
        <v>11</v>
      </c>
      <c r="B7" s="7" t="s">
        <v>23</v>
      </c>
      <c r="C7" s="8" t="s">
        <v>24</v>
      </c>
      <c r="D7" s="8" t="s">
        <v>25</v>
      </c>
      <c r="E7" s="91" t="s">
        <v>15</v>
      </c>
      <c r="F7" s="91" t="s">
        <v>16</v>
      </c>
      <c r="G7" s="32"/>
      <c r="H7" s="8"/>
      <c r="I7" s="95">
        <v>2</v>
      </c>
      <c r="J7" s="105"/>
    </row>
    <row r="8" spans="1:10" ht="52.5" customHeight="1" x14ac:dyDescent="0.25">
      <c r="A8" s="90" t="s">
        <v>11</v>
      </c>
      <c r="B8" s="7" t="s">
        <v>26</v>
      </c>
      <c r="C8" s="8" t="s">
        <v>27</v>
      </c>
      <c r="D8" s="8" t="s">
        <v>28</v>
      </c>
      <c r="E8" s="91" t="s">
        <v>15</v>
      </c>
      <c r="F8" s="91" t="s">
        <v>16</v>
      </c>
      <c r="G8" s="32"/>
      <c r="H8" s="8"/>
      <c r="I8" s="95">
        <v>2</v>
      </c>
      <c r="J8" s="105"/>
    </row>
    <row r="9" spans="1:10" ht="44.65" customHeight="1" x14ac:dyDescent="0.25">
      <c r="A9" s="90" t="s">
        <v>11</v>
      </c>
      <c r="B9" s="7" t="s">
        <v>29</v>
      </c>
      <c r="C9" s="8" t="s">
        <v>30</v>
      </c>
      <c r="D9" s="8" t="s">
        <v>31</v>
      </c>
      <c r="E9" s="91" t="s">
        <v>15</v>
      </c>
      <c r="F9" s="91" t="s">
        <v>16</v>
      </c>
      <c r="G9" s="32"/>
      <c r="H9" s="96">
        <v>1</v>
      </c>
      <c r="I9" s="8"/>
      <c r="J9" s="105"/>
    </row>
    <row r="10" spans="1:10" ht="76.5" customHeight="1" x14ac:dyDescent="0.25">
      <c r="A10" s="90" t="s">
        <v>11</v>
      </c>
      <c r="B10" s="7" t="s">
        <v>32</v>
      </c>
      <c r="C10" s="8" t="s">
        <v>33</v>
      </c>
      <c r="D10" s="8" t="s">
        <v>34</v>
      </c>
      <c r="E10" s="91" t="s">
        <v>15</v>
      </c>
      <c r="F10" s="91" t="s">
        <v>16</v>
      </c>
      <c r="G10" s="32"/>
      <c r="H10" s="96">
        <v>1</v>
      </c>
      <c r="I10" s="8"/>
      <c r="J10" s="105"/>
    </row>
    <row r="11" spans="1:10" ht="117.6" customHeight="1" x14ac:dyDescent="0.25">
      <c r="A11" s="90" t="s">
        <v>35</v>
      </c>
      <c r="B11" s="7" t="s">
        <v>36</v>
      </c>
      <c r="C11" s="8" t="s">
        <v>37</v>
      </c>
      <c r="D11" s="8" t="s">
        <v>38</v>
      </c>
      <c r="E11" s="8" t="s">
        <v>39</v>
      </c>
      <c r="F11" s="8" t="s">
        <v>40</v>
      </c>
      <c r="G11" s="32"/>
      <c r="H11" s="8"/>
      <c r="I11" s="95">
        <v>2</v>
      </c>
      <c r="J11" s="105">
        <f>SUM(G11:I14)</f>
        <v>6</v>
      </c>
    </row>
    <row r="12" spans="1:10" ht="93" customHeight="1" x14ac:dyDescent="0.25">
      <c r="A12" s="90" t="s">
        <v>35</v>
      </c>
      <c r="B12" s="7" t="s">
        <v>41</v>
      </c>
      <c r="C12" s="8" t="s">
        <v>42</v>
      </c>
      <c r="D12" s="8" t="s">
        <v>43</v>
      </c>
      <c r="E12" s="8" t="s">
        <v>44</v>
      </c>
      <c r="F12" s="8" t="s">
        <v>40</v>
      </c>
      <c r="G12" s="32"/>
      <c r="H12" s="8"/>
      <c r="I12" s="95">
        <v>2</v>
      </c>
      <c r="J12" s="105"/>
    </row>
    <row r="13" spans="1:10" ht="76.5" customHeight="1" x14ac:dyDescent="0.25">
      <c r="A13" s="90" t="s">
        <v>35</v>
      </c>
      <c r="B13" s="7" t="s">
        <v>45</v>
      </c>
      <c r="C13" s="8" t="s">
        <v>46</v>
      </c>
      <c r="D13" s="8" t="s">
        <v>47</v>
      </c>
      <c r="E13" s="8" t="s">
        <v>48</v>
      </c>
      <c r="F13" s="8" t="s">
        <v>40</v>
      </c>
      <c r="G13" s="32"/>
      <c r="H13" s="96">
        <v>1</v>
      </c>
      <c r="I13" s="8"/>
      <c r="J13" s="105"/>
    </row>
    <row r="14" spans="1:10" ht="93.6" customHeight="1" x14ac:dyDescent="0.25">
      <c r="A14" s="90" t="s">
        <v>35</v>
      </c>
      <c r="B14" s="7" t="s">
        <v>49</v>
      </c>
      <c r="C14" s="8" t="s">
        <v>50</v>
      </c>
      <c r="D14" s="8" t="s">
        <v>51</v>
      </c>
      <c r="E14" s="8" t="s">
        <v>52</v>
      </c>
      <c r="F14" s="8" t="s">
        <v>40</v>
      </c>
      <c r="G14" s="32"/>
      <c r="H14" s="96">
        <v>1</v>
      </c>
      <c r="I14" s="8"/>
      <c r="J14" s="105"/>
    </row>
    <row r="15" spans="1:10" ht="78.599999999999994" customHeight="1" x14ac:dyDescent="0.25">
      <c r="A15" s="9" t="s">
        <v>53</v>
      </c>
      <c r="B15" s="7" t="s">
        <v>54</v>
      </c>
      <c r="C15" s="8" t="s">
        <v>55</v>
      </c>
      <c r="D15" s="11" t="s">
        <v>56</v>
      </c>
      <c r="E15" s="8" t="s">
        <v>57</v>
      </c>
      <c r="F15" s="8" t="s">
        <v>58</v>
      </c>
      <c r="G15" s="32"/>
      <c r="H15" s="96">
        <v>1</v>
      </c>
      <c r="I15" s="8"/>
      <c r="J15" s="10">
        <f>SUM(G15:I15)</f>
        <v>1</v>
      </c>
    </row>
    <row r="16" spans="1:10" ht="65.650000000000006" customHeight="1" x14ac:dyDescent="0.25">
      <c r="A16" s="90" t="s">
        <v>59</v>
      </c>
      <c r="B16" s="7" t="s">
        <v>60</v>
      </c>
      <c r="C16" s="8" t="s">
        <v>61</v>
      </c>
      <c r="D16" s="8" t="s">
        <v>62</v>
      </c>
      <c r="E16" s="8" t="s">
        <v>63</v>
      </c>
      <c r="F16" s="8" t="s">
        <v>58</v>
      </c>
      <c r="G16" s="32"/>
      <c r="H16" s="8"/>
      <c r="I16" s="95">
        <v>2</v>
      </c>
      <c r="J16" s="105">
        <f>SUM(G16:I17)</f>
        <v>4</v>
      </c>
    </row>
    <row r="17" spans="1:10" ht="67.150000000000006" customHeight="1" x14ac:dyDescent="0.25">
      <c r="A17" s="90" t="s">
        <v>59</v>
      </c>
      <c r="B17" s="7" t="s">
        <v>64</v>
      </c>
      <c r="C17" s="8" t="s">
        <v>65</v>
      </c>
      <c r="D17" s="8" t="s">
        <v>66</v>
      </c>
      <c r="E17" s="8" t="s">
        <v>67</v>
      </c>
      <c r="F17" s="8" t="s">
        <v>40</v>
      </c>
      <c r="G17" s="32"/>
      <c r="H17" s="8"/>
      <c r="I17" s="95">
        <v>2</v>
      </c>
      <c r="J17" s="105"/>
    </row>
    <row r="18" spans="1:10" ht="15" customHeight="1" thickBot="1" x14ac:dyDescent="0.3">
      <c r="A18" s="106" t="s">
        <v>84</v>
      </c>
      <c r="B18" s="106"/>
      <c r="C18" s="106"/>
      <c r="D18" s="106"/>
      <c r="E18" s="106"/>
      <c r="F18" s="107"/>
      <c r="G18" s="14"/>
      <c r="H18" s="14">
        <f t="shared" ref="H18" si="0">SUM(H4:H17)</f>
        <v>6</v>
      </c>
      <c r="I18" s="14">
        <f>SUM(I4:I17)</f>
        <v>12</v>
      </c>
      <c r="J18" s="14">
        <f>SUM(J4:J17)</f>
        <v>18</v>
      </c>
    </row>
    <row r="20" spans="1:10" ht="15.75" thickBot="1" x14ac:dyDescent="0.3"/>
    <row r="21" spans="1:10" ht="64.5" thickBot="1" x14ac:dyDescent="0.3">
      <c r="A21" s="1" t="s">
        <v>69</v>
      </c>
      <c r="B21" s="2" t="s">
        <v>70</v>
      </c>
      <c r="C21" s="2" t="s">
        <v>71</v>
      </c>
      <c r="D21" s="2" t="s">
        <v>72</v>
      </c>
      <c r="E21" s="102" t="s">
        <v>337</v>
      </c>
      <c r="F21" s="13" t="s">
        <v>73</v>
      </c>
      <c r="G21" s="13" t="s">
        <v>74</v>
      </c>
      <c r="H21" s="13" t="s">
        <v>75</v>
      </c>
    </row>
    <row r="22" spans="1:10" ht="64.5" thickBot="1" x14ac:dyDescent="0.3">
      <c r="A22" s="3" t="s">
        <v>76</v>
      </c>
      <c r="B22" s="5">
        <v>7</v>
      </c>
      <c r="C22" s="5">
        <v>14</v>
      </c>
      <c r="D22" s="4">
        <v>0.25</v>
      </c>
      <c r="E22" s="103"/>
      <c r="F22" s="5">
        <v>7</v>
      </c>
      <c r="G22" s="12">
        <f>F22/C22</f>
        <v>0.5</v>
      </c>
      <c r="H22" s="4">
        <f>G22*D22</f>
        <v>0.125</v>
      </c>
    </row>
    <row r="23" spans="1:10" ht="39" thickBot="1" x14ac:dyDescent="0.3">
      <c r="A23" s="3" t="s">
        <v>77</v>
      </c>
      <c r="B23" s="5">
        <v>4</v>
      </c>
      <c r="C23" s="5">
        <v>8</v>
      </c>
      <c r="D23" s="4">
        <v>0.25</v>
      </c>
      <c r="E23" s="103"/>
      <c r="F23" s="5">
        <v>6</v>
      </c>
      <c r="G23" s="12">
        <f t="shared" ref="G23:G25" si="1">F23/C23</f>
        <v>0.75</v>
      </c>
      <c r="H23" s="4">
        <f>G23*D23</f>
        <v>0.1875</v>
      </c>
    </row>
    <row r="24" spans="1:10" ht="64.5" thickBot="1" x14ac:dyDescent="0.3">
      <c r="A24" s="3" t="s">
        <v>78</v>
      </c>
      <c r="B24" s="5">
        <v>1</v>
      </c>
      <c r="C24" s="5">
        <v>2</v>
      </c>
      <c r="D24" s="4">
        <v>0.25</v>
      </c>
      <c r="E24" s="103"/>
      <c r="F24" s="5">
        <v>1</v>
      </c>
      <c r="G24" s="12">
        <f t="shared" si="1"/>
        <v>0.5</v>
      </c>
      <c r="H24" s="4">
        <f>G24*D24</f>
        <v>0.125</v>
      </c>
    </row>
    <row r="25" spans="1:10" ht="26.25" thickBot="1" x14ac:dyDescent="0.3">
      <c r="A25" s="3" t="s">
        <v>79</v>
      </c>
      <c r="B25" s="5">
        <v>2</v>
      </c>
      <c r="C25" s="5">
        <v>4</v>
      </c>
      <c r="D25" s="4">
        <v>0.25</v>
      </c>
      <c r="E25" s="103"/>
      <c r="F25" s="5">
        <v>4</v>
      </c>
      <c r="G25" s="12">
        <f t="shared" si="1"/>
        <v>1</v>
      </c>
      <c r="H25" s="4">
        <f>G25*D25</f>
        <v>0.25</v>
      </c>
    </row>
    <row r="26" spans="1:10" ht="16.5" thickBot="1" x14ac:dyDescent="0.3">
      <c r="A26" s="15" t="s">
        <v>80</v>
      </c>
      <c r="B26" s="16">
        <f>SUM(B22:B25)</f>
        <v>14</v>
      </c>
      <c r="C26" s="16">
        <f>SUM(C22:C25)</f>
        <v>28</v>
      </c>
      <c r="D26" s="17">
        <f>SUM(D22:D25)</f>
        <v>1</v>
      </c>
      <c r="E26" s="104"/>
      <c r="F26" s="16">
        <f>SUM(F22:F25)</f>
        <v>18</v>
      </c>
      <c r="G26" s="16" t="s">
        <v>81</v>
      </c>
      <c r="H26" s="18">
        <f>SUM(H22:H25)</f>
        <v>0.6875</v>
      </c>
    </row>
  </sheetData>
  <mergeCells count="6">
    <mergeCell ref="J16:J17"/>
    <mergeCell ref="A18:F18"/>
    <mergeCell ref="E21:E26"/>
    <mergeCell ref="A1:J1"/>
    <mergeCell ref="J4:J10"/>
    <mergeCell ref="J11:J14"/>
  </mergeCells>
  <conditionalFormatting sqref="G22:G25">
    <cfRule type="cellIs" dxfId="40" priority="1" operator="between">
      <formula>0.8</formula>
      <formula>1</formula>
    </cfRule>
    <cfRule type="cellIs" dxfId="39" priority="2" operator="between">
      <formula>0.41</formula>
      <formula>0.79</formula>
    </cfRule>
    <cfRule type="cellIs" dxfId="38" priority="3" operator="between">
      <formula>0</formula>
      <formula>0.4</formula>
    </cfRule>
  </conditionalFormatting>
  <pageMargins left="0.511811024" right="0.511811024" top="0.78740157499999996" bottom="0.78740157499999996" header="0.31496062000000002" footer="0.3149606200000000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2B4D8-4E74-4B4F-9D0F-E6B87106BCD8}">
  <dimension ref="A1:J26"/>
  <sheetViews>
    <sheetView topLeftCell="A16" workbookViewId="0">
      <selection activeCell="F23" sqref="F23"/>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32"/>
      <c r="H4" s="96">
        <v>1</v>
      </c>
      <c r="I4" s="8"/>
      <c r="J4" s="105">
        <f>SUM(G4:I10)</f>
        <v>8</v>
      </c>
    </row>
    <row r="5" spans="1:10" ht="52.15" customHeight="1" x14ac:dyDescent="0.25">
      <c r="A5" s="90" t="s">
        <v>11</v>
      </c>
      <c r="B5" s="7" t="s">
        <v>17</v>
      </c>
      <c r="C5" s="8" t="s">
        <v>18</v>
      </c>
      <c r="D5" s="8" t="s">
        <v>19</v>
      </c>
      <c r="E5" s="91" t="s">
        <v>15</v>
      </c>
      <c r="F5" s="91" t="s">
        <v>16</v>
      </c>
      <c r="G5" s="32"/>
      <c r="H5" s="96">
        <v>1</v>
      </c>
      <c r="I5" s="8"/>
      <c r="J5" s="105"/>
    </row>
    <row r="6" spans="1:10" ht="44.65" customHeight="1" x14ac:dyDescent="0.25">
      <c r="A6" s="90" t="s">
        <v>11</v>
      </c>
      <c r="B6" s="7" t="s">
        <v>20</v>
      </c>
      <c r="C6" s="8" t="s">
        <v>21</v>
      </c>
      <c r="D6" s="8" t="s">
        <v>22</v>
      </c>
      <c r="E6" s="91" t="s">
        <v>15</v>
      </c>
      <c r="F6" s="91" t="s">
        <v>16</v>
      </c>
      <c r="G6" s="32"/>
      <c r="H6" s="96">
        <v>1</v>
      </c>
      <c r="I6" s="8"/>
      <c r="J6" s="105"/>
    </row>
    <row r="7" spans="1:10" ht="48.6" customHeight="1" x14ac:dyDescent="0.25">
      <c r="A7" s="90" t="s">
        <v>11</v>
      </c>
      <c r="B7" s="7" t="s">
        <v>23</v>
      </c>
      <c r="C7" s="8" t="s">
        <v>24</v>
      </c>
      <c r="D7" s="8" t="s">
        <v>25</v>
      </c>
      <c r="E7" s="91" t="s">
        <v>15</v>
      </c>
      <c r="F7" s="91" t="s">
        <v>16</v>
      </c>
      <c r="G7" s="32"/>
      <c r="H7" s="96">
        <v>1</v>
      </c>
      <c r="I7" s="8"/>
      <c r="J7" s="105"/>
    </row>
    <row r="8" spans="1:10" ht="52.5" customHeight="1" x14ac:dyDescent="0.25">
      <c r="A8" s="90" t="s">
        <v>11</v>
      </c>
      <c r="B8" s="7" t="s">
        <v>26</v>
      </c>
      <c r="C8" s="8" t="s">
        <v>27</v>
      </c>
      <c r="D8" s="8" t="s">
        <v>28</v>
      </c>
      <c r="E8" s="91" t="s">
        <v>15</v>
      </c>
      <c r="F8" s="91" t="s">
        <v>16</v>
      </c>
      <c r="G8" s="32"/>
      <c r="H8" s="96">
        <v>1</v>
      </c>
      <c r="I8" s="8"/>
      <c r="J8" s="105"/>
    </row>
    <row r="9" spans="1:10" ht="44.65" customHeight="1" x14ac:dyDescent="0.25">
      <c r="A9" s="90" t="s">
        <v>11</v>
      </c>
      <c r="B9" s="7" t="s">
        <v>29</v>
      </c>
      <c r="C9" s="8" t="s">
        <v>30</v>
      </c>
      <c r="D9" s="8" t="s">
        <v>31</v>
      </c>
      <c r="E9" s="91" t="s">
        <v>15</v>
      </c>
      <c r="F9" s="91" t="s">
        <v>16</v>
      </c>
      <c r="G9" s="32"/>
      <c r="H9" s="96">
        <v>1</v>
      </c>
      <c r="I9" s="8"/>
      <c r="J9" s="105"/>
    </row>
    <row r="10" spans="1:10" ht="76.5" customHeight="1" x14ac:dyDescent="0.25">
      <c r="A10" s="90" t="s">
        <v>11</v>
      </c>
      <c r="B10" s="7" t="s">
        <v>32</v>
      </c>
      <c r="C10" s="8" t="s">
        <v>33</v>
      </c>
      <c r="D10" s="8" t="s">
        <v>34</v>
      </c>
      <c r="E10" s="91" t="s">
        <v>15</v>
      </c>
      <c r="F10" s="91" t="s">
        <v>16</v>
      </c>
      <c r="G10" s="32"/>
      <c r="H10" s="8"/>
      <c r="I10" s="97">
        <v>2</v>
      </c>
      <c r="J10" s="105"/>
    </row>
    <row r="11" spans="1:10" ht="117.6" customHeight="1" x14ac:dyDescent="0.25">
      <c r="A11" s="90" t="s">
        <v>35</v>
      </c>
      <c r="B11" s="7" t="s">
        <v>36</v>
      </c>
      <c r="C11" s="8" t="s">
        <v>37</v>
      </c>
      <c r="D11" s="8" t="s">
        <v>38</v>
      </c>
      <c r="E11" s="8" t="s">
        <v>39</v>
      </c>
      <c r="F11" s="8" t="s">
        <v>40</v>
      </c>
      <c r="G11" s="32"/>
      <c r="H11" s="8"/>
      <c r="I11" s="95">
        <v>2</v>
      </c>
      <c r="J11" s="105">
        <f>SUM(G11:I14)</f>
        <v>6</v>
      </c>
    </row>
    <row r="12" spans="1:10" ht="93" customHeight="1" x14ac:dyDescent="0.25">
      <c r="A12" s="90" t="s">
        <v>35</v>
      </c>
      <c r="B12" s="7" t="s">
        <v>41</v>
      </c>
      <c r="C12" s="8" t="s">
        <v>42</v>
      </c>
      <c r="D12" s="8" t="s">
        <v>43</v>
      </c>
      <c r="E12" s="8" t="s">
        <v>44</v>
      </c>
      <c r="F12" s="8" t="s">
        <v>40</v>
      </c>
      <c r="G12" s="32"/>
      <c r="H12" s="8"/>
      <c r="I12" s="95">
        <v>2</v>
      </c>
      <c r="J12" s="105"/>
    </row>
    <row r="13" spans="1:10" ht="76.5" customHeight="1" x14ac:dyDescent="0.25">
      <c r="A13" s="90" t="s">
        <v>35</v>
      </c>
      <c r="B13" s="7" t="s">
        <v>45</v>
      </c>
      <c r="C13" s="8" t="s">
        <v>46</v>
      </c>
      <c r="D13" s="8" t="s">
        <v>47</v>
      </c>
      <c r="E13" s="8" t="s">
        <v>48</v>
      </c>
      <c r="F13" s="8" t="s">
        <v>40</v>
      </c>
      <c r="G13" s="32"/>
      <c r="H13" s="96">
        <v>1</v>
      </c>
      <c r="I13" s="8"/>
      <c r="J13" s="105"/>
    </row>
    <row r="14" spans="1:10" ht="93.6" customHeight="1" x14ac:dyDescent="0.25">
      <c r="A14" s="90" t="s">
        <v>35</v>
      </c>
      <c r="B14" s="7" t="s">
        <v>49</v>
      </c>
      <c r="C14" s="8" t="s">
        <v>50</v>
      </c>
      <c r="D14" s="8" t="s">
        <v>51</v>
      </c>
      <c r="E14" s="8" t="s">
        <v>52</v>
      </c>
      <c r="F14" s="8" t="s">
        <v>40</v>
      </c>
      <c r="G14" s="32"/>
      <c r="H14" s="96">
        <v>1</v>
      </c>
      <c r="I14" s="8"/>
      <c r="J14" s="105"/>
    </row>
    <row r="15" spans="1:10" ht="78.599999999999994" customHeight="1" x14ac:dyDescent="0.25">
      <c r="A15" s="9" t="s">
        <v>53</v>
      </c>
      <c r="B15" s="7" t="s">
        <v>54</v>
      </c>
      <c r="C15" s="8" t="s">
        <v>55</v>
      </c>
      <c r="D15" s="11" t="s">
        <v>56</v>
      </c>
      <c r="E15" s="8" t="s">
        <v>57</v>
      </c>
      <c r="F15" s="8" t="s">
        <v>58</v>
      </c>
      <c r="G15" s="32"/>
      <c r="H15" s="8"/>
      <c r="I15" s="95">
        <v>2</v>
      </c>
      <c r="J15" s="10">
        <f>SUM(G15:I15)</f>
        <v>2</v>
      </c>
    </row>
    <row r="16" spans="1:10" ht="65.650000000000006" customHeight="1" x14ac:dyDescent="0.25">
      <c r="A16" s="90" t="s">
        <v>59</v>
      </c>
      <c r="B16" s="7" t="s">
        <v>60</v>
      </c>
      <c r="C16" s="8" t="s">
        <v>61</v>
      </c>
      <c r="D16" s="8" t="s">
        <v>62</v>
      </c>
      <c r="E16" s="8" t="s">
        <v>63</v>
      </c>
      <c r="F16" s="8" t="s">
        <v>58</v>
      </c>
      <c r="G16" s="32"/>
      <c r="H16" s="8"/>
      <c r="I16" s="95">
        <v>2</v>
      </c>
      <c r="J16" s="105">
        <f>SUM(G16:I17)</f>
        <v>4</v>
      </c>
    </row>
    <row r="17" spans="1:10" ht="67.150000000000006" customHeight="1" x14ac:dyDescent="0.25">
      <c r="A17" s="90" t="s">
        <v>59</v>
      </c>
      <c r="B17" s="7" t="s">
        <v>64</v>
      </c>
      <c r="C17" s="8" t="s">
        <v>65</v>
      </c>
      <c r="D17" s="8" t="s">
        <v>66</v>
      </c>
      <c r="E17" s="8" t="s">
        <v>67</v>
      </c>
      <c r="F17" s="8" t="s">
        <v>40</v>
      </c>
      <c r="G17" s="32"/>
      <c r="H17" s="8"/>
      <c r="I17" s="95">
        <v>2</v>
      </c>
      <c r="J17" s="105"/>
    </row>
    <row r="18" spans="1:10" ht="15" customHeight="1" thickBot="1" x14ac:dyDescent="0.3">
      <c r="A18" s="106" t="s">
        <v>304</v>
      </c>
      <c r="B18" s="106"/>
      <c r="C18" s="106"/>
      <c r="D18" s="106"/>
      <c r="E18" s="106"/>
      <c r="F18" s="107"/>
      <c r="G18" s="14">
        <f t="shared" ref="G18:H18" si="0">SUM(G4:G17)</f>
        <v>0</v>
      </c>
      <c r="H18" s="14">
        <f t="shared" si="0"/>
        <v>8</v>
      </c>
      <c r="I18" s="14">
        <f>SUM(I4:I17)</f>
        <v>12</v>
      </c>
      <c r="J18" s="14">
        <f>SUM(J4:J17)</f>
        <v>20</v>
      </c>
    </row>
    <row r="20" spans="1:10" ht="15.75" thickBot="1" x14ac:dyDescent="0.3"/>
    <row r="21" spans="1:10" ht="64.5" thickBot="1" x14ac:dyDescent="0.3">
      <c r="A21" s="1" t="s">
        <v>69</v>
      </c>
      <c r="B21" s="2" t="s">
        <v>70</v>
      </c>
      <c r="C21" s="2" t="s">
        <v>71</v>
      </c>
      <c r="D21" s="2" t="s">
        <v>72</v>
      </c>
      <c r="E21" s="102" t="s">
        <v>354</v>
      </c>
      <c r="F21" s="13" t="s">
        <v>73</v>
      </c>
      <c r="G21" s="13" t="s">
        <v>74</v>
      </c>
      <c r="H21" s="13" t="s">
        <v>75</v>
      </c>
    </row>
    <row r="22" spans="1:10" ht="64.5" thickBot="1" x14ac:dyDescent="0.3">
      <c r="A22" s="3" t="s">
        <v>76</v>
      </c>
      <c r="B22" s="5">
        <v>7</v>
      </c>
      <c r="C22" s="5">
        <v>14</v>
      </c>
      <c r="D22" s="4">
        <v>0.25</v>
      </c>
      <c r="E22" s="103"/>
      <c r="F22" s="5">
        <v>8</v>
      </c>
      <c r="G22" s="12">
        <f>F22/C22</f>
        <v>0.5714285714285714</v>
      </c>
      <c r="H22" s="4">
        <f>G22*D22</f>
        <v>0.14285714285714285</v>
      </c>
    </row>
    <row r="23" spans="1:10" ht="39" thickBot="1" x14ac:dyDescent="0.3">
      <c r="A23" s="3" t="s">
        <v>77</v>
      </c>
      <c r="B23" s="5">
        <v>4</v>
      </c>
      <c r="C23" s="5">
        <v>8</v>
      </c>
      <c r="D23" s="4">
        <v>0.25</v>
      </c>
      <c r="E23" s="103"/>
      <c r="F23" s="5">
        <v>6</v>
      </c>
      <c r="G23" s="12">
        <f t="shared" ref="G23:G25" si="1">F23/C23</f>
        <v>0.75</v>
      </c>
      <c r="H23" s="4">
        <f>G23*D23</f>
        <v>0.1875</v>
      </c>
    </row>
    <row r="24" spans="1:10" ht="64.5" thickBot="1" x14ac:dyDescent="0.3">
      <c r="A24" s="3" t="s">
        <v>78</v>
      </c>
      <c r="B24" s="5">
        <v>1</v>
      </c>
      <c r="C24" s="5">
        <v>2</v>
      </c>
      <c r="D24" s="4">
        <v>0.25</v>
      </c>
      <c r="E24" s="103"/>
      <c r="F24" s="5">
        <v>2</v>
      </c>
      <c r="G24" s="12">
        <f t="shared" si="1"/>
        <v>1</v>
      </c>
      <c r="H24" s="4">
        <f>G24*D24</f>
        <v>0.25</v>
      </c>
    </row>
    <row r="25" spans="1:10" ht="26.25" thickBot="1" x14ac:dyDescent="0.3">
      <c r="A25" s="3" t="s">
        <v>79</v>
      </c>
      <c r="B25" s="5">
        <v>2</v>
      </c>
      <c r="C25" s="5">
        <v>4</v>
      </c>
      <c r="D25" s="4">
        <v>0.25</v>
      </c>
      <c r="E25" s="103"/>
      <c r="F25" s="5">
        <v>4</v>
      </c>
      <c r="G25" s="12">
        <f t="shared" si="1"/>
        <v>1</v>
      </c>
      <c r="H25" s="4">
        <f>G25*D25</f>
        <v>0.25</v>
      </c>
    </row>
    <row r="26" spans="1:10" ht="16.5" thickBot="1" x14ac:dyDescent="0.3">
      <c r="A26" s="15" t="s">
        <v>80</v>
      </c>
      <c r="B26" s="16">
        <f>SUM(B22:B25)</f>
        <v>14</v>
      </c>
      <c r="C26" s="16">
        <f>SUM(C22:C25)</f>
        <v>28</v>
      </c>
      <c r="D26" s="17">
        <f>SUM(D22:D25)</f>
        <v>1</v>
      </c>
      <c r="E26" s="104"/>
      <c r="F26" s="16">
        <f>SUM(F22:F25)</f>
        <v>20</v>
      </c>
      <c r="G26" s="16" t="s">
        <v>81</v>
      </c>
      <c r="H26" s="18">
        <f>SUM(H22:H25)</f>
        <v>0.83035714285714279</v>
      </c>
    </row>
  </sheetData>
  <mergeCells count="6">
    <mergeCell ref="J16:J17"/>
    <mergeCell ref="A18:F18"/>
    <mergeCell ref="E21:E26"/>
    <mergeCell ref="A1:J1"/>
    <mergeCell ref="J4:J10"/>
    <mergeCell ref="J11:J14"/>
  </mergeCells>
  <conditionalFormatting sqref="G22:G25">
    <cfRule type="cellIs" dxfId="37" priority="1" operator="between">
      <formula>0.8</formula>
      <formula>1</formula>
    </cfRule>
    <cfRule type="cellIs" dxfId="36" priority="2" operator="between">
      <formula>0.41</formula>
      <formula>0.79</formula>
    </cfRule>
    <cfRule type="cellIs" dxfId="35" priority="3" operator="between">
      <formula>0</formula>
      <formula>0.4</formula>
    </cfRule>
  </conditionalFormatting>
  <pageMargins left="0.511811024" right="0.511811024" top="0.78740157499999996" bottom="0.78740157499999996" header="0.31496062000000002" footer="0.3149606200000000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91D00-05B1-4A25-BD89-9F471B1022D6}">
  <dimension ref="A1:J26"/>
  <sheetViews>
    <sheetView topLeftCell="A16" workbookViewId="0">
      <selection activeCell="F23" sqref="F23"/>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91"/>
      <c r="H4" s="96">
        <v>1</v>
      </c>
      <c r="I4" s="91"/>
      <c r="J4" s="105">
        <f>SUM(G4:I10)</f>
        <v>10</v>
      </c>
    </row>
    <row r="5" spans="1:10" ht="52.15" customHeight="1" x14ac:dyDescent="0.25">
      <c r="A5" s="90" t="s">
        <v>11</v>
      </c>
      <c r="B5" s="7" t="s">
        <v>17</v>
      </c>
      <c r="C5" s="8" t="s">
        <v>18</v>
      </c>
      <c r="D5" s="8" t="s">
        <v>19</v>
      </c>
      <c r="E5" s="91" t="s">
        <v>15</v>
      </c>
      <c r="F5" s="91" t="s">
        <v>16</v>
      </c>
      <c r="G5" s="91"/>
      <c r="H5" s="96">
        <v>1</v>
      </c>
      <c r="I5" s="91"/>
      <c r="J5" s="105"/>
    </row>
    <row r="6" spans="1:10" ht="44.65" customHeight="1" x14ac:dyDescent="0.25">
      <c r="A6" s="90" t="s">
        <v>11</v>
      </c>
      <c r="B6" s="7" t="s">
        <v>20</v>
      </c>
      <c r="C6" s="8" t="s">
        <v>21</v>
      </c>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91"/>
      <c r="H7" s="96">
        <v>1</v>
      </c>
      <c r="I7" s="91"/>
      <c r="J7" s="105"/>
    </row>
    <row r="8" spans="1:10" ht="52.5" customHeight="1" x14ac:dyDescent="0.25">
      <c r="A8" s="90" t="s">
        <v>11</v>
      </c>
      <c r="B8" s="7" t="s">
        <v>26</v>
      </c>
      <c r="C8" s="8" t="s">
        <v>27</v>
      </c>
      <c r="D8" s="8" t="s">
        <v>28</v>
      </c>
      <c r="E8" s="91" t="s">
        <v>15</v>
      </c>
      <c r="F8" s="91" t="s">
        <v>16</v>
      </c>
      <c r="G8" s="8"/>
      <c r="H8" s="96">
        <v>1</v>
      </c>
      <c r="I8" s="8"/>
      <c r="J8" s="105"/>
    </row>
    <row r="9" spans="1:10" ht="44.65" customHeight="1" x14ac:dyDescent="0.25">
      <c r="A9" s="90" t="s">
        <v>11</v>
      </c>
      <c r="B9" s="7" t="s">
        <v>29</v>
      </c>
      <c r="C9" s="8" t="s">
        <v>30</v>
      </c>
      <c r="D9" s="8" t="s">
        <v>31</v>
      </c>
      <c r="E9" s="91" t="s">
        <v>15</v>
      </c>
      <c r="F9" s="91" t="s">
        <v>16</v>
      </c>
      <c r="G9" s="91"/>
      <c r="H9" s="91"/>
      <c r="I9" s="95">
        <v>2</v>
      </c>
      <c r="J9" s="105"/>
    </row>
    <row r="10" spans="1:10" ht="76.5" customHeight="1" x14ac:dyDescent="0.25">
      <c r="A10" s="90" t="s">
        <v>11</v>
      </c>
      <c r="B10" s="7" t="s">
        <v>32</v>
      </c>
      <c r="C10" s="8" t="s">
        <v>33</v>
      </c>
      <c r="D10" s="8" t="s">
        <v>34</v>
      </c>
      <c r="E10" s="91" t="s">
        <v>15</v>
      </c>
      <c r="F10" s="91" t="s">
        <v>16</v>
      </c>
      <c r="G10" s="8"/>
      <c r="H10" s="8"/>
      <c r="I10" s="95">
        <v>2</v>
      </c>
      <c r="J10" s="105"/>
    </row>
    <row r="11" spans="1:10" ht="117.6" customHeight="1" x14ac:dyDescent="0.25">
      <c r="A11" s="90" t="s">
        <v>35</v>
      </c>
      <c r="B11" s="7" t="s">
        <v>36</v>
      </c>
      <c r="C11" s="8" t="s">
        <v>37</v>
      </c>
      <c r="D11" s="8" t="s">
        <v>38</v>
      </c>
      <c r="E11" s="8" t="s">
        <v>39</v>
      </c>
      <c r="F11" s="8" t="s">
        <v>40</v>
      </c>
      <c r="G11" s="91"/>
      <c r="H11" s="96">
        <v>1</v>
      </c>
      <c r="I11" s="91"/>
      <c r="J11" s="105">
        <f>SUM(G11:I14)</f>
        <v>5</v>
      </c>
    </row>
    <row r="12" spans="1:10" ht="93" customHeight="1" x14ac:dyDescent="0.25">
      <c r="A12" s="90" t="s">
        <v>35</v>
      </c>
      <c r="B12" s="7" t="s">
        <v>41</v>
      </c>
      <c r="C12" s="8" t="s">
        <v>42</v>
      </c>
      <c r="D12" s="8" t="s">
        <v>43</v>
      </c>
      <c r="E12" s="8" t="s">
        <v>44</v>
      </c>
      <c r="F12" s="8" t="s">
        <v>40</v>
      </c>
      <c r="G12" s="8"/>
      <c r="H12" s="96">
        <v>1</v>
      </c>
      <c r="I12" s="8"/>
      <c r="J12" s="105"/>
    </row>
    <row r="13" spans="1:10" ht="76.5" customHeight="1" x14ac:dyDescent="0.25">
      <c r="A13" s="90" t="s">
        <v>35</v>
      </c>
      <c r="B13" s="7" t="s">
        <v>45</v>
      </c>
      <c r="C13" s="8" t="s">
        <v>46</v>
      </c>
      <c r="D13" s="8" t="s">
        <v>47</v>
      </c>
      <c r="E13" s="8" t="s">
        <v>48</v>
      </c>
      <c r="F13" s="8" t="s">
        <v>40</v>
      </c>
      <c r="G13" s="91"/>
      <c r="H13" s="91"/>
      <c r="I13" s="95">
        <v>2</v>
      </c>
      <c r="J13" s="105"/>
    </row>
    <row r="14" spans="1:10" ht="93.6" customHeight="1" x14ac:dyDescent="0.25">
      <c r="A14" s="90" t="s">
        <v>35</v>
      </c>
      <c r="B14" s="7" t="s">
        <v>49</v>
      </c>
      <c r="C14" s="8" t="s">
        <v>50</v>
      </c>
      <c r="D14" s="8" t="s">
        <v>51</v>
      </c>
      <c r="E14" s="8" t="s">
        <v>52</v>
      </c>
      <c r="F14" s="8" t="s">
        <v>40</v>
      </c>
      <c r="G14" s="91"/>
      <c r="H14" s="96">
        <v>1</v>
      </c>
      <c r="I14" s="91"/>
      <c r="J14" s="105"/>
    </row>
    <row r="15" spans="1:10" ht="78.599999999999994" customHeight="1" x14ac:dyDescent="0.25">
      <c r="A15" s="9" t="s">
        <v>53</v>
      </c>
      <c r="B15" s="7" t="s">
        <v>54</v>
      </c>
      <c r="C15" s="8" t="s">
        <v>55</v>
      </c>
      <c r="D15" s="11" t="s">
        <v>56</v>
      </c>
      <c r="E15" s="8" t="s">
        <v>57</v>
      </c>
      <c r="F15" s="8" t="s">
        <v>58</v>
      </c>
      <c r="G15" s="91"/>
      <c r="H15" s="91"/>
      <c r="I15" s="95">
        <v>2</v>
      </c>
      <c r="J15" s="10">
        <v>2</v>
      </c>
    </row>
    <row r="16" spans="1:10" ht="65.650000000000006" customHeight="1" x14ac:dyDescent="0.25">
      <c r="A16" s="90" t="s">
        <v>59</v>
      </c>
      <c r="B16" s="7" t="s">
        <v>60</v>
      </c>
      <c r="C16" s="8" t="s">
        <v>61</v>
      </c>
      <c r="D16" s="8" t="s">
        <v>62</v>
      </c>
      <c r="E16" s="8" t="s">
        <v>63</v>
      </c>
      <c r="F16" s="8" t="s">
        <v>58</v>
      </c>
      <c r="G16" s="91"/>
      <c r="H16" s="91"/>
      <c r="I16" s="95">
        <v>2</v>
      </c>
      <c r="J16" s="105">
        <f>SUM(G16:I17)</f>
        <v>4</v>
      </c>
    </row>
    <row r="17" spans="1:10" ht="67.150000000000006" customHeight="1" x14ac:dyDescent="0.25">
      <c r="A17" s="90" t="s">
        <v>59</v>
      </c>
      <c r="B17" s="7" t="s">
        <v>64</v>
      </c>
      <c r="C17" s="8" t="s">
        <v>65</v>
      </c>
      <c r="D17" s="8" t="s">
        <v>66</v>
      </c>
      <c r="E17" s="8" t="s">
        <v>67</v>
      </c>
      <c r="F17" s="8" t="s">
        <v>40</v>
      </c>
      <c r="G17" s="91"/>
      <c r="H17" s="91"/>
      <c r="I17" s="95">
        <v>2</v>
      </c>
      <c r="J17" s="105"/>
    </row>
    <row r="18" spans="1:10" ht="15" customHeight="1" thickBot="1" x14ac:dyDescent="0.3">
      <c r="A18" s="106" t="s">
        <v>328</v>
      </c>
      <c r="B18" s="106"/>
      <c r="C18" s="106"/>
      <c r="D18" s="106"/>
      <c r="E18" s="106"/>
      <c r="F18" s="107"/>
      <c r="G18" s="14">
        <f t="shared" ref="G18:H18" si="0">SUM(G4:G17)</f>
        <v>0</v>
      </c>
      <c r="H18" s="14">
        <f t="shared" si="0"/>
        <v>7</v>
      </c>
      <c r="I18" s="14">
        <f>SUM(I4:I17)</f>
        <v>14</v>
      </c>
      <c r="J18" s="14">
        <f>SUM(J4:J17)</f>
        <v>21</v>
      </c>
    </row>
    <row r="20" spans="1:10" ht="15.75" thickBot="1" x14ac:dyDescent="0.3"/>
    <row r="21" spans="1:10" ht="64.5" thickBot="1" x14ac:dyDescent="0.3">
      <c r="A21" s="1" t="s">
        <v>69</v>
      </c>
      <c r="B21" s="2" t="s">
        <v>70</v>
      </c>
      <c r="C21" s="2" t="s">
        <v>71</v>
      </c>
      <c r="D21" s="2" t="s">
        <v>72</v>
      </c>
      <c r="E21" s="102" t="s">
        <v>355</v>
      </c>
      <c r="F21" s="13" t="s">
        <v>73</v>
      </c>
      <c r="G21" s="13" t="s">
        <v>74</v>
      </c>
      <c r="H21" s="13" t="s">
        <v>75</v>
      </c>
    </row>
    <row r="22" spans="1:10" ht="64.5" thickBot="1" x14ac:dyDescent="0.3">
      <c r="A22" s="3" t="s">
        <v>76</v>
      </c>
      <c r="B22" s="5">
        <v>7</v>
      </c>
      <c r="C22" s="5">
        <v>14</v>
      </c>
      <c r="D22" s="4">
        <v>0.25</v>
      </c>
      <c r="E22" s="103"/>
      <c r="F22" s="5">
        <v>10</v>
      </c>
      <c r="G22" s="12">
        <f>F22/C22</f>
        <v>0.7142857142857143</v>
      </c>
      <c r="H22" s="4">
        <f>G22*D22</f>
        <v>0.17857142857142858</v>
      </c>
    </row>
    <row r="23" spans="1:10" ht="39" thickBot="1" x14ac:dyDescent="0.3">
      <c r="A23" s="3" t="s">
        <v>77</v>
      </c>
      <c r="B23" s="5">
        <v>4</v>
      </c>
      <c r="C23" s="5">
        <v>8</v>
      </c>
      <c r="D23" s="4">
        <v>0.25</v>
      </c>
      <c r="E23" s="103"/>
      <c r="F23" s="5">
        <v>5</v>
      </c>
      <c r="G23" s="12">
        <f t="shared" ref="G23:G25" si="1">F23/C23</f>
        <v>0.625</v>
      </c>
      <c r="H23" s="4">
        <f>G23*D23</f>
        <v>0.15625</v>
      </c>
    </row>
    <row r="24" spans="1:10" ht="64.5" thickBot="1" x14ac:dyDescent="0.3">
      <c r="A24" s="3" t="s">
        <v>78</v>
      </c>
      <c r="B24" s="5">
        <v>1</v>
      </c>
      <c r="C24" s="5">
        <v>2</v>
      </c>
      <c r="D24" s="4">
        <v>0.25</v>
      </c>
      <c r="E24" s="103"/>
      <c r="F24" s="5">
        <v>2</v>
      </c>
      <c r="G24" s="12">
        <f t="shared" si="1"/>
        <v>1</v>
      </c>
      <c r="H24" s="4">
        <f>G24*D24</f>
        <v>0.25</v>
      </c>
    </row>
    <row r="25" spans="1:10" ht="26.25" thickBot="1" x14ac:dyDescent="0.3">
      <c r="A25" s="3" t="s">
        <v>79</v>
      </c>
      <c r="B25" s="5">
        <v>2</v>
      </c>
      <c r="C25" s="5">
        <v>4</v>
      </c>
      <c r="D25" s="4">
        <v>0.25</v>
      </c>
      <c r="E25" s="103"/>
      <c r="F25" s="5">
        <v>4</v>
      </c>
      <c r="G25" s="12">
        <f t="shared" si="1"/>
        <v>1</v>
      </c>
      <c r="H25" s="4">
        <f>G25*D25</f>
        <v>0.25</v>
      </c>
    </row>
    <row r="26" spans="1:10" ht="16.5" thickBot="1" x14ac:dyDescent="0.3">
      <c r="A26" s="15" t="s">
        <v>80</v>
      </c>
      <c r="B26" s="16">
        <f>SUM(B22:B25)</f>
        <v>14</v>
      </c>
      <c r="C26" s="16">
        <f>SUM(C22:C25)</f>
        <v>28</v>
      </c>
      <c r="D26" s="17">
        <f>SUM(D22:D25)</f>
        <v>1</v>
      </c>
      <c r="E26" s="104"/>
      <c r="F26" s="16">
        <f>SUM(F22:F25)</f>
        <v>21</v>
      </c>
      <c r="G26" s="16" t="s">
        <v>81</v>
      </c>
      <c r="H26" s="18">
        <f>SUM(H22:H25)</f>
        <v>0.8348214285714286</v>
      </c>
    </row>
  </sheetData>
  <mergeCells count="6">
    <mergeCell ref="J16:J17"/>
    <mergeCell ref="A18:F18"/>
    <mergeCell ref="E21:E26"/>
    <mergeCell ref="J11:J14"/>
    <mergeCell ref="A1:J1"/>
    <mergeCell ref="J4:J10"/>
  </mergeCells>
  <conditionalFormatting sqref="G22:G25">
    <cfRule type="cellIs" dxfId="34" priority="1" operator="between">
      <formula>0.8</formula>
      <formula>1</formula>
    </cfRule>
    <cfRule type="cellIs" dxfId="33" priority="2" operator="between">
      <formula>0.41</formula>
      <formula>0.79</formula>
    </cfRule>
    <cfRule type="cellIs" dxfId="32" priority="3" operator="between">
      <formula>0</formula>
      <formula>0.4</formula>
    </cfRule>
  </conditionalFormatting>
  <pageMargins left="0.511811024" right="0.511811024" top="0.78740157499999996" bottom="0.78740157499999996" header="0.31496062000000002" footer="0.3149606200000000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45467-57D1-48B6-B0C9-846E5E75E091}">
  <dimension ref="A1:J26"/>
  <sheetViews>
    <sheetView topLeftCell="A17" workbookViewId="0">
      <selection activeCell="H25" sqref="H25"/>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96">
        <v>1</v>
      </c>
      <c r="I4" s="8"/>
      <c r="J4" s="105">
        <f>SUM(G4:I10)</f>
        <v>10</v>
      </c>
    </row>
    <row r="5" spans="1:10" ht="52.15" customHeight="1" x14ac:dyDescent="0.25">
      <c r="A5" s="90" t="s">
        <v>11</v>
      </c>
      <c r="B5" s="7" t="s">
        <v>17</v>
      </c>
      <c r="C5" s="8" t="s">
        <v>18</v>
      </c>
      <c r="D5" s="8" t="s">
        <v>19</v>
      </c>
      <c r="E5" s="91" t="s">
        <v>15</v>
      </c>
      <c r="F5" s="91" t="s">
        <v>16</v>
      </c>
      <c r="G5" s="8"/>
      <c r="H5" s="96">
        <v>1</v>
      </c>
      <c r="I5" s="8"/>
      <c r="J5" s="105"/>
    </row>
    <row r="6" spans="1:10" ht="44.65" customHeight="1" x14ac:dyDescent="0.25">
      <c r="A6" s="90" t="s">
        <v>11</v>
      </c>
      <c r="B6" s="7" t="s">
        <v>20</v>
      </c>
      <c r="C6" s="8" t="s">
        <v>21</v>
      </c>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8"/>
      <c r="H7" s="96">
        <v>1</v>
      </c>
      <c r="I7" s="8"/>
      <c r="J7" s="105"/>
    </row>
    <row r="8" spans="1:10" ht="52.5" customHeight="1" x14ac:dyDescent="0.25">
      <c r="A8" s="90" t="s">
        <v>11</v>
      </c>
      <c r="B8" s="7" t="s">
        <v>26</v>
      </c>
      <c r="C8" s="8" t="s">
        <v>27</v>
      </c>
      <c r="D8" s="8" t="s">
        <v>28</v>
      </c>
      <c r="E8" s="91" t="s">
        <v>15</v>
      </c>
      <c r="F8" s="91" t="s">
        <v>16</v>
      </c>
      <c r="G8" s="8"/>
      <c r="H8" s="96">
        <v>1</v>
      </c>
      <c r="I8" s="8"/>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8"/>
      <c r="I10" s="95">
        <v>2</v>
      </c>
      <c r="J10" s="105"/>
    </row>
    <row r="11" spans="1:10" ht="117.6" customHeight="1" x14ac:dyDescent="0.25">
      <c r="A11" s="90" t="s">
        <v>35</v>
      </c>
      <c r="B11" s="7" t="s">
        <v>36</v>
      </c>
      <c r="C11" s="8" t="s">
        <v>37</v>
      </c>
      <c r="D11" s="8" t="s">
        <v>38</v>
      </c>
      <c r="E11" s="8" t="s">
        <v>39</v>
      </c>
      <c r="F11" s="8" t="s">
        <v>40</v>
      </c>
      <c r="G11" s="8"/>
      <c r="H11" s="8">
        <v>1</v>
      </c>
      <c r="I11" s="8"/>
      <c r="J11" s="105">
        <f>SUM(G11:I14)</f>
        <v>4</v>
      </c>
    </row>
    <row r="12" spans="1:10" ht="93" customHeight="1" x14ac:dyDescent="0.25">
      <c r="A12" s="90" t="s">
        <v>35</v>
      </c>
      <c r="B12" s="7" t="s">
        <v>41</v>
      </c>
      <c r="C12" s="8" t="s">
        <v>42</v>
      </c>
      <c r="D12" s="8" t="s">
        <v>43</v>
      </c>
      <c r="E12" s="8" t="s">
        <v>44</v>
      </c>
      <c r="F12" s="8" t="s">
        <v>40</v>
      </c>
      <c r="G12" s="8"/>
      <c r="H12" s="8">
        <v>1</v>
      </c>
      <c r="I12" s="8"/>
      <c r="J12" s="105"/>
    </row>
    <row r="13" spans="1:10" ht="76.5" customHeight="1" x14ac:dyDescent="0.25">
      <c r="A13" s="90" t="s">
        <v>35</v>
      </c>
      <c r="B13" s="7" t="s">
        <v>45</v>
      </c>
      <c r="C13" s="8" t="s">
        <v>46</v>
      </c>
      <c r="D13" s="8" t="s">
        <v>47</v>
      </c>
      <c r="E13" s="8" t="s">
        <v>48</v>
      </c>
      <c r="F13" s="8" t="s">
        <v>40</v>
      </c>
      <c r="G13" s="8"/>
      <c r="H13" s="8">
        <v>1</v>
      </c>
      <c r="I13" s="8"/>
      <c r="J13" s="105"/>
    </row>
    <row r="14" spans="1:10" ht="93.6" customHeight="1" x14ac:dyDescent="0.25">
      <c r="A14" s="90" t="s">
        <v>35</v>
      </c>
      <c r="B14" s="7" t="s">
        <v>49</v>
      </c>
      <c r="C14" s="8" t="s">
        <v>50</v>
      </c>
      <c r="D14" s="8" t="s">
        <v>51</v>
      </c>
      <c r="E14" s="8" t="s">
        <v>52</v>
      </c>
      <c r="F14" s="8" t="s">
        <v>40</v>
      </c>
      <c r="G14" s="8"/>
      <c r="H14" s="8">
        <v>1</v>
      </c>
      <c r="I14" s="8"/>
      <c r="J14" s="105"/>
    </row>
    <row r="15" spans="1:10" ht="78.599999999999994" customHeight="1" x14ac:dyDescent="0.25">
      <c r="A15" s="9" t="s">
        <v>53</v>
      </c>
      <c r="B15" s="7" t="s">
        <v>54</v>
      </c>
      <c r="C15" s="8" t="s">
        <v>55</v>
      </c>
      <c r="D15" s="11" t="s">
        <v>56</v>
      </c>
      <c r="E15" s="8" t="s">
        <v>57</v>
      </c>
      <c r="F15" s="8" t="s">
        <v>58</v>
      </c>
      <c r="G15" s="8"/>
      <c r="H15" s="8">
        <v>1</v>
      </c>
      <c r="I15" s="8"/>
      <c r="J15" s="10">
        <f>SUM(G15:I15)</f>
        <v>1</v>
      </c>
    </row>
    <row r="16" spans="1:10" ht="65.650000000000006" customHeight="1" x14ac:dyDescent="0.25">
      <c r="A16" s="90" t="s">
        <v>59</v>
      </c>
      <c r="B16" s="7" t="s">
        <v>60</v>
      </c>
      <c r="C16" s="8" t="s">
        <v>61</v>
      </c>
      <c r="D16" s="8" t="s">
        <v>62</v>
      </c>
      <c r="E16" s="8" t="s">
        <v>63</v>
      </c>
      <c r="F16" s="8" t="s">
        <v>58</v>
      </c>
      <c r="G16" s="8"/>
      <c r="H16" s="8"/>
      <c r="I16" s="8">
        <v>2</v>
      </c>
      <c r="J16" s="105">
        <f>SUM(G16:I17)</f>
        <v>3</v>
      </c>
    </row>
    <row r="17" spans="1:10" ht="67.150000000000006" customHeight="1" x14ac:dyDescent="0.25">
      <c r="A17" s="90" t="s">
        <v>59</v>
      </c>
      <c r="B17" s="7" t="s">
        <v>64</v>
      </c>
      <c r="C17" s="8" t="s">
        <v>65</v>
      </c>
      <c r="D17" s="8" t="s">
        <v>66</v>
      </c>
      <c r="E17" s="8" t="s">
        <v>67</v>
      </c>
      <c r="F17" s="8" t="s">
        <v>40</v>
      </c>
      <c r="G17" s="8"/>
      <c r="H17" s="8">
        <v>1</v>
      </c>
      <c r="I17" s="8"/>
      <c r="J17" s="105"/>
    </row>
    <row r="18" spans="1:10" ht="15" customHeight="1" thickBot="1" x14ac:dyDescent="0.3">
      <c r="A18" s="106" t="s">
        <v>375</v>
      </c>
      <c r="B18" s="106"/>
      <c r="C18" s="106"/>
      <c r="D18" s="106"/>
      <c r="E18" s="106"/>
      <c r="F18" s="107"/>
      <c r="G18" s="14">
        <f t="shared" ref="G18:H18" si="0">SUM(G4:G17)</f>
        <v>0</v>
      </c>
      <c r="H18" s="14">
        <f t="shared" si="0"/>
        <v>10</v>
      </c>
      <c r="I18" s="14">
        <f>SUM(I4:I17)</f>
        <v>8</v>
      </c>
      <c r="J18" s="14">
        <f>SUM(J4:J17)</f>
        <v>18</v>
      </c>
    </row>
    <row r="20" spans="1:10" ht="15.75" thickBot="1" x14ac:dyDescent="0.3"/>
    <row r="21" spans="1:10" ht="64.5" thickBot="1" x14ac:dyDescent="0.3">
      <c r="A21" s="1" t="s">
        <v>69</v>
      </c>
      <c r="B21" s="2" t="s">
        <v>70</v>
      </c>
      <c r="C21" s="2" t="s">
        <v>71</v>
      </c>
      <c r="D21" s="2" t="s">
        <v>72</v>
      </c>
      <c r="E21" s="102" t="s">
        <v>356</v>
      </c>
      <c r="F21" s="13" t="s">
        <v>73</v>
      </c>
      <c r="G21" s="13" t="s">
        <v>74</v>
      </c>
      <c r="H21" s="13" t="s">
        <v>75</v>
      </c>
    </row>
    <row r="22" spans="1:10" ht="64.5" thickBot="1" x14ac:dyDescent="0.3">
      <c r="A22" s="3" t="s">
        <v>76</v>
      </c>
      <c r="B22" s="5">
        <v>7</v>
      </c>
      <c r="C22" s="5">
        <v>14</v>
      </c>
      <c r="D22" s="4">
        <v>0.25</v>
      </c>
      <c r="E22" s="103"/>
      <c r="F22" s="5">
        <v>10</v>
      </c>
      <c r="G22" s="12">
        <f>F22/C22</f>
        <v>0.7142857142857143</v>
      </c>
      <c r="H22" s="4">
        <f>G22*D22</f>
        <v>0.17857142857142858</v>
      </c>
    </row>
    <row r="23" spans="1:10" ht="39" thickBot="1" x14ac:dyDescent="0.3">
      <c r="A23" s="3" t="s">
        <v>77</v>
      </c>
      <c r="B23" s="5">
        <v>4</v>
      </c>
      <c r="C23" s="5">
        <v>8</v>
      </c>
      <c r="D23" s="4">
        <v>0.25</v>
      </c>
      <c r="E23" s="103"/>
      <c r="F23" s="5">
        <v>4</v>
      </c>
      <c r="G23" s="12">
        <f t="shared" ref="G23:G25" si="1">F23/C23</f>
        <v>0.5</v>
      </c>
      <c r="H23" s="4">
        <f>G23*D23</f>
        <v>0.125</v>
      </c>
    </row>
    <row r="24" spans="1:10" ht="64.5" thickBot="1" x14ac:dyDescent="0.3">
      <c r="A24" s="3" t="s">
        <v>78</v>
      </c>
      <c r="B24" s="5">
        <v>1</v>
      </c>
      <c r="C24" s="5">
        <v>2</v>
      </c>
      <c r="D24" s="4">
        <v>0.25</v>
      </c>
      <c r="E24" s="103"/>
      <c r="F24" s="5">
        <v>1</v>
      </c>
      <c r="G24" s="12">
        <f t="shared" si="1"/>
        <v>0.5</v>
      </c>
      <c r="H24" s="4">
        <f>G24*D24</f>
        <v>0.125</v>
      </c>
    </row>
    <row r="25" spans="1:10" ht="26.25" thickBot="1" x14ac:dyDescent="0.3">
      <c r="A25" s="3" t="s">
        <v>79</v>
      </c>
      <c r="B25" s="5">
        <v>2</v>
      </c>
      <c r="C25" s="5">
        <v>4</v>
      </c>
      <c r="D25" s="4">
        <v>0.25</v>
      </c>
      <c r="E25" s="103"/>
      <c r="F25" s="5">
        <v>4</v>
      </c>
      <c r="G25" s="12">
        <f t="shared" si="1"/>
        <v>1</v>
      </c>
      <c r="H25" s="4">
        <f>G25*D25</f>
        <v>0.25</v>
      </c>
    </row>
    <row r="26" spans="1:10" ht="16.5" thickBot="1" x14ac:dyDescent="0.3">
      <c r="A26" s="15" t="s">
        <v>80</v>
      </c>
      <c r="B26" s="16">
        <f>SUM(B22:B25)</f>
        <v>14</v>
      </c>
      <c r="C26" s="16">
        <f>SUM(C22:C25)</f>
        <v>28</v>
      </c>
      <c r="D26" s="17">
        <f>SUM(D22:D25)</f>
        <v>1</v>
      </c>
      <c r="E26" s="104"/>
      <c r="F26" s="16">
        <f>SUM(F22:F25)</f>
        <v>19</v>
      </c>
      <c r="G26" s="16" t="s">
        <v>81</v>
      </c>
      <c r="H26" s="18">
        <f>SUM(H22:H25)</f>
        <v>0.6785714285714286</v>
      </c>
    </row>
  </sheetData>
  <mergeCells count="6">
    <mergeCell ref="J16:J17"/>
    <mergeCell ref="A18:F18"/>
    <mergeCell ref="E21:E26"/>
    <mergeCell ref="A1:J1"/>
    <mergeCell ref="J4:J10"/>
    <mergeCell ref="J11:J14"/>
  </mergeCells>
  <conditionalFormatting sqref="G22:G25">
    <cfRule type="cellIs" dxfId="31" priority="1" operator="between">
      <formula>0.8</formula>
      <formula>1</formula>
    </cfRule>
    <cfRule type="cellIs" dxfId="30" priority="2" operator="between">
      <formula>0.41</formula>
      <formula>0.79</formula>
    </cfRule>
    <cfRule type="cellIs" dxfId="29" priority="3" operator="between">
      <formula>0</formula>
      <formula>0.4</formula>
    </cfRule>
  </conditionalFormatting>
  <pageMargins left="0.511811024" right="0.511811024" top="0.78740157499999996" bottom="0.78740157499999996" header="0.31496062000000002" footer="0.3149606200000000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D6D38-B853-4FFF-A6F6-C5689D6B037F}">
  <dimension ref="A1:J26"/>
  <sheetViews>
    <sheetView topLeftCell="A16" workbookViewId="0">
      <selection activeCell="E21" sqref="E21:E26"/>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9.2851562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32"/>
      <c r="H4" s="8"/>
      <c r="I4" s="95">
        <v>2</v>
      </c>
      <c r="J4" s="105">
        <f>SUM(G4:I10)</f>
        <v>14</v>
      </c>
    </row>
    <row r="5" spans="1:10" ht="52.15" customHeight="1" x14ac:dyDescent="0.25">
      <c r="A5" s="90" t="s">
        <v>11</v>
      </c>
      <c r="B5" s="7" t="s">
        <v>17</v>
      </c>
      <c r="C5" s="8" t="s">
        <v>18</v>
      </c>
      <c r="D5" s="8" t="s">
        <v>19</v>
      </c>
      <c r="E5" s="91" t="s">
        <v>15</v>
      </c>
      <c r="F5" s="91" t="s">
        <v>16</v>
      </c>
      <c r="G5" s="32"/>
      <c r="H5" s="8"/>
      <c r="I5" s="95">
        <v>2</v>
      </c>
      <c r="J5" s="105"/>
    </row>
    <row r="6" spans="1:10" ht="44.65" customHeight="1" x14ac:dyDescent="0.25">
      <c r="A6" s="90" t="s">
        <v>11</v>
      </c>
      <c r="B6" s="7" t="s">
        <v>20</v>
      </c>
      <c r="C6" s="8" t="s">
        <v>21</v>
      </c>
      <c r="D6" s="8" t="s">
        <v>22</v>
      </c>
      <c r="E6" s="91" t="s">
        <v>15</v>
      </c>
      <c r="F6" s="91" t="s">
        <v>16</v>
      </c>
      <c r="G6" s="32"/>
      <c r="H6" s="8"/>
      <c r="I6" s="95">
        <v>2</v>
      </c>
      <c r="J6" s="105"/>
    </row>
    <row r="7" spans="1:10" ht="48.6" customHeight="1" x14ac:dyDescent="0.25">
      <c r="A7" s="90" t="s">
        <v>11</v>
      </c>
      <c r="B7" s="7" t="s">
        <v>23</v>
      </c>
      <c r="C7" s="8" t="s">
        <v>24</v>
      </c>
      <c r="D7" s="8" t="s">
        <v>25</v>
      </c>
      <c r="E7" s="91" t="s">
        <v>15</v>
      </c>
      <c r="F7" s="91" t="s">
        <v>16</v>
      </c>
      <c r="G7" s="32"/>
      <c r="H7" s="8"/>
      <c r="I7" s="95">
        <v>2</v>
      </c>
      <c r="J7" s="105"/>
    </row>
    <row r="8" spans="1:10" ht="52.5" customHeight="1" x14ac:dyDescent="0.25">
      <c r="A8" s="90" t="s">
        <v>11</v>
      </c>
      <c r="B8" s="7" t="s">
        <v>26</v>
      </c>
      <c r="C8" s="8" t="s">
        <v>27</v>
      </c>
      <c r="D8" s="8" t="s">
        <v>28</v>
      </c>
      <c r="E8" s="91" t="s">
        <v>15</v>
      </c>
      <c r="F8" s="91" t="s">
        <v>16</v>
      </c>
      <c r="G8" s="32"/>
      <c r="H8" s="8"/>
      <c r="I8" s="95">
        <v>2</v>
      </c>
      <c r="J8" s="105"/>
    </row>
    <row r="9" spans="1:10" ht="44.65" customHeight="1" x14ac:dyDescent="0.25">
      <c r="A9" s="90" t="s">
        <v>11</v>
      </c>
      <c r="B9" s="7" t="s">
        <v>29</v>
      </c>
      <c r="C9" s="8" t="s">
        <v>30</v>
      </c>
      <c r="D9" s="8" t="s">
        <v>31</v>
      </c>
      <c r="E9" s="91" t="s">
        <v>15</v>
      </c>
      <c r="F9" s="91" t="s">
        <v>16</v>
      </c>
      <c r="G9" s="32"/>
      <c r="H9" s="8"/>
      <c r="I9" s="95">
        <v>2</v>
      </c>
      <c r="J9" s="105"/>
    </row>
    <row r="10" spans="1:10" ht="76.5" customHeight="1" x14ac:dyDescent="0.25">
      <c r="A10" s="90" t="s">
        <v>11</v>
      </c>
      <c r="B10" s="7" t="s">
        <v>32</v>
      </c>
      <c r="C10" s="8" t="s">
        <v>33</v>
      </c>
      <c r="D10" s="8" t="s">
        <v>34</v>
      </c>
      <c r="E10" s="91" t="s">
        <v>15</v>
      </c>
      <c r="F10" s="91" t="s">
        <v>16</v>
      </c>
      <c r="G10" s="32"/>
      <c r="H10" s="8"/>
      <c r="I10" s="95">
        <v>2</v>
      </c>
      <c r="J10" s="105"/>
    </row>
    <row r="11" spans="1:10" ht="117.6" customHeight="1" x14ac:dyDescent="0.25">
      <c r="A11" s="90" t="s">
        <v>35</v>
      </c>
      <c r="B11" s="7" t="s">
        <v>36</v>
      </c>
      <c r="C11" s="8" t="s">
        <v>37</v>
      </c>
      <c r="D11" s="8" t="s">
        <v>38</v>
      </c>
      <c r="E11" s="8" t="s">
        <v>39</v>
      </c>
      <c r="F11" s="8" t="s">
        <v>40</v>
      </c>
      <c r="G11" s="32"/>
      <c r="H11" s="96">
        <v>1</v>
      </c>
      <c r="I11" s="8"/>
      <c r="J11" s="105">
        <f>SUM(G11:I14)</f>
        <v>6</v>
      </c>
    </row>
    <row r="12" spans="1:10" ht="93" customHeight="1" x14ac:dyDescent="0.25">
      <c r="A12" s="90" t="s">
        <v>35</v>
      </c>
      <c r="B12" s="7" t="s">
        <v>41</v>
      </c>
      <c r="C12" s="8" t="s">
        <v>42</v>
      </c>
      <c r="D12" s="8" t="s">
        <v>43</v>
      </c>
      <c r="E12" s="8" t="s">
        <v>44</v>
      </c>
      <c r="F12" s="8" t="s">
        <v>40</v>
      </c>
      <c r="G12" s="8"/>
      <c r="H12" s="96">
        <v>1</v>
      </c>
      <c r="I12" s="8"/>
      <c r="J12" s="105"/>
    </row>
    <row r="13" spans="1:10" ht="76.5" customHeight="1" x14ac:dyDescent="0.25">
      <c r="A13" s="90" t="s">
        <v>35</v>
      </c>
      <c r="B13" s="7" t="s">
        <v>45</v>
      </c>
      <c r="C13" s="8" t="s">
        <v>46</v>
      </c>
      <c r="D13" s="8" t="s">
        <v>47</v>
      </c>
      <c r="E13" s="8" t="s">
        <v>48</v>
      </c>
      <c r="F13" s="8" t="s">
        <v>40</v>
      </c>
      <c r="G13" s="8"/>
      <c r="H13" s="8"/>
      <c r="I13" s="95">
        <v>2</v>
      </c>
      <c r="J13" s="105"/>
    </row>
    <row r="14" spans="1:10" ht="93.6" customHeight="1" x14ac:dyDescent="0.25">
      <c r="A14" s="90" t="s">
        <v>35</v>
      </c>
      <c r="B14" s="7" t="s">
        <v>49</v>
      </c>
      <c r="C14" s="8" t="s">
        <v>50</v>
      </c>
      <c r="D14" s="8" t="s">
        <v>51</v>
      </c>
      <c r="E14" s="8" t="s">
        <v>52</v>
      </c>
      <c r="F14" s="8" t="s">
        <v>40</v>
      </c>
      <c r="G14" s="8"/>
      <c r="H14" s="8"/>
      <c r="I14" s="95">
        <v>2</v>
      </c>
      <c r="J14" s="105"/>
    </row>
    <row r="15" spans="1:10" ht="78.599999999999994" customHeight="1" x14ac:dyDescent="0.25">
      <c r="A15" s="9" t="s">
        <v>53</v>
      </c>
      <c r="B15" s="7" t="s">
        <v>54</v>
      </c>
      <c r="C15" s="8" t="s">
        <v>55</v>
      </c>
      <c r="D15" s="11" t="s">
        <v>56</v>
      </c>
      <c r="E15" s="8" t="s">
        <v>57</v>
      </c>
      <c r="F15" s="8" t="s">
        <v>58</v>
      </c>
      <c r="G15" s="8"/>
      <c r="H15" s="8"/>
      <c r="I15" s="95">
        <v>2</v>
      </c>
      <c r="J15" s="10">
        <v>2</v>
      </c>
    </row>
    <row r="16" spans="1:10" ht="65.650000000000006" customHeight="1" x14ac:dyDescent="0.25">
      <c r="A16" s="90" t="s">
        <v>59</v>
      </c>
      <c r="B16" s="7" t="s">
        <v>60</v>
      </c>
      <c r="C16" s="8" t="s">
        <v>61</v>
      </c>
      <c r="D16" s="8" t="s">
        <v>62</v>
      </c>
      <c r="E16" s="8" t="s">
        <v>63</v>
      </c>
      <c r="F16" s="8" t="s">
        <v>58</v>
      </c>
      <c r="G16" s="8"/>
      <c r="H16" s="96">
        <v>1</v>
      </c>
      <c r="I16" s="8"/>
      <c r="J16" s="105">
        <f>SUM(G16:I17)</f>
        <v>3</v>
      </c>
    </row>
    <row r="17" spans="1:10" ht="67.150000000000006" customHeight="1" x14ac:dyDescent="0.25">
      <c r="A17" s="90" t="s">
        <v>59</v>
      </c>
      <c r="B17" s="7" t="s">
        <v>64</v>
      </c>
      <c r="C17" s="8" t="s">
        <v>65</v>
      </c>
      <c r="D17" s="8" t="s">
        <v>66</v>
      </c>
      <c r="E17" s="8" t="s">
        <v>67</v>
      </c>
      <c r="F17" s="8" t="s">
        <v>40</v>
      </c>
      <c r="G17" s="8"/>
      <c r="H17" s="8"/>
      <c r="I17" s="95">
        <v>2</v>
      </c>
      <c r="J17" s="105"/>
    </row>
    <row r="18" spans="1:10" ht="15" customHeight="1" thickBot="1" x14ac:dyDescent="0.3">
      <c r="A18" s="106" t="s">
        <v>325</v>
      </c>
      <c r="B18" s="106"/>
      <c r="C18" s="106"/>
      <c r="D18" s="106"/>
      <c r="E18" s="106"/>
      <c r="F18" s="107"/>
      <c r="G18" s="14">
        <f t="shared" ref="G18:H18" si="0">SUM(G4:G17)</f>
        <v>0</v>
      </c>
      <c r="H18" s="14">
        <f t="shared" si="0"/>
        <v>3</v>
      </c>
      <c r="I18" s="14">
        <f>SUM(I4:I17)</f>
        <v>22</v>
      </c>
      <c r="J18" s="14">
        <f>SUM(J4:J17)</f>
        <v>25</v>
      </c>
    </row>
    <row r="20" spans="1:10" ht="15.75" thickBot="1" x14ac:dyDescent="0.3"/>
    <row r="21" spans="1:10" ht="51.75" thickBot="1" x14ac:dyDescent="0.3">
      <c r="A21" s="1" t="s">
        <v>69</v>
      </c>
      <c r="B21" s="2" t="s">
        <v>70</v>
      </c>
      <c r="C21" s="2" t="s">
        <v>71</v>
      </c>
      <c r="D21" s="2" t="s">
        <v>72</v>
      </c>
      <c r="E21" s="102" t="s">
        <v>357</v>
      </c>
      <c r="F21" s="13" t="s">
        <v>85</v>
      </c>
      <c r="G21" s="13" t="s">
        <v>86</v>
      </c>
      <c r="H21" s="13" t="s">
        <v>87</v>
      </c>
    </row>
    <row r="22" spans="1:10" ht="64.5" thickBot="1" x14ac:dyDescent="0.3">
      <c r="A22" s="3" t="s">
        <v>76</v>
      </c>
      <c r="B22" s="5">
        <v>7</v>
      </c>
      <c r="C22" s="5">
        <v>14</v>
      </c>
      <c r="D22" s="4">
        <v>0.25</v>
      </c>
      <c r="E22" s="103"/>
      <c r="F22" s="5">
        <v>14</v>
      </c>
      <c r="G22" s="12">
        <f>F22/C22</f>
        <v>1</v>
      </c>
      <c r="H22" s="4">
        <f>G22*D22</f>
        <v>0.25</v>
      </c>
    </row>
    <row r="23" spans="1:10" ht="39" thickBot="1" x14ac:dyDescent="0.3">
      <c r="A23" s="3" t="s">
        <v>77</v>
      </c>
      <c r="B23" s="5">
        <v>4</v>
      </c>
      <c r="C23" s="5">
        <v>8</v>
      </c>
      <c r="D23" s="4">
        <v>0.25</v>
      </c>
      <c r="E23" s="103"/>
      <c r="F23" s="5">
        <v>6</v>
      </c>
      <c r="G23" s="12">
        <f t="shared" ref="G23:G25" si="1">F23/C23</f>
        <v>0.75</v>
      </c>
      <c r="H23" s="4">
        <f>G23*D23</f>
        <v>0.1875</v>
      </c>
    </row>
    <row r="24" spans="1:10" ht="64.5" thickBot="1" x14ac:dyDescent="0.3">
      <c r="A24" s="3" t="s">
        <v>78</v>
      </c>
      <c r="B24" s="5">
        <v>1</v>
      </c>
      <c r="C24" s="5">
        <v>2</v>
      </c>
      <c r="D24" s="4">
        <v>0.25</v>
      </c>
      <c r="E24" s="103"/>
      <c r="F24" s="5">
        <v>2</v>
      </c>
      <c r="G24" s="12">
        <f t="shared" si="1"/>
        <v>1</v>
      </c>
      <c r="H24" s="4">
        <f>G24*D24</f>
        <v>0.25</v>
      </c>
    </row>
    <row r="25" spans="1:10" ht="26.25" thickBot="1" x14ac:dyDescent="0.3">
      <c r="A25" s="3" t="s">
        <v>79</v>
      </c>
      <c r="B25" s="5">
        <v>2</v>
      </c>
      <c r="C25" s="5">
        <v>4</v>
      </c>
      <c r="D25" s="4">
        <v>0.25</v>
      </c>
      <c r="E25" s="103"/>
      <c r="F25" s="5">
        <v>3</v>
      </c>
      <c r="G25" s="12">
        <f t="shared" si="1"/>
        <v>0.75</v>
      </c>
      <c r="H25" s="4">
        <f>G25*D25</f>
        <v>0.1875</v>
      </c>
    </row>
    <row r="26" spans="1:10" ht="16.5" thickBot="1" x14ac:dyDescent="0.3">
      <c r="A26" s="15" t="s">
        <v>80</v>
      </c>
      <c r="B26" s="16">
        <f>SUM(B22:B25)</f>
        <v>14</v>
      </c>
      <c r="C26" s="16">
        <f>SUM(C22:C25)</f>
        <v>28</v>
      </c>
      <c r="D26" s="17">
        <f>SUM(D22:D25)</f>
        <v>1</v>
      </c>
      <c r="E26" s="104"/>
      <c r="F26" s="16">
        <f>SUM(F22:F25)</f>
        <v>25</v>
      </c>
      <c r="G26" s="16" t="s">
        <v>81</v>
      </c>
      <c r="H26" s="18">
        <f>SUM(H22:H25)</f>
        <v>0.875</v>
      </c>
    </row>
  </sheetData>
  <mergeCells count="6">
    <mergeCell ref="J16:J17"/>
    <mergeCell ref="A18:F18"/>
    <mergeCell ref="E21:E26"/>
    <mergeCell ref="A1:J1"/>
    <mergeCell ref="J4:J10"/>
    <mergeCell ref="J11:J14"/>
  </mergeCells>
  <conditionalFormatting sqref="G22:G25">
    <cfRule type="cellIs" dxfId="28" priority="1" operator="between">
      <formula>0.8</formula>
      <formula>1</formula>
    </cfRule>
    <cfRule type="cellIs" dxfId="27" priority="2" operator="between">
      <formula>0.41</formula>
      <formula>0.79</formula>
    </cfRule>
    <cfRule type="cellIs" dxfId="26" priority="3" operator="between">
      <formula>0</formula>
      <formula>0.4</formula>
    </cfRule>
  </conditionalFormatting>
  <pageMargins left="0.511811024" right="0.511811024" top="0.78740157499999996" bottom="0.78740157499999996" header="0.31496062000000002" footer="0.3149606200000000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C4419-FAFA-426A-8E65-7D11DDC8D9A7}">
  <dimension ref="A1:J26"/>
  <sheetViews>
    <sheetView topLeftCell="A16" workbookViewId="0">
      <selection activeCell="E21" sqref="E21:E26"/>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9.2851562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8"/>
      <c r="I4" s="95">
        <v>2</v>
      </c>
      <c r="J4" s="105">
        <f>SUM(G4:I10)</f>
        <v>12</v>
      </c>
    </row>
    <row r="5" spans="1:10" ht="52.15" customHeight="1" x14ac:dyDescent="0.25">
      <c r="A5" s="90" t="s">
        <v>11</v>
      </c>
      <c r="B5" s="7" t="s">
        <v>17</v>
      </c>
      <c r="C5" s="8" t="s">
        <v>18</v>
      </c>
      <c r="D5" s="8" t="s">
        <v>19</v>
      </c>
      <c r="E5" s="91" t="s">
        <v>15</v>
      </c>
      <c r="F5" s="91" t="s">
        <v>16</v>
      </c>
      <c r="G5" s="8"/>
      <c r="H5" s="8"/>
      <c r="I5" s="95">
        <v>2</v>
      </c>
      <c r="J5" s="105"/>
    </row>
    <row r="6" spans="1:10" ht="44.65" customHeight="1" x14ac:dyDescent="0.25">
      <c r="A6" s="90" t="s">
        <v>11</v>
      </c>
      <c r="B6" s="7" t="s">
        <v>20</v>
      </c>
      <c r="C6" s="8" t="s">
        <v>21</v>
      </c>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8"/>
      <c r="H7" s="96">
        <v>1</v>
      </c>
      <c r="I7" s="8"/>
      <c r="J7" s="105"/>
    </row>
    <row r="8" spans="1:10" ht="52.5" customHeight="1" x14ac:dyDescent="0.25">
      <c r="A8" s="90" t="s">
        <v>11</v>
      </c>
      <c r="B8" s="7" t="s">
        <v>26</v>
      </c>
      <c r="C8" s="8" t="s">
        <v>27</v>
      </c>
      <c r="D8" s="8" t="s">
        <v>28</v>
      </c>
      <c r="E8" s="91" t="s">
        <v>15</v>
      </c>
      <c r="F8" s="91" t="s">
        <v>16</v>
      </c>
      <c r="G8" s="8"/>
      <c r="H8" s="96">
        <v>1</v>
      </c>
      <c r="I8" s="8"/>
      <c r="J8" s="105"/>
    </row>
    <row r="9" spans="1:10" ht="44.65" customHeight="1" x14ac:dyDescent="0.25">
      <c r="A9" s="90" t="s">
        <v>11</v>
      </c>
      <c r="B9" s="7" t="s">
        <v>29</v>
      </c>
      <c r="C9" s="8" t="s">
        <v>30</v>
      </c>
      <c r="D9" s="8" t="s">
        <v>31</v>
      </c>
      <c r="E9" s="91" t="s">
        <v>15</v>
      </c>
      <c r="F9" s="91" t="s">
        <v>16</v>
      </c>
      <c r="G9" s="8"/>
      <c r="H9" s="8"/>
      <c r="I9" s="95">
        <v>2</v>
      </c>
      <c r="J9" s="105"/>
    </row>
    <row r="10" spans="1:10" ht="76.5" customHeight="1" x14ac:dyDescent="0.25">
      <c r="A10" s="90" t="s">
        <v>11</v>
      </c>
      <c r="B10" s="7" t="s">
        <v>32</v>
      </c>
      <c r="C10" s="8" t="s">
        <v>33</v>
      </c>
      <c r="D10" s="8" t="s">
        <v>34</v>
      </c>
      <c r="E10" s="91" t="s">
        <v>15</v>
      </c>
      <c r="F10" s="91" t="s">
        <v>16</v>
      </c>
      <c r="G10" s="8"/>
      <c r="H10" s="8"/>
      <c r="I10" s="95">
        <v>2</v>
      </c>
      <c r="J10" s="105"/>
    </row>
    <row r="11" spans="1:10" ht="117.6" customHeight="1" x14ac:dyDescent="0.25">
      <c r="A11" s="90" t="s">
        <v>35</v>
      </c>
      <c r="B11" s="7" t="s">
        <v>36</v>
      </c>
      <c r="C11" s="8" t="s">
        <v>37</v>
      </c>
      <c r="D11" s="8" t="s">
        <v>38</v>
      </c>
      <c r="E11" s="8" t="s">
        <v>39</v>
      </c>
      <c r="F11" s="8" t="s">
        <v>40</v>
      </c>
      <c r="G11" s="8"/>
      <c r="H11" s="8"/>
      <c r="I11" s="95">
        <v>2</v>
      </c>
      <c r="J11" s="105">
        <f>SUM(G11:I14)</f>
        <v>6</v>
      </c>
    </row>
    <row r="12" spans="1:10" ht="93" customHeight="1" x14ac:dyDescent="0.25">
      <c r="A12" s="90" t="s">
        <v>35</v>
      </c>
      <c r="B12" s="7" t="s">
        <v>41</v>
      </c>
      <c r="C12" s="8" t="s">
        <v>42</v>
      </c>
      <c r="D12" s="8" t="s">
        <v>43</v>
      </c>
      <c r="E12" s="8" t="s">
        <v>44</v>
      </c>
      <c r="F12" s="8" t="s">
        <v>40</v>
      </c>
      <c r="G12" s="8"/>
      <c r="H12" s="8"/>
      <c r="I12" s="95">
        <v>2</v>
      </c>
      <c r="J12" s="105"/>
    </row>
    <row r="13" spans="1:10" ht="76.5" customHeight="1" x14ac:dyDescent="0.25">
      <c r="A13" s="90" t="s">
        <v>35</v>
      </c>
      <c r="B13" s="7" t="s">
        <v>45</v>
      </c>
      <c r="C13" s="8" t="s">
        <v>46</v>
      </c>
      <c r="D13" s="8" t="s">
        <v>47</v>
      </c>
      <c r="E13" s="8" t="s">
        <v>48</v>
      </c>
      <c r="F13" s="8" t="s">
        <v>40</v>
      </c>
      <c r="G13" s="8"/>
      <c r="H13" s="96">
        <v>1</v>
      </c>
      <c r="I13" s="8"/>
      <c r="J13" s="105"/>
    </row>
    <row r="14" spans="1:10" ht="93.6" customHeight="1" x14ac:dyDescent="0.25">
      <c r="A14" s="90" t="s">
        <v>35</v>
      </c>
      <c r="B14" s="7" t="s">
        <v>49</v>
      </c>
      <c r="C14" s="8" t="s">
        <v>50</v>
      </c>
      <c r="D14" s="8" t="s">
        <v>51</v>
      </c>
      <c r="E14" s="8" t="s">
        <v>52</v>
      </c>
      <c r="F14" s="8" t="s">
        <v>40</v>
      </c>
      <c r="G14" s="8"/>
      <c r="H14" s="96">
        <v>1</v>
      </c>
      <c r="I14" s="8"/>
      <c r="J14" s="105"/>
    </row>
    <row r="15" spans="1:10" ht="78.599999999999994" customHeight="1" x14ac:dyDescent="0.25">
      <c r="A15" s="9" t="s">
        <v>53</v>
      </c>
      <c r="B15" s="7" t="s">
        <v>54</v>
      </c>
      <c r="C15" s="8" t="s">
        <v>55</v>
      </c>
      <c r="D15" s="11" t="s">
        <v>56</v>
      </c>
      <c r="E15" s="8" t="s">
        <v>57</v>
      </c>
      <c r="F15" s="8" t="s">
        <v>58</v>
      </c>
      <c r="G15" s="8"/>
      <c r="H15" s="8"/>
      <c r="I15" s="95">
        <v>2</v>
      </c>
      <c r="J15" s="10">
        <f>SUM(G15:I15)</f>
        <v>2</v>
      </c>
    </row>
    <row r="16" spans="1:10" ht="65.650000000000006" customHeight="1" x14ac:dyDescent="0.25">
      <c r="A16" s="90" t="s">
        <v>59</v>
      </c>
      <c r="B16" s="7" t="s">
        <v>60</v>
      </c>
      <c r="C16" s="8" t="s">
        <v>61</v>
      </c>
      <c r="D16" s="8" t="s">
        <v>62</v>
      </c>
      <c r="E16" s="8" t="s">
        <v>63</v>
      </c>
      <c r="F16" s="8" t="s">
        <v>58</v>
      </c>
      <c r="G16" s="8"/>
      <c r="H16" s="8"/>
      <c r="I16" s="95">
        <v>2</v>
      </c>
      <c r="J16" s="105">
        <f>SUM(G16:I17)</f>
        <v>4</v>
      </c>
    </row>
    <row r="17" spans="1:10" ht="67.150000000000006" customHeight="1" x14ac:dyDescent="0.25">
      <c r="A17" s="90" t="s">
        <v>59</v>
      </c>
      <c r="B17" s="7" t="s">
        <v>64</v>
      </c>
      <c r="C17" s="8" t="s">
        <v>65</v>
      </c>
      <c r="D17" s="8" t="s">
        <v>66</v>
      </c>
      <c r="E17" s="8" t="s">
        <v>67</v>
      </c>
      <c r="F17" s="8" t="s">
        <v>40</v>
      </c>
      <c r="G17" s="8"/>
      <c r="H17" s="8"/>
      <c r="I17" s="95">
        <v>2</v>
      </c>
      <c r="J17" s="105"/>
    </row>
    <row r="18" spans="1:10" ht="15" customHeight="1" thickBot="1" x14ac:dyDescent="0.3">
      <c r="A18" s="106" t="s">
        <v>327</v>
      </c>
      <c r="B18" s="106"/>
      <c r="C18" s="106"/>
      <c r="D18" s="106"/>
      <c r="E18" s="106"/>
      <c r="F18" s="107"/>
      <c r="G18" s="14">
        <f t="shared" ref="G18:H18" si="0">SUM(G4:G17)</f>
        <v>0</v>
      </c>
      <c r="H18" s="14">
        <f t="shared" si="0"/>
        <v>4</v>
      </c>
      <c r="I18" s="14">
        <f>SUM(I4:I17)</f>
        <v>20</v>
      </c>
      <c r="J18" s="14">
        <f>SUM(J4:J17)</f>
        <v>24</v>
      </c>
    </row>
    <row r="20" spans="1:10" ht="15.75" thickBot="1" x14ac:dyDescent="0.3"/>
    <row r="21" spans="1:10" ht="51.75" thickBot="1" x14ac:dyDescent="0.3">
      <c r="A21" s="1" t="s">
        <v>69</v>
      </c>
      <c r="B21" s="2" t="s">
        <v>70</v>
      </c>
      <c r="C21" s="2" t="s">
        <v>71</v>
      </c>
      <c r="D21" s="2" t="s">
        <v>72</v>
      </c>
      <c r="E21" s="102" t="s">
        <v>358</v>
      </c>
      <c r="F21" s="13" t="s">
        <v>85</v>
      </c>
      <c r="G21" s="13" t="s">
        <v>86</v>
      </c>
      <c r="H21" s="13" t="s">
        <v>87</v>
      </c>
    </row>
    <row r="22" spans="1:10" ht="64.5" thickBot="1" x14ac:dyDescent="0.3">
      <c r="A22" s="3" t="s">
        <v>76</v>
      </c>
      <c r="B22" s="5">
        <v>7</v>
      </c>
      <c r="C22" s="5">
        <v>14</v>
      </c>
      <c r="D22" s="4">
        <v>0.25</v>
      </c>
      <c r="E22" s="103"/>
      <c r="F22" s="5">
        <v>12</v>
      </c>
      <c r="G22" s="12">
        <f>F22/C22</f>
        <v>0.8571428571428571</v>
      </c>
      <c r="H22" s="4">
        <f>G22*D22</f>
        <v>0.21428571428571427</v>
      </c>
    </row>
    <row r="23" spans="1:10" ht="39" thickBot="1" x14ac:dyDescent="0.3">
      <c r="A23" s="3" t="s">
        <v>77</v>
      </c>
      <c r="B23" s="5">
        <v>4</v>
      </c>
      <c r="C23" s="5">
        <v>8</v>
      </c>
      <c r="D23" s="4">
        <v>0.25</v>
      </c>
      <c r="E23" s="103"/>
      <c r="F23" s="5">
        <v>6</v>
      </c>
      <c r="G23" s="12">
        <f t="shared" ref="G23:G25" si="1">F23/C23</f>
        <v>0.75</v>
      </c>
      <c r="H23" s="4">
        <f>G23*D23</f>
        <v>0.1875</v>
      </c>
    </row>
    <row r="24" spans="1:10" ht="64.5" thickBot="1" x14ac:dyDescent="0.3">
      <c r="A24" s="3" t="s">
        <v>78</v>
      </c>
      <c r="B24" s="5">
        <v>1</v>
      </c>
      <c r="C24" s="5">
        <v>2</v>
      </c>
      <c r="D24" s="4">
        <v>0.25</v>
      </c>
      <c r="E24" s="103"/>
      <c r="F24" s="5">
        <v>2</v>
      </c>
      <c r="G24" s="12">
        <f t="shared" si="1"/>
        <v>1</v>
      </c>
      <c r="H24" s="4">
        <f>G24*D24</f>
        <v>0.25</v>
      </c>
    </row>
    <row r="25" spans="1:10" ht="26.25" thickBot="1" x14ac:dyDescent="0.3">
      <c r="A25" s="3" t="s">
        <v>79</v>
      </c>
      <c r="B25" s="5">
        <v>2</v>
      </c>
      <c r="C25" s="5">
        <v>4</v>
      </c>
      <c r="D25" s="4">
        <v>0.25</v>
      </c>
      <c r="E25" s="103"/>
      <c r="F25" s="5">
        <v>4</v>
      </c>
      <c r="G25" s="12">
        <f t="shared" si="1"/>
        <v>1</v>
      </c>
      <c r="H25" s="4">
        <f>G25*D25</f>
        <v>0.25</v>
      </c>
    </row>
    <row r="26" spans="1:10" ht="16.5" thickBot="1" x14ac:dyDescent="0.3">
      <c r="A26" s="15" t="s">
        <v>80</v>
      </c>
      <c r="B26" s="16">
        <f>SUM(B22:B25)</f>
        <v>14</v>
      </c>
      <c r="C26" s="16">
        <f>SUM(C22:C25)</f>
        <v>28</v>
      </c>
      <c r="D26" s="17">
        <f>SUM(D22:D25)</f>
        <v>1</v>
      </c>
      <c r="E26" s="104"/>
      <c r="F26" s="16">
        <f>SUM(F22:F25)</f>
        <v>24</v>
      </c>
      <c r="G26" s="16" t="s">
        <v>81</v>
      </c>
      <c r="H26" s="18">
        <f>SUM(H22:H25)</f>
        <v>0.9017857142857143</v>
      </c>
    </row>
  </sheetData>
  <mergeCells count="6">
    <mergeCell ref="J16:J17"/>
    <mergeCell ref="A18:F18"/>
    <mergeCell ref="E21:E26"/>
    <mergeCell ref="A1:J1"/>
    <mergeCell ref="J4:J10"/>
    <mergeCell ref="J11:J14"/>
  </mergeCells>
  <conditionalFormatting sqref="G22:G25">
    <cfRule type="cellIs" dxfId="25" priority="1" operator="between">
      <formula>0.8</formula>
      <formula>1</formula>
    </cfRule>
    <cfRule type="cellIs" dxfId="24" priority="2" operator="between">
      <formula>0.41</formula>
      <formula>0.79</formula>
    </cfRule>
    <cfRule type="cellIs" dxfId="23" priority="3" operator="between">
      <formula>0</formula>
      <formula>0.4</formula>
    </cfRule>
  </conditionalFormatting>
  <pageMargins left="0.511811024" right="0.511811024" top="0.78740157499999996" bottom="0.78740157499999996" header="0.31496062000000002" footer="0.3149606200000000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09989-CF6E-422F-91F3-C42C6E6F5666}">
  <dimension ref="A1:J26"/>
  <sheetViews>
    <sheetView topLeftCell="A16" workbookViewId="0">
      <selection activeCell="G31" sqref="G31"/>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9.2851562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98">
        <v>0</v>
      </c>
      <c r="H4" s="8"/>
      <c r="I4" s="8"/>
      <c r="J4" s="109">
        <f>SUM(G4:I10)</f>
        <v>7</v>
      </c>
    </row>
    <row r="5" spans="1:10" ht="52.15" customHeight="1" x14ac:dyDescent="0.25">
      <c r="A5" s="90" t="s">
        <v>11</v>
      </c>
      <c r="B5" s="7" t="s">
        <v>17</v>
      </c>
      <c r="C5" s="8" t="s">
        <v>18</v>
      </c>
      <c r="D5" s="8" t="s">
        <v>19</v>
      </c>
      <c r="E5" s="91" t="s">
        <v>15</v>
      </c>
      <c r="F5" s="91" t="s">
        <v>16</v>
      </c>
      <c r="G5" s="98">
        <v>0</v>
      </c>
      <c r="H5" s="8"/>
      <c r="I5" s="8"/>
      <c r="J5" s="111"/>
    </row>
    <row r="6" spans="1:10" ht="44.65" customHeight="1" x14ac:dyDescent="0.25">
      <c r="A6" s="90" t="s">
        <v>11</v>
      </c>
      <c r="B6" s="7" t="s">
        <v>20</v>
      </c>
      <c r="C6" s="8" t="s">
        <v>21</v>
      </c>
      <c r="D6" s="8" t="s">
        <v>22</v>
      </c>
      <c r="E6" s="91" t="s">
        <v>15</v>
      </c>
      <c r="F6" s="91" t="s">
        <v>16</v>
      </c>
      <c r="G6" s="98">
        <v>0</v>
      </c>
      <c r="H6" s="8"/>
      <c r="I6" s="8"/>
      <c r="J6" s="111"/>
    </row>
    <row r="7" spans="1:10" ht="48.6" customHeight="1" x14ac:dyDescent="0.25">
      <c r="A7" s="90" t="s">
        <v>11</v>
      </c>
      <c r="B7" s="7" t="s">
        <v>23</v>
      </c>
      <c r="C7" s="8" t="s">
        <v>24</v>
      </c>
      <c r="D7" s="8" t="s">
        <v>25</v>
      </c>
      <c r="E7" s="91" t="s">
        <v>15</v>
      </c>
      <c r="F7" s="91" t="s">
        <v>16</v>
      </c>
      <c r="G7" s="8"/>
      <c r="H7" s="8"/>
      <c r="I7" s="95">
        <v>2</v>
      </c>
      <c r="J7" s="111"/>
    </row>
    <row r="8" spans="1:10" ht="52.5" customHeight="1" x14ac:dyDescent="0.25">
      <c r="A8" s="90" t="s">
        <v>11</v>
      </c>
      <c r="B8" s="7" t="s">
        <v>26</v>
      </c>
      <c r="C8" s="8" t="s">
        <v>27</v>
      </c>
      <c r="D8" s="8" t="s">
        <v>28</v>
      </c>
      <c r="E8" s="91" t="s">
        <v>15</v>
      </c>
      <c r="F8" s="91" t="s">
        <v>16</v>
      </c>
      <c r="G8" s="8"/>
      <c r="H8" s="8"/>
      <c r="I8" s="95">
        <v>2</v>
      </c>
      <c r="J8" s="111"/>
    </row>
    <row r="9" spans="1:10" ht="44.65" customHeight="1" x14ac:dyDescent="0.25">
      <c r="A9" s="90" t="s">
        <v>11</v>
      </c>
      <c r="B9" s="7" t="s">
        <v>29</v>
      </c>
      <c r="C9" s="8" t="s">
        <v>30</v>
      </c>
      <c r="D9" s="8" t="s">
        <v>31</v>
      </c>
      <c r="E9" s="91" t="s">
        <v>15</v>
      </c>
      <c r="F9" s="91" t="s">
        <v>16</v>
      </c>
      <c r="G9" s="8"/>
      <c r="H9" s="8"/>
      <c r="I9" s="95">
        <v>2</v>
      </c>
      <c r="J9" s="111"/>
    </row>
    <row r="10" spans="1:10" ht="76.5" customHeight="1" x14ac:dyDescent="0.25">
      <c r="A10" s="90" t="s">
        <v>11</v>
      </c>
      <c r="B10" s="7" t="s">
        <v>32</v>
      </c>
      <c r="C10" s="8" t="s">
        <v>33</v>
      </c>
      <c r="D10" s="8" t="s">
        <v>34</v>
      </c>
      <c r="E10" s="91" t="s">
        <v>15</v>
      </c>
      <c r="F10" s="91" t="s">
        <v>16</v>
      </c>
      <c r="G10" s="8"/>
      <c r="H10" s="96">
        <v>1</v>
      </c>
      <c r="I10" s="8"/>
      <c r="J10" s="110"/>
    </row>
    <row r="11" spans="1:10" ht="117.6" customHeight="1" x14ac:dyDescent="0.25">
      <c r="A11" s="90" t="s">
        <v>35</v>
      </c>
      <c r="B11" s="7" t="s">
        <v>36</v>
      </c>
      <c r="C11" s="8" t="s">
        <v>37</v>
      </c>
      <c r="D11" s="8" t="s">
        <v>38</v>
      </c>
      <c r="E11" s="8" t="s">
        <v>39</v>
      </c>
      <c r="F11" s="8" t="s">
        <v>40</v>
      </c>
      <c r="G11" s="8"/>
      <c r="H11" s="8"/>
      <c r="I11" s="95">
        <v>2</v>
      </c>
      <c r="J11" s="109">
        <f>SUM(G11:I14)</f>
        <v>6</v>
      </c>
    </row>
    <row r="12" spans="1:10" ht="93" customHeight="1" x14ac:dyDescent="0.25">
      <c r="A12" s="90" t="s">
        <v>35</v>
      </c>
      <c r="B12" s="7" t="s">
        <v>41</v>
      </c>
      <c r="C12" s="8" t="s">
        <v>42</v>
      </c>
      <c r="D12" s="8" t="s">
        <v>43</v>
      </c>
      <c r="E12" s="8" t="s">
        <v>44</v>
      </c>
      <c r="F12" s="8" t="s">
        <v>40</v>
      </c>
      <c r="G12" s="8"/>
      <c r="H12" s="8"/>
      <c r="I12" s="95">
        <v>2</v>
      </c>
      <c r="J12" s="111"/>
    </row>
    <row r="13" spans="1:10" ht="76.5" customHeight="1" x14ac:dyDescent="0.25">
      <c r="A13" s="90" t="s">
        <v>35</v>
      </c>
      <c r="B13" s="7" t="s">
        <v>45</v>
      </c>
      <c r="C13" s="8" t="s">
        <v>46</v>
      </c>
      <c r="D13" s="8" t="s">
        <v>47</v>
      </c>
      <c r="E13" s="8" t="s">
        <v>48</v>
      </c>
      <c r="F13" s="8" t="s">
        <v>40</v>
      </c>
      <c r="G13" s="8"/>
      <c r="H13" s="96">
        <v>1</v>
      </c>
      <c r="I13" s="8"/>
      <c r="J13" s="111"/>
    </row>
    <row r="14" spans="1:10" ht="93.6" customHeight="1" x14ac:dyDescent="0.25">
      <c r="A14" s="90" t="s">
        <v>35</v>
      </c>
      <c r="B14" s="7" t="s">
        <v>49</v>
      </c>
      <c r="C14" s="8" t="s">
        <v>50</v>
      </c>
      <c r="D14" s="8" t="s">
        <v>51</v>
      </c>
      <c r="E14" s="8" t="s">
        <v>52</v>
      </c>
      <c r="F14" s="8" t="s">
        <v>40</v>
      </c>
      <c r="G14" s="8"/>
      <c r="H14" s="96">
        <v>1</v>
      </c>
      <c r="I14" s="8"/>
      <c r="J14" s="110"/>
    </row>
    <row r="15" spans="1:10" ht="78.599999999999994" customHeight="1" x14ac:dyDescent="0.25">
      <c r="A15" s="9" t="s">
        <v>53</v>
      </c>
      <c r="B15" s="7" t="s">
        <v>54</v>
      </c>
      <c r="C15" s="8" t="s">
        <v>55</v>
      </c>
      <c r="D15" s="11" t="s">
        <v>56</v>
      </c>
      <c r="E15" s="8" t="s">
        <v>57</v>
      </c>
      <c r="F15" s="8" t="s">
        <v>58</v>
      </c>
      <c r="G15" s="8"/>
      <c r="H15" s="8">
        <v>1</v>
      </c>
      <c r="I15" s="8"/>
      <c r="J15" s="10">
        <f>SUM(G15:I15)</f>
        <v>1</v>
      </c>
    </row>
    <row r="16" spans="1:10" ht="65.650000000000006" customHeight="1" x14ac:dyDescent="0.25">
      <c r="A16" s="90" t="s">
        <v>59</v>
      </c>
      <c r="B16" s="7" t="s">
        <v>60</v>
      </c>
      <c r="C16" s="8" t="s">
        <v>61</v>
      </c>
      <c r="D16" s="8" t="s">
        <v>62</v>
      </c>
      <c r="E16" s="8" t="s">
        <v>63</v>
      </c>
      <c r="F16" s="8" t="s">
        <v>58</v>
      </c>
      <c r="G16" s="8"/>
      <c r="H16" s="96">
        <v>1</v>
      </c>
      <c r="I16" s="8"/>
      <c r="J16" s="109">
        <f>SUM(G16:I17)</f>
        <v>2</v>
      </c>
    </row>
    <row r="17" spans="1:10" ht="67.150000000000006" customHeight="1" x14ac:dyDescent="0.25">
      <c r="A17" s="90" t="s">
        <v>59</v>
      </c>
      <c r="B17" s="7" t="s">
        <v>64</v>
      </c>
      <c r="C17" s="8" t="s">
        <v>65</v>
      </c>
      <c r="D17" s="8" t="s">
        <v>66</v>
      </c>
      <c r="E17" s="8" t="s">
        <v>67</v>
      </c>
      <c r="F17" s="8" t="s">
        <v>40</v>
      </c>
      <c r="G17" s="8"/>
      <c r="H17" s="96">
        <v>1</v>
      </c>
      <c r="I17" s="8"/>
      <c r="J17" s="110"/>
    </row>
    <row r="18" spans="1:10" ht="15" customHeight="1" thickBot="1" x14ac:dyDescent="0.3">
      <c r="A18" s="106" t="s">
        <v>370</v>
      </c>
      <c r="B18" s="106"/>
      <c r="C18" s="106"/>
      <c r="D18" s="106"/>
      <c r="E18" s="106"/>
      <c r="F18" s="107"/>
      <c r="G18" s="14">
        <f t="shared" ref="G18:H18" si="0">SUM(G4:G17)</f>
        <v>0</v>
      </c>
      <c r="H18" s="14">
        <f t="shared" si="0"/>
        <v>6</v>
      </c>
      <c r="I18" s="14">
        <f>SUM(I4:I17)</f>
        <v>10</v>
      </c>
      <c r="J18" s="14">
        <f>SUM(J4:J17)</f>
        <v>16</v>
      </c>
    </row>
    <row r="20" spans="1:10" ht="15.75" thickBot="1" x14ac:dyDescent="0.3"/>
    <row r="21" spans="1:10" ht="51.75" thickBot="1" x14ac:dyDescent="0.3">
      <c r="A21" s="1" t="s">
        <v>69</v>
      </c>
      <c r="B21" s="2" t="s">
        <v>70</v>
      </c>
      <c r="C21" s="2" t="s">
        <v>71</v>
      </c>
      <c r="D21" s="2" t="s">
        <v>72</v>
      </c>
      <c r="E21" s="102" t="s">
        <v>338</v>
      </c>
      <c r="F21" s="13" t="s">
        <v>85</v>
      </c>
      <c r="G21" s="13" t="s">
        <v>86</v>
      </c>
      <c r="H21" s="13" t="s">
        <v>87</v>
      </c>
    </row>
    <row r="22" spans="1:10" ht="64.5" thickBot="1" x14ac:dyDescent="0.3">
      <c r="A22" s="3" t="s">
        <v>76</v>
      </c>
      <c r="B22" s="5">
        <v>7</v>
      </c>
      <c r="C22" s="5">
        <v>14</v>
      </c>
      <c r="D22" s="4">
        <v>0.25</v>
      </c>
      <c r="E22" s="103"/>
      <c r="F22" s="5">
        <v>7</v>
      </c>
      <c r="G22" s="12">
        <f>F22/C22</f>
        <v>0.5</v>
      </c>
      <c r="H22" s="4">
        <f>G22*D22</f>
        <v>0.125</v>
      </c>
    </row>
    <row r="23" spans="1:10" ht="39" thickBot="1" x14ac:dyDescent="0.3">
      <c r="A23" s="3" t="s">
        <v>77</v>
      </c>
      <c r="B23" s="5">
        <v>4</v>
      </c>
      <c r="C23" s="5">
        <v>8</v>
      </c>
      <c r="D23" s="4">
        <v>0.25</v>
      </c>
      <c r="E23" s="103"/>
      <c r="F23" s="5">
        <v>6</v>
      </c>
      <c r="G23" s="12">
        <f t="shared" ref="G23:G25" si="1">F23/C23</f>
        <v>0.75</v>
      </c>
      <c r="H23" s="4">
        <f>G23*D23</f>
        <v>0.1875</v>
      </c>
    </row>
    <row r="24" spans="1:10" ht="64.5" thickBot="1" x14ac:dyDescent="0.3">
      <c r="A24" s="3" t="s">
        <v>78</v>
      </c>
      <c r="B24" s="5">
        <v>1</v>
      </c>
      <c r="C24" s="5">
        <v>2</v>
      </c>
      <c r="D24" s="4">
        <v>0.25</v>
      </c>
      <c r="E24" s="103"/>
      <c r="F24" s="5">
        <v>1</v>
      </c>
      <c r="G24" s="12">
        <f t="shared" si="1"/>
        <v>0.5</v>
      </c>
      <c r="H24" s="4">
        <f>G24*D24</f>
        <v>0.125</v>
      </c>
    </row>
    <row r="25" spans="1:10" ht="26.25" thickBot="1" x14ac:dyDescent="0.3">
      <c r="A25" s="3" t="s">
        <v>79</v>
      </c>
      <c r="B25" s="5">
        <v>2</v>
      </c>
      <c r="C25" s="5">
        <v>4</v>
      </c>
      <c r="D25" s="4">
        <v>0.25</v>
      </c>
      <c r="E25" s="103"/>
      <c r="F25" s="5">
        <v>2</v>
      </c>
      <c r="G25" s="12">
        <f t="shared" si="1"/>
        <v>0.5</v>
      </c>
      <c r="H25" s="4">
        <f>G25*D25</f>
        <v>0.125</v>
      </c>
    </row>
    <row r="26" spans="1:10" ht="16.5" thickBot="1" x14ac:dyDescent="0.3">
      <c r="A26" s="15" t="s">
        <v>80</v>
      </c>
      <c r="B26" s="16">
        <f>SUM(B22:B25)</f>
        <v>14</v>
      </c>
      <c r="C26" s="16">
        <f>SUM(C22:C25)</f>
        <v>28</v>
      </c>
      <c r="D26" s="17">
        <f>SUM(D22:D25)</f>
        <v>1</v>
      </c>
      <c r="E26" s="104"/>
      <c r="F26" s="16">
        <f>SUM(F22:F25)</f>
        <v>16</v>
      </c>
      <c r="G26" s="16" t="s">
        <v>81</v>
      </c>
      <c r="H26" s="18">
        <f>SUM(H22:H25)</f>
        <v>0.5625</v>
      </c>
    </row>
  </sheetData>
  <mergeCells count="6">
    <mergeCell ref="J16:J17"/>
    <mergeCell ref="A18:F18"/>
    <mergeCell ref="E21:E26"/>
    <mergeCell ref="A1:J1"/>
    <mergeCell ref="J4:J10"/>
    <mergeCell ref="J11:J14"/>
  </mergeCells>
  <conditionalFormatting sqref="G22:G25">
    <cfRule type="cellIs" dxfId="22" priority="1" operator="between">
      <formula>0.8</formula>
      <formula>1</formula>
    </cfRule>
    <cfRule type="cellIs" dxfId="21" priority="2" operator="between">
      <formula>0.41</formula>
      <formula>0.79</formula>
    </cfRule>
    <cfRule type="cellIs" dxfId="20" priority="3" operator="between">
      <formula>0</formula>
      <formula>0.4</formula>
    </cfRule>
  </conditionalFormatting>
  <pageMargins left="0.511811024" right="0.511811024" top="0.78740157499999996" bottom="0.78740157499999996" header="0.31496062000000002" footer="0.3149606200000000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B7E48-558E-4D07-BEF3-8940BB44A830}">
  <sheetPr>
    <tabColor theme="0"/>
  </sheetPr>
  <dimension ref="A1:J26"/>
  <sheetViews>
    <sheetView topLeftCell="A16" workbookViewId="0">
      <selection activeCell="K30" sqref="K30"/>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98">
        <v>0</v>
      </c>
      <c r="H4" s="8"/>
      <c r="I4" s="8"/>
      <c r="J4" s="105">
        <f>SUM(G4:I10)</f>
        <v>7</v>
      </c>
    </row>
    <row r="5" spans="1:10" ht="52.15" customHeight="1" x14ac:dyDescent="0.25">
      <c r="A5" s="90" t="s">
        <v>11</v>
      </c>
      <c r="B5" s="7" t="s">
        <v>17</v>
      </c>
      <c r="C5" s="8" t="s">
        <v>18</v>
      </c>
      <c r="D5" s="8" t="s">
        <v>19</v>
      </c>
      <c r="E5" s="91" t="s">
        <v>15</v>
      </c>
      <c r="F5" s="91" t="s">
        <v>16</v>
      </c>
      <c r="G5" s="32"/>
      <c r="H5" s="96">
        <v>1</v>
      </c>
      <c r="I5" s="8"/>
      <c r="J5" s="105"/>
    </row>
    <row r="6" spans="1:10" ht="44.65" customHeight="1" x14ac:dyDescent="0.25">
      <c r="A6" s="90" t="s">
        <v>11</v>
      </c>
      <c r="B6" s="7" t="s">
        <v>20</v>
      </c>
      <c r="C6" s="8" t="s">
        <v>21</v>
      </c>
      <c r="D6" s="8" t="s">
        <v>22</v>
      </c>
      <c r="E6" s="91" t="s">
        <v>15</v>
      </c>
      <c r="F6" s="91" t="s">
        <v>16</v>
      </c>
      <c r="G6" s="98">
        <v>0</v>
      </c>
      <c r="H6" s="8"/>
      <c r="I6" s="8"/>
      <c r="J6" s="105"/>
    </row>
    <row r="7" spans="1:10" ht="48.6" customHeight="1" x14ac:dyDescent="0.25">
      <c r="A7" s="90" t="s">
        <v>11</v>
      </c>
      <c r="B7" s="7" t="s">
        <v>23</v>
      </c>
      <c r="C7" s="8" t="s">
        <v>24</v>
      </c>
      <c r="D7" s="8" t="s">
        <v>25</v>
      </c>
      <c r="E7" s="91" t="s">
        <v>15</v>
      </c>
      <c r="F7" s="91" t="s">
        <v>16</v>
      </c>
      <c r="G7" s="32"/>
      <c r="H7" s="8"/>
      <c r="I7" s="95">
        <v>2</v>
      </c>
      <c r="J7" s="105"/>
    </row>
    <row r="8" spans="1:10" ht="52.5" customHeight="1" x14ac:dyDescent="0.25">
      <c r="A8" s="90" t="s">
        <v>11</v>
      </c>
      <c r="B8" s="7" t="s">
        <v>26</v>
      </c>
      <c r="C8" s="8" t="s">
        <v>27</v>
      </c>
      <c r="D8" s="8" t="s">
        <v>28</v>
      </c>
      <c r="E8" s="91" t="s">
        <v>15</v>
      </c>
      <c r="F8" s="91" t="s">
        <v>16</v>
      </c>
      <c r="G8" s="32"/>
      <c r="H8" s="8"/>
      <c r="I8" s="95">
        <v>2</v>
      </c>
      <c r="J8" s="105"/>
    </row>
    <row r="9" spans="1:10" ht="44.65" customHeight="1" x14ac:dyDescent="0.25">
      <c r="A9" s="90" t="s">
        <v>11</v>
      </c>
      <c r="B9" s="7" t="s">
        <v>29</v>
      </c>
      <c r="C9" s="8" t="s">
        <v>30</v>
      </c>
      <c r="D9" s="8" t="s">
        <v>31</v>
      </c>
      <c r="E9" s="91" t="s">
        <v>15</v>
      </c>
      <c r="F9" s="91" t="s">
        <v>16</v>
      </c>
      <c r="G9" s="32"/>
      <c r="H9" s="96">
        <v>1</v>
      </c>
      <c r="I9" s="8"/>
      <c r="J9" s="105"/>
    </row>
    <row r="10" spans="1:10" ht="76.5" customHeight="1" x14ac:dyDescent="0.25">
      <c r="A10" s="90" t="s">
        <v>11</v>
      </c>
      <c r="B10" s="7" t="s">
        <v>32</v>
      </c>
      <c r="C10" s="8" t="s">
        <v>33</v>
      </c>
      <c r="D10" s="8" t="s">
        <v>34</v>
      </c>
      <c r="E10" s="91" t="s">
        <v>15</v>
      </c>
      <c r="F10" s="91" t="s">
        <v>16</v>
      </c>
      <c r="G10" s="32"/>
      <c r="H10" s="96">
        <v>1</v>
      </c>
      <c r="I10" s="8"/>
      <c r="J10" s="105"/>
    </row>
    <row r="11" spans="1:10" ht="117.6" customHeight="1" x14ac:dyDescent="0.25">
      <c r="A11" s="90" t="s">
        <v>35</v>
      </c>
      <c r="B11" s="7" t="s">
        <v>36</v>
      </c>
      <c r="C11" s="8" t="s">
        <v>37</v>
      </c>
      <c r="D11" s="8" t="s">
        <v>38</v>
      </c>
      <c r="E11" s="8" t="s">
        <v>39</v>
      </c>
      <c r="F11" s="8" t="s">
        <v>40</v>
      </c>
      <c r="G11" s="32"/>
      <c r="H11" s="8"/>
      <c r="I11" s="95">
        <v>2</v>
      </c>
      <c r="J11" s="105">
        <f>SUM(G11:I14)</f>
        <v>6</v>
      </c>
    </row>
    <row r="12" spans="1:10" ht="93" customHeight="1" x14ac:dyDescent="0.25">
      <c r="A12" s="90" t="s">
        <v>35</v>
      </c>
      <c r="B12" s="7" t="s">
        <v>41</v>
      </c>
      <c r="C12" s="8" t="s">
        <v>42</v>
      </c>
      <c r="D12" s="8" t="s">
        <v>43</v>
      </c>
      <c r="E12" s="8" t="s">
        <v>44</v>
      </c>
      <c r="F12" s="8" t="s">
        <v>40</v>
      </c>
      <c r="G12" s="32"/>
      <c r="H12" s="8"/>
      <c r="I12" s="95">
        <v>2</v>
      </c>
      <c r="J12" s="105"/>
    </row>
    <row r="13" spans="1:10" ht="76.5" customHeight="1" x14ac:dyDescent="0.25">
      <c r="A13" s="90" t="s">
        <v>35</v>
      </c>
      <c r="B13" s="7" t="s">
        <v>45</v>
      </c>
      <c r="C13" s="8" t="s">
        <v>46</v>
      </c>
      <c r="D13" s="8" t="s">
        <v>47</v>
      </c>
      <c r="E13" s="8" t="s">
        <v>48</v>
      </c>
      <c r="F13" s="8" t="s">
        <v>40</v>
      </c>
      <c r="G13" s="32"/>
      <c r="H13" s="96">
        <v>1</v>
      </c>
      <c r="I13" s="8"/>
      <c r="J13" s="105"/>
    </row>
    <row r="14" spans="1:10" ht="93.6" customHeight="1" x14ac:dyDescent="0.25">
      <c r="A14" s="90" t="s">
        <v>35</v>
      </c>
      <c r="B14" s="7" t="s">
        <v>49</v>
      </c>
      <c r="C14" s="8" t="s">
        <v>50</v>
      </c>
      <c r="D14" s="8" t="s">
        <v>51</v>
      </c>
      <c r="E14" s="8" t="s">
        <v>52</v>
      </c>
      <c r="F14" s="8" t="s">
        <v>40</v>
      </c>
      <c r="G14" s="32"/>
      <c r="H14" s="96">
        <v>1</v>
      </c>
      <c r="I14" s="8"/>
      <c r="J14" s="105"/>
    </row>
    <row r="15" spans="1:10" ht="78.599999999999994" customHeight="1" x14ac:dyDescent="0.25">
      <c r="A15" s="9" t="s">
        <v>53</v>
      </c>
      <c r="B15" s="7" t="s">
        <v>54</v>
      </c>
      <c r="C15" s="8" t="s">
        <v>55</v>
      </c>
      <c r="D15" s="11" t="s">
        <v>56</v>
      </c>
      <c r="E15" s="8" t="s">
        <v>57</v>
      </c>
      <c r="F15" s="8" t="s">
        <v>58</v>
      </c>
      <c r="G15" s="32"/>
      <c r="H15" s="96">
        <v>1</v>
      </c>
      <c r="I15" s="8"/>
      <c r="J15" s="10">
        <f>SUM(G15:I15)</f>
        <v>1</v>
      </c>
    </row>
    <row r="16" spans="1:10" ht="65.650000000000006" customHeight="1" x14ac:dyDescent="0.25">
      <c r="A16" s="90" t="s">
        <v>59</v>
      </c>
      <c r="B16" s="7" t="s">
        <v>60</v>
      </c>
      <c r="C16" s="8" t="s">
        <v>61</v>
      </c>
      <c r="D16" s="8" t="s">
        <v>62</v>
      </c>
      <c r="E16" s="8" t="s">
        <v>63</v>
      </c>
      <c r="F16" s="8" t="s">
        <v>58</v>
      </c>
      <c r="G16" s="32"/>
      <c r="H16" s="8"/>
      <c r="I16" s="95">
        <v>2</v>
      </c>
      <c r="J16" s="105">
        <f>SUM(G16:I17)</f>
        <v>4</v>
      </c>
    </row>
    <row r="17" spans="1:10" ht="67.150000000000006" customHeight="1" x14ac:dyDescent="0.25">
      <c r="A17" s="90" t="s">
        <v>59</v>
      </c>
      <c r="B17" s="7" t="s">
        <v>64</v>
      </c>
      <c r="C17" s="8" t="s">
        <v>65</v>
      </c>
      <c r="D17" s="8" t="s">
        <v>66</v>
      </c>
      <c r="E17" s="8" t="s">
        <v>67</v>
      </c>
      <c r="F17" s="8" t="s">
        <v>40</v>
      </c>
      <c r="G17" s="32"/>
      <c r="H17" s="8"/>
      <c r="I17" s="95">
        <v>2</v>
      </c>
      <c r="J17" s="105"/>
    </row>
    <row r="18" spans="1:10" ht="15" customHeight="1" thickBot="1" x14ac:dyDescent="0.3">
      <c r="A18" s="106" t="s">
        <v>84</v>
      </c>
      <c r="B18" s="106"/>
      <c r="C18" s="106"/>
      <c r="D18" s="106"/>
      <c r="E18" s="106"/>
      <c r="F18" s="107"/>
      <c r="G18" s="14"/>
      <c r="H18" s="14">
        <f t="shared" ref="H18" si="0">SUM(H4:H17)</f>
        <v>6</v>
      </c>
      <c r="I18" s="14">
        <f>SUM(I4:I17)</f>
        <v>12</v>
      </c>
      <c r="J18" s="14">
        <f>SUM(J4:J17)</f>
        <v>18</v>
      </c>
    </row>
    <row r="20" spans="1:10" ht="15.75" thickBot="1" x14ac:dyDescent="0.3"/>
    <row r="21" spans="1:10" ht="64.5" thickBot="1" x14ac:dyDescent="0.3">
      <c r="A21" s="1" t="s">
        <v>69</v>
      </c>
      <c r="B21" s="2" t="s">
        <v>70</v>
      </c>
      <c r="C21" s="2" t="s">
        <v>71</v>
      </c>
      <c r="D21" s="2" t="s">
        <v>72</v>
      </c>
      <c r="E21" s="102" t="s">
        <v>337</v>
      </c>
      <c r="F21" s="13" t="s">
        <v>73</v>
      </c>
      <c r="G21" s="13" t="s">
        <v>74</v>
      </c>
      <c r="H21" s="13" t="s">
        <v>75</v>
      </c>
    </row>
    <row r="22" spans="1:10" ht="64.5" thickBot="1" x14ac:dyDescent="0.3">
      <c r="A22" s="3" t="s">
        <v>76</v>
      </c>
      <c r="B22" s="5">
        <v>7</v>
      </c>
      <c r="C22" s="5">
        <v>14</v>
      </c>
      <c r="D22" s="4">
        <v>0.25</v>
      </c>
      <c r="E22" s="103"/>
      <c r="F22" s="5">
        <v>7</v>
      </c>
      <c r="G22" s="12">
        <f>F22/C22</f>
        <v>0.5</v>
      </c>
      <c r="H22" s="4">
        <f>G22*D22</f>
        <v>0.125</v>
      </c>
    </row>
    <row r="23" spans="1:10" ht="39" thickBot="1" x14ac:dyDescent="0.3">
      <c r="A23" s="3" t="s">
        <v>77</v>
      </c>
      <c r="B23" s="5">
        <v>4</v>
      </c>
      <c r="C23" s="5">
        <v>8</v>
      </c>
      <c r="D23" s="4">
        <v>0.25</v>
      </c>
      <c r="E23" s="103"/>
      <c r="F23" s="5">
        <v>6</v>
      </c>
      <c r="G23" s="12">
        <f t="shared" ref="G23:G25" si="1">F23/C23</f>
        <v>0.75</v>
      </c>
      <c r="H23" s="4">
        <f>G23*D23</f>
        <v>0.1875</v>
      </c>
    </row>
    <row r="24" spans="1:10" ht="64.5" thickBot="1" x14ac:dyDescent="0.3">
      <c r="A24" s="3" t="s">
        <v>78</v>
      </c>
      <c r="B24" s="5">
        <v>1</v>
      </c>
      <c r="C24" s="5">
        <v>2</v>
      </c>
      <c r="D24" s="4">
        <v>0.25</v>
      </c>
      <c r="E24" s="103"/>
      <c r="F24" s="5">
        <v>1</v>
      </c>
      <c r="G24" s="12">
        <f t="shared" si="1"/>
        <v>0.5</v>
      </c>
      <c r="H24" s="4">
        <f>G24*D24</f>
        <v>0.125</v>
      </c>
    </row>
    <row r="25" spans="1:10" ht="26.25" thickBot="1" x14ac:dyDescent="0.3">
      <c r="A25" s="3" t="s">
        <v>79</v>
      </c>
      <c r="B25" s="5">
        <v>2</v>
      </c>
      <c r="C25" s="5">
        <v>4</v>
      </c>
      <c r="D25" s="4">
        <v>0.25</v>
      </c>
      <c r="E25" s="103"/>
      <c r="F25" s="5">
        <v>4</v>
      </c>
      <c r="G25" s="12">
        <f t="shared" si="1"/>
        <v>1</v>
      </c>
      <c r="H25" s="4">
        <f>G25*D25</f>
        <v>0.25</v>
      </c>
    </row>
    <row r="26" spans="1:10" ht="16.5" thickBot="1" x14ac:dyDescent="0.3">
      <c r="A26" s="15" t="s">
        <v>80</v>
      </c>
      <c r="B26" s="16">
        <f>SUM(B22:B25)</f>
        <v>14</v>
      </c>
      <c r="C26" s="16">
        <f>SUM(C22:C25)</f>
        <v>28</v>
      </c>
      <c r="D26" s="17">
        <f>SUM(D22:D25)</f>
        <v>1</v>
      </c>
      <c r="E26" s="104"/>
      <c r="F26" s="16">
        <f>SUM(F22:F25)</f>
        <v>18</v>
      </c>
      <c r="G26" s="16" t="s">
        <v>81</v>
      </c>
      <c r="H26" s="18">
        <f>SUM(H22:H25)</f>
        <v>0.6875</v>
      </c>
    </row>
  </sheetData>
  <mergeCells count="6">
    <mergeCell ref="E21:E26"/>
    <mergeCell ref="A1:J1"/>
    <mergeCell ref="J4:J10"/>
    <mergeCell ref="J11:J14"/>
    <mergeCell ref="J16:J17"/>
    <mergeCell ref="A18:F18"/>
  </mergeCells>
  <conditionalFormatting sqref="G22:G25">
    <cfRule type="cellIs" dxfId="19" priority="1" operator="between">
      <formula>0.8</formula>
      <formula>1</formula>
    </cfRule>
    <cfRule type="cellIs" dxfId="18" priority="2" operator="between">
      <formula>0.41</formula>
      <formula>0.79</formula>
    </cfRule>
    <cfRule type="cellIs" dxfId="17" priority="3" operator="between">
      <formula>0</formula>
      <formula>0.4</formula>
    </cfRule>
  </conditionalFormatting>
  <pageMargins left="0.511811024" right="0.511811024" top="0.78740157499999996" bottom="0.78740157499999996" header="0.31496062000000002" footer="0.3149606200000000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62F85-1DA5-40A1-89C1-37B6413FAEB3}">
  <sheetPr>
    <tabColor theme="0"/>
  </sheetPr>
  <dimension ref="A1:J26"/>
  <sheetViews>
    <sheetView topLeftCell="A16" workbookViewId="0">
      <selection activeCell="H17" sqref="H17"/>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96">
        <v>1</v>
      </c>
      <c r="I4" s="8"/>
      <c r="J4" s="105">
        <f>SUM(G4:I10)</f>
        <v>9</v>
      </c>
    </row>
    <row r="5" spans="1:10" ht="52.15" customHeight="1" x14ac:dyDescent="0.25">
      <c r="A5" s="90" t="s">
        <v>11</v>
      </c>
      <c r="B5" s="7" t="s">
        <v>17</v>
      </c>
      <c r="C5" s="8" t="s">
        <v>18</v>
      </c>
      <c r="D5" s="8" t="s">
        <v>19</v>
      </c>
      <c r="E5" s="91" t="s">
        <v>15</v>
      </c>
      <c r="F5" s="91" t="s">
        <v>16</v>
      </c>
      <c r="G5" s="8"/>
      <c r="H5" s="96">
        <v>1</v>
      </c>
      <c r="I5" s="8"/>
      <c r="J5" s="105"/>
    </row>
    <row r="6" spans="1:10" ht="44.65" customHeight="1" x14ac:dyDescent="0.25">
      <c r="A6" s="90" t="s">
        <v>11</v>
      </c>
      <c r="B6" s="7" t="s">
        <v>20</v>
      </c>
      <c r="C6" s="8" t="s">
        <v>21</v>
      </c>
      <c r="D6" s="8" t="s">
        <v>22</v>
      </c>
      <c r="E6" s="91" t="s">
        <v>15</v>
      </c>
      <c r="F6" s="91" t="s">
        <v>16</v>
      </c>
      <c r="G6" s="8"/>
      <c r="H6" s="96">
        <v>1</v>
      </c>
      <c r="I6" s="8"/>
      <c r="J6" s="105"/>
    </row>
    <row r="7" spans="1:10" ht="48.6" customHeight="1" x14ac:dyDescent="0.25">
      <c r="A7" s="90" t="s">
        <v>11</v>
      </c>
      <c r="B7" s="7" t="s">
        <v>23</v>
      </c>
      <c r="C7" s="8" t="s">
        <v>24</v>
      </c>
      <c r="D7" s="8" t="s">
        <v>25</v>
      </c>
      <c r="E7" s="91" t="s">
        <v>15</v>
      </c>
      <c r="F7" s="91" t="s">
        <v>16</v>
      </c>
      <c r="G7" s="32"/>
      <c r="H7" s="96">
        <v>1</v>
      </c>
      <c r="I7" s="8"/>
      <c r="J7" s="105"/>
    </row>
    <row r="8" spans="1:10" ht="52.5" customHeight="1" x14ac:dyDescent="0.25">
      <c r="A8" s="90" t="s">
        <v>11</v>
      </c>
      <c r="B8" s="7" t="s">
        <v>26</v>
      </c>
      <c r="C8" s="8" t="s">
        <v>27</v>
      </c>
      <c r="D8" s="8" t="s">
        <v>28</v>
      </c>
      <c r="E8" s="91" t="s">
        <v>15</v>
      </c>
      <c r="F8" s="91" t="s">
        <v>16</v>
      </c>
      <c r="G8" s="32"/>
      <c r="H8" s="8"/>
      <c r="I8" s="95">
        <v>2</v>
      </c>
      <c r="J8" s="105"/>
    </row>
    <row r="9" spans="1:10" ht="44.65" customHeight="1" x14ac:dyDescent="0.25">
      <c r="A9" s="90" t="s">
        <v>11</v>
      </c>
      <c r="B9" s="7" t="s">
        <v>29</v>
      </c>
      <c r="C9" s="8" t="s">
        <v>30</v>
      </c>
      <c r="D9" s="8" t="s">
        <v>31</v>
      </c>
      <c r="E9" s="91" t="s">
        <v>15</v>
      </c>
      <c r="F9" s="91" t="s">
        <v>16</v>
      </c>
      <c r="G9" s="32"/>
      <c r="H9" s="8"/>
      <c r="I9" s="95">
        <v>2</v>
      </c>
      <c r="J9" s="105"/>
    </row>
    <row r="10" spans="1:10" ht="76.5" customHeight="1" x14ac:dyDescent="0.25">
      <c r="A10" s="90" t="s">
        <v>11</v>
      </c>
      <c r="B10" s="7" t="s">
        <v>32</v>
      </c>
      <c r="C10" s="8" t="s">
        <v>33</v>
      </c>
      <c r="D10" s="8" t="s">
        <v>34</v>
      </c>
      <c r="E10" s="91" t="s">
        <v>15</v>
      </c>
      <c r="F10" s="91" t="s">
        <v>16</v>
      </c>
      <c r="G10" s="32"/>
      <c r="H10" s="96">
        <v>1</v>
      </c>
      <c r="I10" s="8"/>
      <c r="J10" s="105"/>
    </row>
    <row r="11" spans="1:10" ht="117.6" customHeight="1" x14ac:dyDescent="0.25">
      <c r="A11" s="90" t="s">
        <v>35</v>
      </c>
      <c r="B11" s="7" t="s">
        <v>36</v>
      </c>
      <c r="C11" s="8" t="s">
        <v>37</v>
      </c>
      <c r="D11" s="8" t="s">
        <v>38</v>
      </c>
      <c r="E11" s="8" t="s">
        <v>39</v>
      </c>
      <c r="F11" s="8" t="s">
        <v>40</v>
      </c>
      <c r="G11" s="32"/>
      <c r="H11" s="8"/>
      <c r="I11" s="95">
        <v>2</v>
      </c>
      <c r="J11" s="105">
        <f>SUM(G11:I14)</f>
        <v>8</v>
      </c>
    </row>
    <row r="12" spans="1:10" ht="93" customHeight="1" x14ac:dyDescent="0.25">
      <c r="A12" s="90" t="s">
        <v>35</v>
      </c>
      <c r="B12" s="7" t="s">
        <v>41</v>
      </c>
      <c r="C12" s="8" t="s">
        <v>42</v>
      </c>
      <c r="D12" s="8" t="s">
        <v>43</v>
      </c>
      <c r="E12" s="8" t="s">
        <v>44</v>
      </c>
      <c r="F12" s="8" t="s">
        <v>40</v>
      </c>
      <c r="G12" s="32"/>
      <c r="H12" s="8"/>
      <c r="I12" s="95">
        <v>2</v>
      </c>
      <c r="J12" s="105"/>
    </row>
    <row r="13" spans="1:10" ht="76.5" customHeight="1" x14ac:dyDescent="0.25">
      <c r="A13" s="90" t="s">
        <v>35</v>
      </c>
      <c r="B13" s="7" t="s">
        <v>45</v>
      </c>
      <c r="C13" s="8" t="s">
        <v>46</v>
      </c>
      <c r="D13" s="8" t="s">
        <v>47</v>
      </c>
      <c r="E13" s="8" t="s">
        <v>48</v>
      </c>
      <c r="F13" s="8" t="s">
        <v>40</v>
      </c>
      <c r="G13" s="32"/>
      <c r="H13" s="8"/>
      <c r="I13" s="95">
        <v>2</v>
      </c>
      <c r="J13" s="105"/>
    </row>
    <row r="14" spans="1:10" ht="93.6" customHeight="1" x14ac:dyDescent="0.25">
      <c r="A14" s="90" t="s">
        <v>35</v>
      </c>
      <c r="B14" s="7" t="s">
        <v>49</v>
      </c>
      <c r="C14" s="8" t="s">
        <v>50</v>
      </c>
      <c r="D14" s="8" t="s">
        <v>51</v>
      </c>
      <c r="E14" s="8" t="s">
        <v>52</v>
      </c>
      <c r="F14" s="8" t="s">
        <v>40</v>
      </c>
      <c r="G14" s="32"/>
      <c r="H14" s="8"/>
      <c r="I14" s="95">
        <v>2</v>
      </c>
      <c r="J14" s="105"/>
    </row>
    <row r="15" spans="1:10" ht="78.599999999999994" customHeight="1" x14ac:dyDescent="0.25">
      <c r="A15" s="9" t="s">
        <v>53</v>
      </c>
      <c r="B15" s="7" t="s">
        <v>54</v>
      </c>
      <c r="C15" s="8" t="s">
        <v>55</v>
      </c>
      <c r="D15" s="11" t="s">
        <v>56</v>
      </c>
      <c r="E15" s="8" t="s">
        <v>57</v>
      </c>
      <c r="F15" s="8" t="s">
        <v>58</v>
      </c>
      <c r="G15" s="32"/>
      <c r="H15" s="8"/>
      <c r="I15" s="95">
        <v>2</v>
      </c>
      <c r="J15" s="10">
        <f>SUM(G15:I15)</f>
        <v>2</v>
      </c>
    </row>
    <row r="16" spans="1:10" ht="65.650000000000006" customHeight="1" x14ac:dyDescent="0.25">
      <c r="A16" s="90" t="s">
        <v>59</v>
      </c>
      <c r="B16" s="7" t="s">
        <v>60</v>
      </c>
      <c r="C16" s="8" t="s">
        <v>61</v>
      </c>
      <c r="D16" s="8" t="s">
        <v>62</v>
      </c>
      <c r="E16" s="8" t="s">
        <v>63</v>
      </c>
      <c r="F16" s="8" t="s">
        <v>58</v>
      </c>
      <c r="G16" s="32"/>
      <c r="H16" s="8"/>
      <c r="I16" s="95">
        <v>2</v>
      </c>
      <c r="J16" s="105">
        <f>SUM(G16:I17)</f>
        <v>2</v>
      </c>
    </row>
    <row r="17" spans="1:10" ht="67.150000000000006" customHeight="1" x14ac:dyDescent="0.25">
      <c r="A17" s="90" t="s">
        <v>59</v>
      </c>
      <c r="B17" s="7" t="s">
        <v>64</v>
      </c>
      <c r="C17" s="8" t="s">
        <v>65</v>
      </c>
      <c r="D17" s="8" t="s">
        <v>66</v>
      </c>
      <c r="E17" s="8" t="s">
        <v>67</v>
      </c>
      <c r="F17" s="8" t="s">
        <v>40</v>
      </c>
      <c r="G17" s="32" t="s">
        <v>379</v>
      </c>
      <c r="H17" s="8"/>
      <c r="I17" s="8"/>
      <c r="J17" s="105"/>
    </row>
    <row r="18" spans="1:10" ht="15" customHeight="1" thickBot="1" x14ac:dyDescent="0.3">
      <c r="A18" s="106" t="s">
        <v>378</v>
      </c>
      <c r="B18" s="106"/>
      <c r="C18" s="106"/>
      <c r="D18" s="106"/>
      <c r="E18" s="106"/>
      <c r="F18" s="107"/>
      <c r="G18" s="14"/>
      <c r="H18" s="14">
        <f t="shared" ref="H18" si="0">SUM(H4:H17)</f>
        <v>5</v>
      </c>
      <c r="I18" s="14">
        <f>SUM(I4:I17)</f>
        <v>16</v>
      </c>
      <c r="J18" s="14">
        <f>SUM(J4:J17)</f>
        <v>21</v>
      </c>
    </row>
    <row r="20" spans="1:10" ht="15.75" thickBot="1" x14ac:dyDescent="0.3"/>
    <row r="21" spans="1:10" ht="64.5" thickBot="1" x14ac:dyDescent="0.3">
      <c r="A21" s="1" t="s">
        <v>69</v>
      </c>
      <c r="B21" s="2" t="s">
        <v>70</v>
      </c>
      <c r="C21" s="2" t="s">
        <v>71</v>
      </c>
      <c r="D21" s="2" t="s">
        <v>72</v>
      </c>
      <c r="E21" s="102" t="s">
        <v>337</v>
      </c>
      <c r="F21" s="13" t="s">
        <v>73</v>
      </c>
      <c r="G21" s="13" t="s">
        <v>74</v>
      </c>
      <c r="H21" s="13" t="s">
        <v>75</v>
      </c>
    </row>
    <row r="22" spans="1:10" ht="64.5" thickBot="1" x14ac:dyDescent="0.3">
      <c r="A22" s="3" t="s">
        <v>76</v>
      </c>
      <c r="B22" s="5">
        <v>7</v>
      </c>
      <c r="C22" s="5">
        <v>14</v>
      </c>
      <c r="D22" s="4">
        <v>0.25</v>
      </c>
      <c r="E22" s="103"/>
      <c r="F22" s="5">
        <v>9</v>
      </c>
      <c r="G22" s="12">
        <f>F22/C22</f>
        <v>0.6428571428571429</v>
      </c>
      <c r="H22" s="4">
        <f>G22*D22</f>
        <v>0.16071428571428573</v>
      </c>
    </row>
    <row r="23" spans="1:10" ht="39" thickBot="1" x14ac:dyDescent="0.3">
      <c r="A23" s="3" t="s">
        <v>77</v>
      </c>
      <c r="B23" s="5">
        <v>4</v>
      </c>
      <c r="C23" s="5">
        <v>8</v>
      </c>
      <c r="D23" s="4">
        <v>0.25</v>
      </c>
      <c r="E23" s="103"/>
      <c r="F23" s="5">
        <v>8</v>
      </c>
      <c r="G23" s="12">
        <f t="shared" ref="G23:G25" si="1">F23/C23</f>
        <v>1</v>
      </c>
      <c r="H23" s="4">
        <f>G23*D23</f>
        <v>0.25</v>
      </c>
    </row>
    <row r="24" spans="1:10" ht="64.5" thickBot="1" x14ac:dyDescent="0.3">
      <c r="A24" s="3" t="s">
        <v>78</v>
      </c>
      <c r="B24" s="5">
        <v>1</v>
      </c>
      <c r="C24" s="5">
        <v>2</v>
      </c>
      <c r="D24" s="4">
        <v>0.25</v>
      </c>
      <c r="E24" s="103"/>
      <c r="F24" s="5">
        <v>2</v>
      </c>
      <c r="G24" s="12">
        <f t="shared" si="1"/>
        <v>1</v>
      </c>
      <c r="H24" s="4">
        <f>G24*D24</f>
        <v>0.25</v>
      </c>
    </row>
    <row r="25" spans="1:10" ht="26.25" thickBot="1" x14ac:dyDescent="0.3">
      <c r="A25" s="3" t="s">
        <v>79</v>
      </c>
      <c r="B25" s="5">
        <v>2</v>
      </c>
      <c r="C25" s="5">
        <v>4</v>
      </c>
      <c r="D25" s="4">
        <v>0.25</v>
      </c>
      <c r="E25" s="103"/>
      <c r="F25" s="5">
        <v>2</v>
      </c>
      <c r="G25" s="12">
        <f t="shared" si="1"/>
        <v>0.5</v>
      </c>
      <c r="H25" s="4">
        <f>G25*D25</f>
        <v>0.125</v>
      </c>
    </row>
    <row r="26" spans="1:10" ht="16.5" thickBot="1" x14ac:dyDescent="0.3">
      <c r="A26" s="15" t="s">
        <v>80</v>
      </c>
      <c r="B26" s="16">
        <f>SUM(B22:B25)</f>
        <v>14</v>
      </c>
      <c r="C26" s="16">
        <f>SUM(C22:C25)</f>
        <v>28</v>
      </c>
      <c r="D26" s="17">
        <f>SUM(D22:D25)</f>
        <v>1</v>
      </c>
      <c r="E26" s="104"/>
      <c r="F26" s="16">
        <f>SUM(F22:F25)</f>
        <v>21</v>
      </c>
      <c r="G26" s="16" t="s">
        <v>81</v>
      </c>
      <c r="H26" s="18">
        <f>SUM(H22:H25)</f>
        <v>0.7857142857142857</v>
      </c>
    </row>
  </sheetData>
  <mergeCells count="6">
    <mergeCell ref="E21:E26"/>
    <mergeCell ref="A1:J1"/>
    <mergeCell ref="J4:J10"/>
    <mergeCell ref="J11:J14"/>
    <mergeCell ref="J16:J17"/>
    <mergeCell ref="A18:F18"/>
  </mergeCells>
  <conditionalFormatting sqref="G22:G25">
    <cfRule type="cellIs" dxfId="16" priority="1" operator="between">
      <formula>0.8</formula>
      <formula>1</formula>
    </cfRule>
    <cfRule type="cellIs" dxfId="15" priority="2" operator="between">
      <formula>0.41</formula>
      <formula>0.79</formula>
    </cfRule>
    <cfRule type="cellIs" dxfId="14" priority="3" operator="between">
      <formula>0</formula>
      <formula>0.4</formula>
    </cfRule>
  </conditionalFormatting>
  <pageMargins left="0.511811024" right="0.511811024" top="0.78740157499999996" bottom="0.78740157499999996" header="0.31496062000000002" footer="0.3149606200000000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0D3FC-3AC8-4854-AE88-7E39874C6E31}">
  <sheetPr>
    <tabColor theme="0"/>
  </sheetPr>
  <dimension ref="A1:J26"/>
  <sheetViews>
    <sheetView topLeftCell="A16" workbookViewId="0">
      <selection activeCell="H24" sqref="H24"/>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96">
        <v>1</v>
      </c>
      <c r="I4" s="8"/>
      <c r="J4" s="105">
        <f>SUM(G4:I10)</f>
        <v>13</v>
      </c>
    </row>
    <row r="5" spans="1:10" ht="52.15" customHeight="1" x14ac:dyDescent="0.25">
      <c r="A5" s="90" t="s">
        <v>11</v>
      </c>
      <c r="B5" s="7" t="s">
        <v>17</v>
      </c>
      <c r="C5" s="8" t="s">
        <v>18</v>
      </c>
      <c r="D5" s="8" t="s">
        <v>19</v>
      </c>
      <c r="E5" s="91" t="s">
        <v>15</v>
      </c>
      <c r="F5" s="91" t="s">
        <v>16</v>
      </c>
      <c r="G5" s="32"/>
      <c r="H5" s="8"/>
      <c r="I5" s="95">
        <v>2</v>
      </c>
      <c r="J5" s="105"/>
    </row>
    <row r="6" spans="1:10" ht="44.65" customHeight="1" x14ac:dyDescent="0.25">
      <c r="A6" s="90" t="s">
        <v>11</v>
      </c>
      <c r="B6" s="7" t="s">
        <v>20</v>
      </c>
      <c r="C6" s="8" t="s">
        <v>21</v>
      </c>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32"/>
      <c r="H7" s="8"/>
      <c r="I7" s="95">
        <v>2</v>
      </c>
      <c r="J7" s="105"/>
    </row>
    <row r="8" spans="1:10" ht="52.5" customHeight="1" x14ac:dyDescent="0.25">
      <c r="A8" s="90" t="s">
        <v>11</v>
      </c>
      <c r="B8" s="7" t="s">
        <v>26</v>
      </c>
      <c r="C8" s="8" t="s">
        <v>27</v>
      </c>
      <c r="D8" s="8" t="s">
        <v>28</v>
      </c>
      <c r="E8" s="91" t="s">
        <v>15</v>
      </c>
      <c r="F8" s="91" t="s">
        <v>16</v>
      </c>
      <c r="G8" s="32"/>
      <c r="H8" s="8"/>
      <c r="I8" s="95">
        <v>2</v>
      </c>
      <c r="J8" s="105"/>
    </row>
    <row r="9" spans="1:10" ht="44.65" customHeight="1" x14ac:dyDescent="0.25">
      <c r="A9" s="90" t="s">
        <v>11</v>
      </c>
      <c r="B9" s="7" t="s">
        <v>29</v>
      </c>
      <c r="C9" s="8" t="s">
        <v>30</v>
      </c>
      <c r="D9" s="8" t="s">
        <v>31</v>
      </c>
      <c r="E9" s="91" t="s">
        <v>15</v>
      </c>
      <c r="F9" s="91" t="s">
        <v>16</v>
      </c>
      <c r="G9" s="32"/>
      <c r="H9" s="8"/>
      <c r="I9" s="95">
        <v>2</v>
      </c>
      <c r="J9" s="105"/>
    </row>
    <row r="10" spans="1:10" ht="76.5" customHeight="1" x14ac:dyDescent="0.25">
      <c r="A10" s="90" t="s">
        <v>11</v>
      </c>
      <c r="B10" s="7" t="s">
        <v>32</v>
      </c>
      <c r="C10" s="8" t="s">
        <v>33</v>
      </c>
      <c r="D10" s="8" t="s">
        <v>34</v>
      </c>
      <c r="E10" s="91" t="s">
        <v>15</v>
      </c>
      <c r="F10" s="91" t="s">
        <v>16</v>
      </c>
      <c r="G10" s="32"/>
      <c r="H10" s="8"/>
      <c r="I10" s="95">
        <v>2</v>
      </c>
      <c r="J10" s="105"/>
    </row>
    <row r="11" spans="1:10" ht="117.6" customHeight="1" x14ac:dyDescent="0.25">
      <c r="A11" s="90" t="s">
        <v>35</v>
      </c>
      <c r="B11" s="7" t="s">
        <v>36</v>
      </c>
      <c r="C11" s="8" t="s">
        <v>37</v>
      </c>
      <c r="D11" s="8" t="s">
        <v>38</v>
      </c>
      <c r="E11" s="8" t="s">
        <v>39</v>
      </c>
      <c r="F11" s="8" t="s">
        <v>40</v>
      </c>
      <c r="G11" s="32"/>
      <c r="H11" s="8"/>
      <c r="I11" s="95">
        <v>2</v>
      </c>
      <c r="J11" s="105">
        <f>SUM(G11:I14)</f>
        <v>8</v>
      </c>
    </row>
    <row r="12" spans="1:10" ht="93" customHeight="1" x14ac:dyDescent="0.25">
      <c r="A12" s="90" t="s">
        <v>35</v>
      </c>
      <c r="B12" s="7" t="s">
        <v>41</v>
      </c>
      <c r="C12" s="8" t="s">
        <v>42</v>
      </c>
      <c r="D12" s="8" t="s">
        <v>43</v>
      </c>
      <c r="E12" s="8" t="s">
        <v>44</v>
      </c>
      <c r="F12" s="8" t="s">
        <v>40</v>
      </c>
      <c r="G12" s="32"/>
      <c r="H12" s="8"/>
      <c r="I12" s="95">
        <v>2</v>
      </c>
      <c r="J12" s="105"/>
    </row>
    <row r="13" spans="1:10" ht="76.5" customHeight="1" x14ac:dyDescent="0.25">
      <c r="A13" s="90" t="s">
        <v>35</v>
      </c>
      <c r="B13" s="7" t="s">
        <v>45</v>
      </c>
      <c r="C13" s="8" t="s">
        <v>46</v>
      </c>
      <c r="D13" s="8" t="s">
        <v>47</v>
      </c>
      <c r="E13" s="8" t="s">
        <v>48</v>
      </c>
      <c r="F13" s="8" t="s">
        <v>40</v>
      </c>
      <c r="G13" s="32"/>
      <c r="H13" s="8"/>
      <c r="I13" s="95">
        <v>2</v>
      </c>
      <c r="J13" s="105"/>
    </row>
    <row r="14" spans="1:10" ht="93.6" customHeight="1" x14ac:dyDescent="0.25">
      <c r="A14" s="90" t="s">
        <v>35</v>
      </c>
      <c r="B14" s="7" t="s">
        <v>49</v>
      </c>
      <c r="C14" s="8" t="s">
        <v>50</v>
      </c>
      <c r="D14" s="8" t="s">
        <v>51</v>
      </c>
      <c r="E14" s="8" t="s">
        <v>52</v>
      </c>
      <c r="F14" s="8" t="s">
        <v>40</v>
      </c>
      <c r="G14" s="32"/>
      <c r="H14" s="8"/>
      <c r="I14" s="95">
        <v>2</v>
      </c>
      <c r="J14" s="105"/>
    </row>
    <row r="15" spans="1:10" ht="78.599999999999994" customHeight="1" x14ac:dyDescent="0.25">
      <c r="A15" s="9" t="s">
        <v>53</v>
      </c>
      <c r="B15" s="7" t="s">
        <v>54</v>
      </c>
      <c r="C15" s="8" t="s">
        <v>55</v>
      </c>
      <c r="D15" s="11" t="s">
        <v>56</v>
      </c>
      <c r="E15" s="8" t="s">
        <v>57</v>
      </c>
      <c r="F15" s="8" t="s">
        <v>58</v>
      </c>
      <c r="G15" s="32"/>
      <c r="H15" s="8"/>
      <c r="I15" s="95">
        <v>2</v>
      </c>
      <c r="J15" s="10">
        <v>2</v>
      </c>
    </row>
    <row r="16" spans="1:10" ht="65.650000000000006" customHeight="1" x14ac:dyDescent="0.25">
      <c r="A16" s="90" t="s">
        <v>59</v>
      </c>
      <c r="B16" s="7" t="s">
        <v>60</v>
      </c>
      <c r="C16" s="8" t="s">
        <v>61</v>
      </c>
      <c r="D16" s="8" t="s">
        <v>62</v>
      </c>
      <c r="E16" s="8" t="s">
        <v>63</v>
      </c>
      <c r="F16" s="8" t="s">
        <v>58</v>
      </c>
      <c r="G16" s="32"/>
      <c r="H16" s="8"/>
      <c r="I16" s="95">
        <v>2</v>
      </c>
      <c r="J16" s="105">
        <f>SUM(G16:I17)</f>
        <v>4</v>
      </c>
    </row>
    <row r="17" spans="1:10" ht="67.150000000000006" customHeight="1" x14ac:dyDescent="0.25">
      <c r="A17" s="90" t="s">
        <v>59</v>
      </c>
      <c r="B17" s="7" t="s">
        <v>64</v>
      </c>
      <c r="C17" s="8" t="s">
        <v>65</v>
      </c>
      <c r="D17" s="8" t="s">
        <v>66</v>
      </c>
      <c r="E17" s="8" t="s">
        <v>67</v>
      </c>
      <c r="F17" s="8" t="s">
        <v>40</v>
      </c>
      <c r="G17" s="32"/>
      <c r="H17" s="8"/>
      <c r="I17" s="95">
        <v>2</v>
      </c>
      <c r="J17" s="105"/>
    </row>
    <row r="18" spans="1:10" ht="15" customHeight="1" thickBot="1" x14ac:dyDescent="0.3">
      <c r="A18" s="106" t="s">
        <v>377</v>
      </c>
      <c r="B18" s="106"/>
      <c r="C18" s="106"/>
      <c r="D18" s="106"/>
      <c r="E18" s="106"/>
      <c r="F18" s="107"/>
      <c r="G18" s="14"/>
      <c r="H18" s="14">
        <f t="shared" ref="H18" si="0">SUM(H4:H17)</f>
        <v>1</v>
      </c>
      <c r="I18" s="14">
        <f>SUM(I4:I17)</f>
        <v>26</v>
      </c>
      <c r="J18" s="14">
        <f>SUM(J4:J17)</f>
        <v>27</v>
      </c>
    </row>
    <row r="20" spans="1:10" ht="15.75" thickBot="1" x14ac:dyDescent="0.3"/>
    <row r="21" spans="1:10" ht="64.5" thickBot="1" x14ac:dyDescent="0.3">
      <c r="A21" s="1" t="s">
        <v>69</v>
      </c>
      <c r="B21" s="2" t="s">
        <v>70</v>
      </c>
      <c r="C21" s="2" t="s">
        <v>71</v>
      </c>
      <c r="D21" s="2" t="s">
        <v>72</v>
      </c>
      <c r="E21" s="102" t="s">
        <v>337</v>
      </c>
      <c r="F21" s="13" t="s">
        <v>73</v>
      </c>
      <c r="G21" s="13" t="s">
        <v>74</v>
      </c>
      <c r="H21" s="13" t="s">
        <v>75</v>
      </c>
    </row>
    <row r="22" spans="1:10" ht="64.5" thickBot="1" x14ac:dyDescent="0.3">
      <c r="A22" s="3" t="s">
        <v>76</v>
      </c>
      <c r="B22" s="5">
        <v>7</v>
      </c>
      <c r="C22" s="5">
        <v>14</v>
      </c>
      <c r="D22" s="4">
        <v>0.25</v>
      </c>
      <c r="E22" s="103"/>
      <c r="F22" s="5">
        <v>13</v>
      </c>
      <c r="G22" s="12">
        <f>F22/C22</f>
        <v>0.9285714285714286</v>
      </c>
      <c r="H22" s="4">
        <f>G22*D22</f>
        <v>0.23214285714285715</v>
      </c>
    </row>
    <row r="23" spans="1:10" ht="39" thickBot="1" x14ac:dyDescent="0.3">
      <c r="A23" s="3" t="s">
        <v>77</v>
      </c>
      <c r="B23" s="5">
        <v>4</v>
      </c>
      <c r="C23" s="5">
        <v>8</v>
      </c>
      <c r="D23" s="4">
        <v>0.25</v>
      </c>
      <c r="E23" s="103"/>
      <c r="F23" s="5">
        <v>8</v>
      </c>
      <c r="G23" s="12">
        <f t="shared" ref="G23:G25" si="1">F23/C23</f>
        <v>1</v>
      </c>
      <c r="H23" s="4">
        <f>G23*D23</f>
        <v>0.25</v>
      </c>
    </row>
    <row r="24" spans="1:10" ht="64.5" thickBot="1" x14ac:dyDescent="0.3">
      <c r="A24" s="3" t="s">
        <v>78</v>
      </c>
      <c r="B24" s="5">
        <v>1</v>
      </c>
      <c r="C24" s="5">
        <v>2</v>
      </c>
      <c r="D24" s="4">
        <v>0.25</v>
      </c>
      <c r="E24" s="103"/>
      <c r="F24" s="5">
        <v>2</v>
      </c>
      <c r="G24" s="12">
        <f t="shared" si="1"/>
        <v>1</v>
      </c>
      <c r="H24" s="4">
        <f>G24*D24</f>
        <v>0.25</v>
      </c>
    </row>
    <row r="25" spans="1:10" ht="26.25" thickBot="1" x14ac:dyDescent="0.3">
      <c r="A25" s="3" t="s">
        <v>79</v>
      </c>
      <c r="B25" s="5">
        <v>2</v>
      </c>
      <c r="C25" s="5">
        <v>4</v>
      </c>
      <c r="D25" s="4">
        <v>0.25</v>
      </c>
      <c r="E25" s="103"/>
      <c r="F25" s="5">
        <v>4</v>
      </c>
      <c r="G25" s="12">
        <f t="shared" si="1"/>
        <v>1</v>
      </c>
      <c r="H25" s="4">
        <f>G25*D25</f>
        <v>0.25</v>
      </c>
    </row>
    <row r="26" spans="1:10" ht="16.5" thickBot="1" x14ac:dyDescent="0.3">
      <c r="A26" s="15" t="s">
        <v>80</v>
      </c>
      <c r="B26" s="16">
        <f>SUM(B22:B25)</f>
        <v>14</v>
      </c>
      <c r="C26" s="16">
        <f>SUM(C22:C25)</f>
        <v>28</v>
      </c>
      <c r="D26" s="17">
        <f>SUM(D22:D25)</f>
        <v>1</v>
      </c>
      <c r="E26" s="104"/>
      <c r="F26" s="16">
        <f>SUM(F22:F25)</f>
        <v>27</v>
      </c>
      <c r="G26" s="16" t="s">
        <v>81</v>
      </c>
      <c r="H26" s="18">
        <f>SUM(H22:H25)</f>
        <v>0.98214285714285721</v>
      </c>
    </row>
  </sheetData>
  <mergeCells count="6">
    <mergeCell ref="E21:E26"/>
    <mergeCell ref="A1:J1"/>
    <mergeCell ref="J4:J10"/>
    <mergeCell ref="J11:J14"/>
    <mergeCell ref="J16:J17"/>
    <mergeCell ref="A18:F18"/>
  </mergeCells>
  <conditionalFormatting sqref="G22:G25">
    <cfRule type="cellIs" dxfId="13" priority="1" operator="between">
      <formula>0.8</formula>
      <formula>1</formula>
    </cfRule>
    <cfRule type="cellIs" dxfId="12" priority="2" operator="between">
      <formula>0.41</formula>
      <formula>0.79</formula>
    </cfRule>
    <cfRule type="cellIs" dxfId="11" priority="3" operator="between">
      <formula>0</formula>
      <formula>0.4</formula>
    </cfRule>
  </conditionalFormatting>
  <pageMargins left="0.511811024" right="0.511811024" top="0.78740157499999996" bottom="0.78740157499999996" header="0.31496062000000002" footer="0.3149606200000000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0017B-BAB5-4C32-8626-5295E979C3AA}">
  <sheetPr>
    <tabColor theme="0"/>
  </sheetPr>
  <dimension ref="A1:J26"/>
  <sheetViews>
    <sheetView topLeftCell="A16" workbookViewId="0">
      <selection activeCell="H25" sqref="H25"/>
    </sheetView>
  </sheetViews>
  <sheetFormatPr defaultRowHeight="15" x14ac:dyDescent="0.25"/>
  <cols>
    <col min="1" max="1" width="13.7109375" customWidth="1"/>
    <col min="3" max="3" width="21.42578125" customWidth="1"/>
    <col min="4" max="4" width="25.42578125" customWidth="1"/>
    <col min="5" max="5" width="21.5703125" customWidth="1"/>
    <col min="6" max="6" width="21.28515625" customWidth="1"/>
    <col min="7" max="7" width="9.42578125" customWidth="1"/>
    <col min="8" max="8" width="8.7109375" customWidth="1"/>
  </cols>
  <sheetData>
    <row r="1" spans="1:10" ht="18.75" x14ac:dyDescent="0.3">
      <c r="A1" s="101" t="s">
        <v>0</v>
      </c>
      <c r="B1" s="101"/>
      <c r="C1" s="101"/>
      <c r="D1" s="101"/>
      <c r="E1" s="101"/>
      <c r="F1" s="101"/>
      <c r="G1" s="101"/>
      <c r="H1" s="101"/>
      <c r="I1" s="101"/>
      <c r="J1" s="101"/>
    </row>
    <row r="3" spans="1:10" ht="36" x14ac:dyDescent="0.25">
      <c r="A3" s="6" t="s">
        <v>1</v>
      </c>
      <c r="B3" s="6" t="s">
        <v>2</v>
      </c>
      <c r="C3" s="6" t="s">
        <v>3</v>
      </c>
      <c r="D3" s="6" t="s">
        <v>4</v>
      </c>
      <c r="E3" s="6" t="s">
        <v>5</v>
      </c>
      <c r="F3" s="6" t="s">
        <v>6</v>
      </c>
      <c r="G3" s="6" t="s">
        <v>7</v>
      </c>
      <c r="H3" s="6" t="s">
        <v>8</v>
      </c>
      <c r="I3" s="6" t="s">
        <v>9</v>
      </c>
      <c r="J3" s="6" t="s">
        <v>10</v>
      </c>
    </row>
    <row r="4" spans="1:10" ht="46.5" customHeight="1" x14ac:dyDescent="0.25">
      <c r="A4" s="90" t="s">
        <v>11</v>
      </c>
      <c r="B4" s="7" t="s">
        <v>12</v>
      </c>
      <c r="C4" s="8" t="s">
        <v>13</v>
      </c>
      <c r="D4" s="8" t="s">
        <v>14</v>
      </c>
      <c r="E4" s="91" t="s">
        <v>15</v>
      </c>
      <c r="F4" s="91" t="s">
        <v>16</v>
      </c>
      <c r="G4" s="8"/>
      <c r="H4" s="96">
        <v>1</v>
      </c>
      <c r="I4" s="8"/>
      <c r="J4" s="105">
        <f>SUM(G4:I10)</f>
        <v>12</v>
      </c>
    </row>
    <row r="5" spans="1:10" ht="52.15" customHeight="1" x14ac:dyDescent="0.25">
      <c r="A5" s="90" t="s">
        <v>11</v>
      </c>
      <c r="B5" s="7" t="s">
        <v>17</v>
      </c>
      <c r="C5" s="8" t="s">
        <v>18</v>
      </c>
      <c r="D5" s="8" t="s">
        <v>19</v>
      </c>
      <c r="E5" s="91" t="s">
        <v>15</v>
      </c>
      <c r="F5" s="91" t="s">
        <v>16</v>
      </c>
      <c r="G5" s="32"/>
      <c r="H5" s="8"/>
      <c r="I5" s="95">
        <v>2</v>
      </c>
      <c r="J5" s="105"/>
    </row>
    <row r="6" spans="1:10" ht="44.65" customHeight="1" x14ac:dyDescent="0.25">
      <c r="A6" s="90" t="s">
        <v>11</v>
      </c>
      <c r="B6" s="7" t="s">
        <v>20</v>
      </c>
      <c r="C6" s="8" t="s">
        <v>21</v>
      </c>
      <c r="D6" s="8" t="s">
        <v>22</v>
      </c>
      <c r="E6" s="91" t="s">
        <v>15</v>
      </c>
      <c r="F6" s="91" t="s">
        <v>16</v>
      </c>
      <c r="G6" s="8"/>
      <c r="H6" s="8"/>
      <c r="I6" s="95">
        <v>2</v>
      </c>
      <c r="J6" s="105"/>
    </row>
    <row r="7" spans="1:10" ht="48.6" customHeight="1" x14ac:dyDescent="0.25">
      <c r="A7" s="90" t="s">
        <v>11</v>
      </c>
      <c r="B7" s="7" t="s">
        <v>23</v>
      </c>
      <c r="C7" s="8" t="s">
        <v>24</v>
      </c>
      <c r="D7" s="8" t="s">
        <v>25</v>
      </c>
      <c r="E7" s="91" t="s">
        <v>15</v>
      </c>
      <c r="F7" s="91" t="s">
        <v>16</v>
      </c>
      <c r="G7" s="32"/>
      <c r="H7" s="8"/>
      <c r="I7" s="95">
        <v>2</v>
      </c>
      <c r="J7" s="105"/>
    </row>
    <row r="8" spans="1:10" ht="52.5" customHeight="1" x14ac:dyDescent="0.25">
      <c r="A8" s="90" t="s">
        <v>11</v>
      </c>
      <c r="B8" s="7" t="s">
        <v>26</v>
      </c>
      <c r="C8" s="8" t="s">
        <v>27</v>
      </c>
      <c r="D8" s="8" t="s">
        <v>28</v>
      </c>
      <c r="E8" s="91" t="s">
        <v>15</v>
      </c>
      <c r="F8" s="91" t="s">
        <v>16</v>
      </c>
      <c r="G8" s="32"/>
      <c r="H8" s="96">
        <v>1</v>
      </c>
      <c r="I8" s="8"/>
      <c r="J8" s="105"/>
    </row>
    <row r="9" spans="1:10" ht="44.65" customHeight="1" x14ac:dyDescent="0.25">
      <c r="A9" s="90" t="s">
        <v>11</v>
      </c>
      <c r="B9" s="7" t="s">
        <v>29</v>
      </c>
      <c r="C9" s="8" t="s">
        <v>30</v>
      </c>
      <c r="D9" s="8" t="s">
        <v>31</v>
      </c>
      <c r="E9" s="91" t="s">
        <v>15</v>
      </c>
      <c r="F9" s="91" t="s">
        <v>16</v>
      </c>
      <c r="G9" s="32"/>
      <c r="H9" s="8"/>
      <c r="I9" s="95">
        <v>2</v>
      </c>
      <c r="J9" s="105"/>
    </row>
    <row r="10" spans="1:10" ht="76.5" customHeight="1" x14ac:dyDescent="0.25">
      <c r="A10" s="90" t="s">
        <v>11</v>
      </c>
      <c r="B10" s="7" t="s">
        <v>32</v>
      </c>
      <c r="C10" s="8" t="s">
        <v>33</v>
      </c>
      <c r="D10" s="8" t="s">
        <v>34</v>
      </c>
      <c r="E10" s="91" t="s">
        <v>15</v>
      </c>
      <c r="F10" s="91" t="s">
        <v>16</v>
      </c>
      <c r="G10" s="32"/>
      <c r="H10" s="8"/>
      <c r="I10" s="95">
        <v>2</v>
      </c>
      <c r="J10" s="105"/>
    </row>
    <row r="11" spans="1:10" ht="117.6" customHeight="1" x14ac:dyDescent="0.25">
      <c r="A11" s="90" t="s">
        <v>35</v>
      </c>
      <c r="B11" s="7" t="s">
        <v>36</v>
      </c>
      <c r="C11" s="8" t="s">
        <v>37</v>
      </c>
      <c r="D11" s="8" t="s">
        <v>38</v>
      </c>
      <c r="E11" s="8" t="s">
        <v>39</v>
      </c>
      <c r="F11" s="8" t="s">
        <v>40</v>
      </c>
      <c r="G11" s="32"/>
      <c r="H11" s="8"/>
      <c r="I11" s="95">
        <v>2</v>
      </c>
      <c r="J11" s="105">
        <f>SUM(G11:I14)</f>
        <v>8</v>
      </c>
    </row>
    <row r="12" spans="1:10" ht="93" customHeight="1" x14ac:dyDescent="0.25">
      <c r="A12" s="90" t="s">
        <v>35</v>
      </c>
      <c r="B12" s="7" t="s">
        <v>41</v>
      </c>
      <c r="C12" s="8" t="s">
        <v>42</v>
      </c>
      <c r="D12" s="8" t="s">
        <v>43</v>
      </c>
      <c r="E12" s="8" t="s">
        <v>44</v>
      </c>
      <c r="F12" s="8" t="s">
        <v>40</v>
      </c>
      <c r="G12" s="32"/>
      <c r="H12" s="8"/>
      <c r="I12" s="95">
        <v>2</v>
      </c>
      <c r="J12" s="105"/>
    </row>
    <row r="13" spans="1:10" ht="76.5" customHeight="1" x14ac:dyDescent="0.25">
      <c r="A13" s="90" t="s">
        <v>35</v>
      </c>
      <c r="B13" s="7" t="s">
        <v>45</v>
      </c>
      <c r="C13" s="8" t="s">
        <v>46</v>
      </c>
      <c r="D13" s="8" t="s">
        <v>47</v>
      </c>
      <c r="E13" s="8" t="s">
        <v>48</v>
      </c>
      <c r="F13" s="8" t="s">
        <v>40</v>
      </c>
      <c r="G13" s="32"/>
      <c r="H13" s="8"/>
      <c r="I13" s="95">
        <v>2</v>
      </c>
      <c r="J13" s="105"/>
    </row>
    <row r="14" spans="1:10" ht="93.6" customHeight="1" x14ac:dyDescent="0.25">
      <c r="A14" s="90" t="s">
        <v>35</v>
      </c>
      <c r="B14" s="7" t="s">
        <v>49</v>
      </c>
      <c r="C14" s="8" t="s">
        <v>50</v>
      </c>
      <c r="D14" s="8" t="s">
        <v>51</v>
      </c>
      <c r="E14" s="8" t="s">
        <v>52</v>
      </c>
      <c r="F14" s="8" t="s">
        <v>40</v>
      </c>
      <c r="G14" s="32"/>
      <c r="H14" s="8"/>
      <c r="I14" s="95">
        <v>2</v>
      </c>
      <c r="J14" s="105"/>
    </row>
    <row r="15" spans="1:10" ht="78.599999999999994" customHeight="1" x14ac:dyDescent="0.25">
      <c r="A15" s="9" t="s">
        <v>53</v>
      </c>
      <c r="B15" s="7" t="s">
        <v>54</v>
      </c>
      <c r="C15" s="8" t="s">
        <v>55</v>
      </c>
      <c r="D15" s="11" t="s">
        <v>56</v>
      </c>
      <c r="E15" s="8" t="s">
        <v>57</v>
      </c>
      <c r="F15" s="8" t="s">
        <v>58</v>
      </c>
      <c r="G15" s="32"/>
      <c r="H15" s="96">
        <v>1</v>
      </c>
      <c r="I15" s="8"/>
      <c r="J15" s="10">
        <v>1</v>
      </c>
    </row>
    <row r="16" spans="1:10" ht="65.650000000000006" customHeight="1" x14ac:dyDescent="0.25">
      <c r="A16" s="90" t="s">
        <v>59</v>
      </c>
      <c r="B16" s="7" t="s">
        <v>60</v>
      </c>
      <c r="C16" s="8" t="s">
        <v>61</v>
      </c>
      <c r="D16" s="8" t="s">
        <v>62</v>
      </c>
      <c r="E16" s="8" t="s">
        <v>63</v>
      </c>
      <c r="F16" s="8" t="s">
        <v>58</v>
      </c>
      <c r="G16" s="32"/>
      <c r="H16" s="8"/>
      <c r="I16" s="95">
        <v>2</v>
      </c>
      <c r="J16" s="105">
        <f>SUM(G16:I17)</f>
        <v>4</v>
      </c>
    </row>
    <row r="17" spans="1:10" ht="67.150000000000006" customHeight="1" x14ac:dyDescent="0.25">
      <c r="A17" s="90" t="s">
        <v>59</v>
      </c>
      <c r="B17" s="7" t="s">
        <v>64</v>
      </c>
      <c r="C17" s="8" t="s">
        <v>65</v>
      </c>
      <c r="D17" s="8" t="s">
        <v>66</v>
      </c>
      <c r="E17" s="8" t="s">
        <v>67</v>
      </c>
      <c r="F17" s="8" t="s">
        <v>40</v>
      </c>
      <c r="G17" s="32"/>
      <c r="H17" s="8"/>
      <c r="I17" s="95">
        <v>2</v>
      </c>
      <c r="J17" s="105"/>
    </row>
    <row r="18" spans="1:10" ht="15" customHeight="1" thickBot="1" x14ac:dyDescent="0.3">
      <c r="A18" s="106" t="s">
        <v>380</v>
      </c>
      <c r="B18" s="106"/>
      <c r="C18" s="106"/>
      <c r="D18" s="106"/>
      <c r="E18" s="106"/>
      <c r="F18" s="107"/>
      <c r="G18" s="14"/>
      <c r="H18" s="14">
        <f t="shared" ref="H18" si="0">SUM(H4:H17)</f>
        <v>3</v>
      </c>
      <c r="I18" s="14">
        <f>SUM(I4:I17)</f>
        <v>22</v>
      </c>
      <c r="J18" s="14">
        <f>SUM(J4:J17)</f>
        <v>25</v>
      </c>
    </row>
    <row r="20" spans="1:10" ht="15.75" thickBot="1" x14ac:dyDescent="0.3"/>
    <row r="21" spans="1:10" ht="64.5" thickBot="1" x14ac:dyDescent="0.3">
      <c r="A21" s="1" t="s">
        <v>69</v>
      </c>
      <c r="B21" s="2" t="s">
        <v>70</v>
      </c>
      <c r="C21" s="2" t="s">
        <v>71</v>
      </c>
      <c r="D21" s="2" t="s">
        <v>72</v>
      </c>
      <c r="E21" s="102" t="s">
        <v>337</v>
      </c>
      <c r="F21" s="13" t="s">
        <v>73</v>
      </c>
      <c r="G21" s="13" t="s">
        <v>74</v>
      </c>
      <c r="H21" s="13" t="s">
        <v>75</v>
      </c>
    </row>
    <row r="22" spans="1:10" ht="64.5" thickBot="1" x14ac:dyDescent="0.3">
      <c r="A22" s="3" t="s">
        <v>76</v>
      </c>
      <c r="B22" s="5">
        <v>7</v>
      </c>
      <c r="C22" s="5">
        <v>14</v>
      </c>
      <c r="D22" s="4">
        <v>0.25</v>
      </c>
      <c r="E22" s="103"/>
      <c r="F22" s="5">
        <v>12</v>
      </c>
      <c r="G22" s="12">
        <f>F22/C22</f>
        <v>0.8571428571428571</v>
      </c>
      <c r="H22" s="4">
        <f>G22*D22</f>
        <v>0.21428571428571427</v>
      </c>
    </row>
    <row r="23" spans="1:10" ht="39" thickBot="1" x14ac:dyDescent="0.3">
      <c r="A23" s="3" t="s">
        <v>77</v>
      </c>
      <c r="B23" s="5">
        <v>4</v>
      </c>
      <c r="C23" s="5">
        <v>8</v>
      </c>
      <c r="D23" s="4">
        <v>0.25</v>
      </c>
      <c r="E23" s="103"/>
      <c r="F23" s="5">
        <v>8</v>
      </c>
      <c r="G23" s="12">
        <f t="shared" ref="G23:G25" si="1">F23/C23</f>
        <v>1</v>
      </c>
      <c r="H23" s="4">
        <f>G23*D23</f>
        <v>0.25</v>
      </c>
    </row>
    <row r="24" spans="1:10" ht="64.5" thickBot="1" x14ac:dyDescent="0.3">
      <c r="A24" s="3" t="s">
        <v>78</v>
      </c>
      <c r="B24" s="5">
        <v>1</v>
      </c>
      <c r="C24" s="5">
        <v>2</v>
      </c>
      <c r="D24" s="4">
        <v>0.25</v>
      </c>
      <c r="E24" s="103"/>
      <c r="F24" s="5">
        <v>1</v>
      </c>
      <c r="G24" s="12">
        <f t="shared" si="1"/>
        <v>0.5</v>
      </c>
      <c r="H24" s="4">
        <f>G24*D24</f>
        <v>0.125</v>
      </c>
    </row>
    <row r="25" spans="1:10" ht="26.25" thickBot="1" x14ac:dyDescent="0.3">
      <c r="A25" s="3" t="s">
        <v>79</v>
      </c>
      <c r="B25" s="5">
        <v>2</v>
      </c>
      <c r="C25" s="5">
        <v>4</v>
      </c>
      <c r="D25" s="4">
        <v>0.25</v>
      </c>
      <c r="E25" s="103"/>
      <c r="F25" s="5">
        <v>4</v>
      </c>
      <c r="G25" s="12">
        <f t="shared" si="1"/>
        <v>1</v>
      </c>
      <c r="H25" s="4">
        <f>G25*D25</f>
        <v>0.25</v>
      </c>
    </row>
    <row r="26" spans="1:10" ht="16.5" thickBot="1" x14ac:dyDescent="0.3">
      <c r="A26" s="15" t="s">
        <v>80</v>
      </c>
      <c r="B26" s="16">
        <f>SUM(B22:B25)</f>
        <v>14</v>
      </c>
      <c r="C26" s="16">
        <f>SUM(C22:C25)</f>
        <v>28</v>
      </c>
      <c r="D26" s="17">
        <f>SUM(D22:D25)</f>
        <v>1</v>
      </c>
      <c r="E26" s="104"/>
      <c r="F26" s="16">
        <f>SUM(F22:F25)</f>
        <v>25</v>
      </c>
      <c r="G26" s="16" t="s">
        <v>81</v>
      </c>
      <c r="H26" s="18">
        <f>SUM(H22:H25)</f>
        <v>0.8392857142857143</v>
      </c>
    </row>
  </sheetData>
  <mergeCells count="6">
    <mergeCell ref="E21:E26"/>
    <mergeCell ref="A1:J1"/>
    <mergeCell ref="J4:J10"/>
    <mergeCell ref="J11:J14"/>
    <mergeCell ref="J16:J17"/>
    <mergeCell ref="A18:F18"/>
  </mergeCells>
  <conditionalFormatting sqref="G22:G25">
    <cfRule type="cellIs" dxfId="10" priority="1" operator="between">
      <formula>0.8</formula>
      <formula>1</formula>
    </cfRule>
    <cfRule type="cellIs" dxfId="9" priority="2" operator="between">
      <formula>0.41</formula>
      <formula>0.79</formula>
    </cfRule>
    <cfRule type="cellIs" dxfId="8" priority="3" operator="between">
      <formula>0</formula>
      <formula>0.4</formula>
    </cfRule>
  </conditionalFormatting>
  <pageMargins left="0.511811024" right="0.511811024" top="0.78740157499999996" bottom="0.78740157499999996" header="0.31496062000000002" footer="0.3149606200000000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E4A9B-ABD5-4D6C-B4E4-0E547630A7BC}">
  <dimension ref="A1:R57"/>
  <sheetViews>
    <sheetView topLeftCell="B1" zoomScale="60" zoomScaleNormal="60" workbookViewId="0">
      <pane ySplit="6" topLeftCell="A31" activePane="bottomLeft" state="frozen"/>
      <selection activeCell="B1" sqref="B1"/>
      <selection pane="bottomLeft" activeCell="B7" sqref="B7"/>
    </sheetView>
  </sheetViews>
  <sheetFormatPr defaultColWidth="8.7109375" defaultRowHeight="12.75" x14ac:dyDescent="0.2"/>
  <cols>
    <col min="1" max="1" width="8.7109375" style="19"/>
    <col min="2" max="2" width="31.7109375" style="19" customWidth="1"/>
    <col min="3" max="3" width="13.7109375" style="21" customWidth="1"/>
    <col min="4" max="4" width="15.7109375" style="21" customWidth="1"/>
    <col min="5" max="5" width="24.7109375" style="21" customWidth="1"/>
    <col min="6" max="6" width="14.7109375" style="21" customWidth="1"/>
    <col min="7" max="7" width="16.7109375" style="21" customWidth="1"/>
    <col min="8" max="8" width="24.7109375" style="21" customWidth="1"/>
    <col min="9" max="9" width="13.5703125" style="21" customWidth="1"/>
    <col min="10" max="10" width="16.5703125" style="21" customWidth="1"/>
    <col min="11" max="11" width="24.7109375" style="21" customWidth="1"/>
    <col min="12" max="12" width="15.7109375" style="21" customWidth="1"/>
    <col min="13" max="13" width="17.5703125" style="21" customWidth="1"/>
    <col min="14" max="14" width="24.7109375" style="21" customWidth="1"/>
    <col min="15" max="15" width="19.7109375" style="19" customWidth="1"/>
    <col min="16" max="16" width="5.7109375" style="19" customWidth="1"/>
    <col min="17" max="17" width="17.42578125" style="19" customWidth="1"/>
    <col min="18" max="18" width="13.28515625" style="19" customWidth="1"/>
    <col min="19" max="16384" width="8.7109375" style="19"/>
  </cols>
  <sheetData>
    <row r="1" spans="1:18" ht="13.5" thickBot="1" x14ac:dyDescent="0.25">
      <c r="A1" s="19">
        <f>SUM(A7:A39)</f>
        <v>32</v>
      </c>
      <c r="B1" s="20"/>
    </row>
    <row r="2" spans="1:18" ht="45.75" customHeight="1" thickBot="1" x14ac:dyDescent="0.25">
      <c r="B2" s="114" t="s">
        <v>122</v>
      </c>
      <c r="C2" s="119" t="s">
        <v>123</v>
      </c>
      <c r="D2" s="120"/>
      <c r="E2" s="120"/>
      <c r="F2" s="120"/>
      <c r="G2" s="120"/>
      <c r="H2" s="120"/>
      <c r="I2" s="120"/>
      <c r="J2" s="120"/>
      <c r="K2" s="120"/>
      <c r="L2" s="120"/>
      <c r="M2" s="120"/>
      <c r="N2" s="120"/>
      <c r="O2" s="121"/>
    </row>
    <row r="3" spans="1:18" ht="49.5" customHeight="1" x14ac:dyDescent="0.2">
      <c r="B3" s="115"/>
      <c r="C3" s="122" t="s">
        <v>124</v>
      </c>
      <c r="D3" s="123"/>
      <c r="E3" s="124"/>
      <c r="F3" s="122" t="s">
        <v>125</v>
      </c>
      <c r="G3" s="123"/>
      <c r="H3" s="124"/>
      <c r="I3" s="122" t="s">
        <v>126</v>
      </c>
      <c r="J3" s="123"/>
      <c r="K3" s="124"/>
      <c r="L3" s="122" t="s">
        <v>127</v>
      </c>
      <c r="M3" s="123"/>
      <c r="N3" s="124"/>
      <c r="O3" s="122" t="s">
        <v>128</v>
      </c>
    </row>
    <row r="4" spans="1:18" ht="23.1" customHeight="1" x14ac:dyDescent="0.2">
      <c r="B4" s="115"/>
      <c r="C4" s="112" t="s">
        <v>72</v>
      </c>
      <c r="D4" s="113"/>
      <c r="E4" s="63">
        <v>0.25</v>
      </c>
      <c r="F4" s="112" t="s">
        <v>72</v>
      </c>
      <c r="G4" s="113"/>
      <c r="H4" s="63">
        <v>0.25</v>
      </c>
      <c r="I4" s="112" t="s">
        <v>72</v>
      </c>
      <c r="J4" s="113"/>
      <c r="K4" s="63">
        <v>0.25</v>
      </c>
      <c r="L4" s="112" t="s">
        <v>72</v>
      </c>
      <c r="M4" s="113"/>
      <c r="N4" s="63">
        <v>0.25</v>
      </c>
      <c r="O4" s="125"/>
    </row>
    <row r="5" spans="1:18" ht="28.5" customHeight="1" thickBot="1" x14ac:dyDescent="0.25">
      <c r="B5" s="115"/>
      <c r="C5" s="112" t="s">
        <v>129</v>
      </c>
      <c r="D5" s="113"/>
      <c r="E5" s="64">
        <v>14</v>
      </c>
      <c r="F5" s="112" t="s">
        <v>129</v>
      </c>
      <c r="G5" s="113"/>
      <c r="H5" s="64">
        <v>8</v>
      </c>
      <c r="I5" s="112" t="s">
        <v>129</v>
      </c>
      <c r="J5" s="113"/>
      <c r="K5" s="64">
        <v>2</v>
      </c>
      <c r="L5" s="112" t="s">
        <v>129</v>
      </c>
      <c r="M5" s="113"/>
      <c r="N5" s="64">
        <v>4</v>
      </c>
      <c r="O5" s="125"/>
    </row>
    <row r="6" spans="1:18" s="22" customFormat="1" ht="49.5" customHeight="1" thickBot="1" x14ac:dyDescent="0.25">
      <c r="B6" s="72" t="s">
        <v>130</v>
      </c>
      <c r="C6" s="65" t="s">
        <v>131</v>
      </c>
      <c r="D6" s="66" t="s">
        <v>132</v>
      </c>
      <c r="E6" s="67" t="s">
        <v>133</v>
      </c>
      <c r="F6" s="65" t="s">
        <v>131</v>
      </c>
      <c r="G6" s="66" t="s">
        <v>132</v>
      </c>
      <c r="H6" s="67" t="s">
        <v>133</v>
      </c>
      <c r="I6" s="65" t="s">
        <v>131</v>
      </c>
      <c r="J6" s="66" t="s">
        <v>132</v>
      </c>
      <c r="K6" s="67" t="s">
        <v>133</v>
      </c>
      <c r="L6" s="65" t="s">
        <v>131</v>
      </c>
      <c r="M6" s="66" t="s">
        <v>132</v>
      </c>
      <c r="N6" s="67" t="s">
        <v>133</v>
      </c>
      <c r="O6" s="46" t="s">
        <v>134</v>
      </c>
      <c r="Q6" s="47" t="s">
        <v>135</v>
      </c>
      <c r="R6" s="48" t="s">
        <v>136</v>
      </c>
    </row>
    <row r="7" spans="1:18" s="22" customFormat="1" ht="204" x14ac:dyDescent="0.2">
      <c r="A7" s="22">
        <v>1</v>
      </c>
      <c r="B7" s="77" t="s">
        <v>110</v>
      </c>
      <c r="C7" s="69">
        <v>9</v>
      </c>
      <c r="D7" s="36">
        <f>C7/E5</f>
        <v>0.6428571428571429</v>
      </c>
      <c r="E7" s="27" t="s">
        <v>137</v>
      </c>
      <c r="F7" s="69">
        <v>6</v>
      </c>
      <c r="G7" s="36">
        <f>F7/H5</f>
        <v>0.75</v>
      </c>
      <c r="H7" s="27" t="s">
        <v>138</v>
      </c>
      <c r="I7" s="69">
        <v>1</v>
      </c>
      <c r="J7" s="36">
        <f>I7/K5</f>
        <v>0.5</v>
      </c>
      <c r="K7" s="27" t="s">
        <v>139</v>
      </c>
      <c r="L7" s="69">
        <v>4</v>
      </c>
      <c r="M7" s="36">
        <f>L7/N5</f>
        <v>1</v>
      </c>
      <c r="N7" s="40" t="s">
        <v>140</v>
      </c>
      <c r="O7" s="71">
        <f>(D7*E4)+(G7*H4)+(J7*K4)+(M7*N4)</f>
        <v>0.7232142857142857</v>
      </c>
      <c r="P7" s="25"/>
      <c r="Q7" s="54">
        <v>45251</v>
      </c>
      <c r="R7" s="55">
        <v>45413</v>
      </c>
    </row>
    <row r="8" spans="1:18" s="22" customFormat="1" ht="95.1" customHeight="1" x14ac:dyDescent="0.2">
      <c r="A8" s="22">
        <v>1</v>
      </c>
      <c r="B8" s="77" t="s">
        <v>111</v>
      </c>
      <c r="C8" s="69">
        <v>8</v>
      </c>
      <c r="D8" s="36">
        <f>C8/E5</f>
        <v>0.5714285714285714</v>
      </c>
      <c r="E8" s="27" t="s">
        <v>141</v>
      </c>
      <c r="F8" s="69">
        <v>5</v>
      </c>
      <c r="G8" s="36">
        <f>F8/H5</f>
        <v>0.625</v>
      </c>
      <c r="H8" s="27" t="s">
        <v>142</v>
      </c>
      <c r="I8" s="69">
        <v>1</v>
      </c>
      <c r="J8" s="36">
        <f>I8/K5</f>
        <v>0.5</v>
      </c>
      <c r="K8" s="27" t="s">
        <v>143</v>
      </c>
      <c r="L8" s="69">
        <v>3</v>
      </c>
      <c r="M8" s="36">
        <f>L8/N5</f>
        <v>0.75</v>
      </c>
      <c r="N8" s="40" t="s">
        <v>144</v>
      </c>
      <c r="O8" s="38">
        <f>(D8*E4)+(G8*H4)+(J8*K4)+(M8*N4)</f>
        <v>0.61160714285714279</v>
      </c>
      <c r="P8" s="25"/>
      <c r="Q8" s="54">
        <v>45271</v>
      </c>
      <c r="R8" s="55">
        <v>45444</v>
      </c>
    </row>
    <row r="9" spans="1:18" s="22" customFormat="1" ht="81" customHeight="1" x14ac:dyDescent="0.2">
      <c r="A9" s="22">
        <v>1</v>
      </c>
      <c r="B9" s="81" t="s">
        <v>112</v>
      </c>
      <c r="C9" s="69" t="e">
        <f>#REF!</f>
        <v>#REF!</v>
      </c>
      <c r="D9" s="36" t="e">
        <f>C9/E5</f>
        <v>#REF!</v>
      </c>
      <c r="E9" s="27" t="s">
        <v>145</v>
      </c>
      <c r="F9" s="69" t="e">
        <f>#REF!</f>
        <v>#REF!</v>
      </c>
      <c r="G9" s="36" t="e">
        <f>F9/H5</f>
        <v>#REF!</v>
      </c>
      <c r="H9" s="27" t="s">
        <v>146</v>
      </c>
      <c r="I9" s="69" t="e">
        <f>#REF!</f>
        <v>#REF!</v>
      </c>
      <c r="J9" s="36" t="e">
        <f>I9/K5</f>
        <v>#REF!</v>
      </c>
      <c r="K9" s="27" t="s">
        <v>147</v>
      </c>
      <c r="L9" s="69" t="e">
        <f>#REF!</f>
        <v>#REF!</v>
      </c>
      <c r="M9" s="36" t="e">
        <f>L9/N5</f>
        <v>#REF!</v>
      </c>
      <c r="N9" s="40" t="s">
        <v>148</v>
      </c>
      <c r="O9" s="38" t="e">
        <f>(D9*E4)+(G9*H4)+(J9*K4)+(M9*N4)</f>
        <v>#REF!</v>
      </c>
      <c r="P9" s="25"/>
      <c r="Q9" s="35" t="s">
        <v>149</v>
      </c>
      <c r="R9" s="35" t="s">
        <v>150</v>
      </c>
    </row>
    <row r="10" spans="1:18" s="22" customFormat="1" ht="164.65" customHeight="1" x14ac:dyDescent="0.2">
      <c r="A10" s="22">
        <v>1</v>
      </c>
      <c r="B10" s="77" t="s">
        <v>108</v>
      </c>
      <c r="C10" s="69">
        <v>12</v>
      </c>
      <c r="D10" s="36">
        <f>C10/E5</f>
        <v>0.8571428571428571</v>
      </c>
      <c r="E10" s="27" t="s">
        <v>151</v>
      </c>
      <c r="F10" s="69">
        <v>4</v>
      </c>
      <c r="G10" s="36">
        <f>F10/H5</f>
        <v>0.5</v>
      </c>
      <c r="H10" s="27" t="s">
        <v>152</v>
      </c>
      <c r="I10" s="69">
        <v>1</v>
      </c>
      <c r="J10" s="36">
        <f>I10/K5</f>
        <v>0.5</v>
      </c>
      <c r="K10" s="27" t="s">
        <v>153</v>
      </c>
      <c r="L10" s="69">
        <v>4</v>
      </c>
      <c r="M10" s="36">
        <f>L10/N5</f>
        <v>1</v>
      </c>
      <c r="N10" s="40" t="s">
        <v>154</v>
      </c>
      <c r="O10" s="38">
        <f>(D10*E4)+(G10*H4)+(J10*K4)+(M10*N4)</f>
        <v>0.7142857142857143</v>
      </c>
      <c r="P10" s="25"/>
      <c r="Q10" s="54">
        <v>45229</v>
      </c>
      <c r="R10" s="55">
        <v>45383</v>
      </c>
    </row>
    <row r="11" spans="1:18" s="22" customFormat="1" ht="66" customHeight="1" x14ac:dyDescent="0.2">
      <c r="A11" s="22">
        <v>1</v>
      </c>
      <c r="B11" s="77" t="s">
        <v>109</v>
      </c>
      <c r="C11" s="69">
        <v>13</v>
      </c>
      <c r="D11" s="36">
        <f>C11/E5</f>
        <v>0.9285714285714286</v>
      </c>
      <c r="E11" s="27" t="s">
        <v>155</v>
      </c>
      <c r="F11" s="69">
        <v>5</v>
      </c>
      <c r="G11" s="36">
        <f>F11/H5</f>
        <v>0.625</v>
      </c>
      <c r="H11" s="27" t="s">
        <v>156</v>
      </c>
      <c r="I11" s="69">
        <v>1</v>
      </c>
      <c r="J11" s="36">
        <f>I11/K5</f>
        <v>0.5</v>
      </c>
      <c r="K11" s="27" t="s">
        <v>157</v>
      </c>
      <c r="L11" s="69">
        <v>4</v>
      </c>
      <c r="M11" s="36">
        <f>L11/N5</f>
        <v>1</v>
      </c>
      <c r="N11" s="40" t="s">
        <v>158</v>
      </c>
      <c r="O11" s="38">
        <f>(D11*E4)+(G11*H4)+(J11*K4)+(M11*N4)</f>
        <v>0.76339285714285721</v>
      </c>
      <c r="P11" s="25"/>
      <c r="Q11" s="54">
        <v>45166</v>
      </c>
      <c r="R11" s="56">
        <v>45323</v>
      </c>
    </row>
    <row r="12" spans="1:18" s="22" customFormat="1" ht="76.5" x14ac:dyDescent="0.2">
      <c r="A12" s="22">
        <v>1</v>
      </c>
      <c r="B12" s="77" t="s">
        <v>113</v>
      </c>
      <c r="C12" s="69">
        <v>6</v>
      </c>
      <c r="D12" s="36">
        <f>C12/E5</f>
        <v>0.42857142857142855</v>
      </c>
      <c r="E12" s="27" t="s">
        <v>159</v>
      </c>
      <c r="F12" s="69">
        <v>2</v>
      </c>
      <c r="G12" s="36">
        <f>F12/H5</f>
        <v>0.25</v>
      </c>
      <c r="H12" s="27" t="s">
        <v>160</v>
      </c>
      <c r="I12" s="70">
        <v>1</v>
      </c>
      <c r="J12" s="36">
        <f>I12/K5</f>
        <v>0.5</v>
      </c>
      <c r="K12" s="27" t="s">
        <v>161</v>
      </c>
      <c r="L12" s="69">
        <v>1</v>
      </c>
      <c r="M12" s="36">
        <f>L12/N5</f>
        <v>0.25</v>
      </c>
      <c r="N12" s="40" t="s">
        <v>162</v>
      </c>
      <c r="O12" s="38">
        <f>(D12*E4)+(G12*H4)+(J12*K4)+(M12*N4)</f>
        <v>0.35714285714285715</v>
      </c>
      <c r="P12" s="25"/>
      <c r="Q12" s="54">
        <v>45271</v>
      </c>
      <c r="R12" s="55">
        <v>45444</v>
      </c>
    </row>
    <row r="13" spans="1:18" s="22" customFormat="1" ht="27" customHeight="1" x14ac:dyDescent="0.2">
      <c r="A13" s="22">
        <v>1</v>
      </c>
      <c r="B13" s="77" t="s">
        <v>114</v>
      </c>
      <c r="C13" s="69"/>
      <c r="D13" s="37"/>
      <c r="E13" s="69" t="s">
        <v>81</v>
      </c>
      <c r="F13" s="69"/>
      <c r="G13" s="37"/>
      <c r="H13" s="69" t="s">
        <v>81</v>
      </c>
      <c r="I13" s="69"/>
      <c r="J13" s="37"/>
      <c r="K13" s="69" t="s">
        <v>81</v>
      </c>
      <c r="L13" s="69"/>
      <c r="M13" s="37"/>
      <c r="N13" s="69" t="s">
        <v>81</v>
      </c>
      <c r="O13" s="39"/>
      <c r="P13" s="25"/>
      <c r="Q13" s="35"/>
      <c r="R13" s="35"/>
    </row>
    <row r="14" spans="1:18" s="22" customFormat="1" ht="31.15" customHeight="1" x14ac:dyDescent="0.2">
      <c r="A14" s="22">
        <v>1</v>
      </c>
      <c r="B14" s="77" t="s">
        <v>115</v>
      </c>
      <c r="C14" s="69"/>
      <c r="D14" s="37"/>
      <c r="E14" s="69" t="s">
        <v>81</v>
      </c>
      <c r="F14" s="69"/>
      <c r="G14" s="37"/>
      <c r="H14" s="69" t="s">
        <v>81</v>
      </c>
      <c r="I14" s="69"/>
      <c r="J14" s="37"/>
      <c r="K14" s="69" t="s">
        <v>81</v>
      </c>
      <c r="L14" s="69"/>
      <c r="M14" s="37"/>
      <c r="N14" s="69" t="s">
        <v>81</v>
      </c>
      <c r="O14" s="39"/>
      <c r="P14" s="25"/>
      <c r="Q14" s="35"/>
      <c r="R14" s="35"/>
    </row>
    <row r="15" spans="1:18" s="22" customFormat="1" ht="94.5" customHeight="1" x14ac:dyDescent="0.2">
      <c r="A15" s="22">
        <v>1</v>
      </c>
      <c r="B15" s="77" t="s">
        <v>116</v>
      </c>
      <c r="C15" s="69">
        <v>9</v>
      </c>
      <c r="D15" s="36">
        <f>C15/E5</f>
        <v>0.6428571428571429</v>
      </c>
      <c r="E15" s="27" t="s">
        <v>163</v>
      </c>
      <c r="F15" s="69">
        <v>4</v>
      </c>
      <c r="G15" s="36">
        <f>F15/H5</f>
        <v>0.5</v>
      </c>
      <c r="H15" s="27" t="s">
        <v>164</v>
      </c>
      <c r="I15" s="69">
        <v>1</v>
      </c>
      <c r="J15" s="36">
        <f>I15/K5</f>
        <v>0.5</v>
      </c>
      <c r="K15" s="27" t="s">
        <v>157</v>
      </c>
      <c r="L15" s="69">
        <v>4</v>
      </c>
      <c r="M15" s="36">
        <f>L15/N5</f>
        <v>1</v>
      </c>
      <c r="N15" s="40" t="s">
        <v>165</v>
      </c>
      <c r="O15" s="38">
        <f>(D15*E4)+(G15*H4)+(J15*K4)+(M15*N4)</f>
        <v>0.6607142857142857</v>
      </c>
      <c r="P15" s="25"/>
      <c r="Q15" s="54">
        <v>45104</v>
      </c>
      <c r="R15" s="35" t="s">
        <v>166</v>
      </c>
    </row>
    <row r="16" spans="1:18" s="22" customFormat="1" ht="30" customHeight="1" x14ac:dyDescent="0.2">
      <c r="A16" s="22">
        <v>1</v>
      </c>
      <c r="B16" s="77" t="s">
        <v>117</v>
      </c>
      <c r="C16" s="69"/>
      <c r="D16" s="37"/>
      <c r="E16" s="69" t="s">
        <v>81</v>
      </c>
      <c r="F16" s="69"/>
      <c r="G16" s="37"/>
      <c r="H16" s="69" t="s">
        <v>81</v>
      </c>
      <c r="I16" s="69"/>
      <c r="J16" s="37"/>
      <c r="K16" s="27"/>
      <c r="L16" s="69"/>
      <c r="M16" s="37"/>
      <c r="N16" s="69" t="s">
        <v>81</v>
      </c>
      <c r="O16" s="39"/>
      <c r="P16" s="25"/>
      <c r="Q16" s="35"/>
      <c r="R16" s="35"/>
    </row>
    <row r="17" spans="1:18" s="22" customFormat="1" ht="78" customHeight="1" x14ac:dyDescent="0.2">
      <c r="B17" s="77" t="s">
        <v>107</v>
      </c>
      <c r="C17" s="69">
        <v>14</v>
      </c>
      <c r="D17" s="36">
        <f>C17/E5</f>
        <v>1</v>
      </c>
      <c r="E17" s="27" t="s">
        <v>167</v>
      </c>
      <c r="F17" s="69" t="s">
        <v>81</v>
      </c>
      <c r="G17" s="36"/>
      <c r="H17" s="27" t="s">
        <v>168</v>
      </c>
      <c r="I17" s="70" t="s">
        <v>81</v>
      </c>
      <c r="J17" s="36"/>
      <c r="K17" s="27" t="s">
        <v>168</v>
      </c>
      <c r="L17" s="69" t="s">
        <v>81</v>
      </c>
      <c r="M17" s="36"/>
      <c r="N17" s="40" t="s">
        <v>168</v>
      </c>
      <c r="O17" s="38">
        <v>0</v>
      </c>
      <c r="P17" s="25"/>
      <c r="Q17" s="54">
        <v>45268</v>
      </c>
      <c r="R17" s="55">
        <v>45444</v>
      </c>
    </row>
    <row r="18" spans="1:18" s="22" customFormat="1" ht="67.150000000000006" customHeight="1" x14ac:dyDescent="0.2">
      <c r="A18" s="22">
        <v>1</v>
      </c>
      <c r="B18" s="77" t="s">
        <v>118</v>
      </c>
      <c r="C18" s="69">
        <v>12</v>
      </c>
      <c r="D18" s="36">
        <f>C18/E5</f>
        <v>0.8571428571428571</v>
      </c>
      <c r="E18" s="27" t="s">
        <v>169</v>
      </c>
      <c r="F18" s="69">
        <v>7</v>
      </c>
      <c r="G18" s="36">
        <f>F18/H5</f>
        <v>0.875</v>
      </c>
      <c r="H18" s="27" t="s">
        <v>170</v>
      </c>
      <c r="I18" s="69">
        <v>1</v>
      </c>
      <c r="J18" s="36">
        <f>I18/K5</f>
        <v>0.5</v>
      </c>
      <c r="K18" s="27" t="s">
        <v>171</v>
      </c>
      <c r="L18" s="69">
        <v>4</v>
      </c>
      <c r="M18" s="36">
        <f>L18/N5</f>
        <v>1</v>
      </c>
      <c r="N18" s="40" t="s">
        <v>172</v>
      </c>
      <c r="O18" s="38">
        <f>(D18*E4)+(G18*H4)+(J18*K4)+(M18*N4)</f>
        <v>0.8080357142857143</v>
      </c>
      <c r="P18" s="25"/>
      <c r="Q18" s="54">
        <v>45159</v>
      </c>
      <c r="R18" s="56">
        <v>45323</v>
      </c>
    </row>
    <row r="19" spans="1:18" s="22" customFormat="1" ht="96.6" customHeight="1" x14ac:dyDescent="0.2">
      <c r="A19" s="22">
        <v>1</v>
      </c>
      <c r="B19" s="77" t="s">
        <v>96</v>
      </c>
      <c r="C19" s="49">
        <v>4</v>
      </c>
      <c r="D19" s="36">
        <v>0</v>
      </c>
      <c r="E19" s="27" t="s">
        <v>173</v>
      </c>
      <c r="F19" s="49">
        <v>1</v>
      </c>
      <c r="G19" s="36">
        <v>0</v>
      </c>
      <c r="H19" s="27" t="s">
        <v>174</v>
      </c>
      <c r="I19" s="49" t="s">
        <v>81</v>
      </c>
      <c r="J19" s="36">
        <v>0</v>
      </c>
      <c r="K19" s="27" t="s">
        <v>81</v>
      </c>
      <c r="L19" s="49" t="s">
        <v>81</v>
      </c>
      <c r="M19" s="36">
        <v>0</v>
      </c>
      <c r="N19" s="40" t="s">
        <v>81</v>
      </c>
      <c r="O19" s="38">
        <v>0</v>
      </c>
      <c r="P19" s="25"/>
      <c r="Q19" s="54">
        <v>45124</v>
      </c>
      <c r="R19" s="56">
        <v>45292</v>
      </c>
    </row>
    <row r="20" spans="1:18" s="22" customFormat="1" ht="21.6" customHeight="1" x14ac:dyDescent="0.2">
      <c r="A20" s="22">
        <v>1</v>
      </c>
      <c r="B20" s="77" t="s">
        <v>97</v>
      </c>
      <c r="C20" s="49"/>
      <c r="D20" s="36">
        <v>0</v>
      </c>
      <c r="E20" s="69" t="s">
        <v>81</v>
      </c>
      <c r="F20" s="49"/>
      <c r="G20" s="36">
        <v>0</v>
      </c>
      <c r="H20" s="69" t="s">
        <v>81</v>
      </c>
      <c r="I20" s="49"/>
      <c r="J20" s="36">
        <v>0</v>
      </c>
      <c r="K20" s="27"/>
      <c r="L20" s="49"/>
      <c r="M20" s="36">
        <v>0</v>
      </c>
      <c r="N20" s="69" t="s">
        <v>81</v>
      </c>
      <c r="O20" s="38">
        <v>0</v>
      </c>
      <c r="P20" s="25"/>
      <c r="Q20" s="35"/>
      <c r="R20" s="35"/>
    </row>
    <row r="21" spans="1:18" s="22" customFormat="1" ht="27.6" customHeight="1" x14ac:dyDescent="0.2">
      <c r="A21" s="22">
        <v>1</v>
      </c>
      <c r="B21" s="77" t="s">
        <v>98</v>
      </c>
      <c r="C21" s="49"/>
      <c r="D21" s="36">
        <v>0</v>
      </c>
      <c r="E21" s="69" t="s">
        <v>81</v>
      </c>
      <c r="F21" s="49"/>
      <c r="G21" s="36">
        <v>0</v>
      </c>
      <c r="H21" s="69" t="s">
        <v>81</v>
      </c>
      <c r="I21" s="49"/>
      <c r="J21" s="36">
        <v>0</v>
      </c>
      <c r="K21" s="27"/>
      <c r="L21" s="49"/>
      <c r="M21" s="36">
        <v>0</v>
      </c>
      <c r="N21" s="69" t="s">
        <v>81</v>
      </c>
      <c r="O21" s="38">
        <v>0</v>
      </c>
      <c r="P21" s="25"/>
      <c r="Q21" s="35"/>
      <c r="R21" s="35"/>
    </row>
    <row r="22" spans="1:18" s="22" customFormat="1" ht="28.5" customHeight="1" x14ac:dyDescent="0.2">
      <c r="A22" s="22">
        <v>1</v>
      </c>
      <c r="B22" s="77" t="s">
        <v>99</v>
      </c>
      <c r="C22" s="49"/>
      <c r="D22" s="36">
        <v>0</v>
      </c>
      <c r="E22" s="69" t="s">
        <v>81</v>
      </c>
      <c r="F22" s="49"/>
      <c r="G22" s="36">
        <v>0</v>
      </c>
      <c r="H22" s="69" t="s">
        <v>81</v>
      </c>
      <c r="I22" s="49"/>
      <c r="J22" s="36">
        <v>0</v>
      </c>
      <c r="K22" s="27"/>
      <c r="L22" s="49"/>
      <c r="M22" s="36">
        <v>0</v>
      </c>
      <c r="N22" s="69" t="s">
        <v>81</v>
      </c>
      <c r="O22" s="38">
        <v>0</v>
      </c>
      <c r="P22" s="25"/>
      <c r="Q22" s="35"/>
      <c r="R22" s="35"/>
    </row>
    <row r="23" spans="1:18" s="22" customFormat="1" ht="97.15" customHeight="1" x14ac:dyDescent="0.2">
      <c r="A23" s="22">
        <v>1</v>
      </c>
      <c r="B23" s="77" t="s">
        <v>100</v>
      </c>
      <c r="C23" s="49">
        <v>9</v>
      </c>
      <c r="D23" s="36">
        <f>C23/E5</f>
        <v>0.6428571428571429</v>
      </c>
      <c r="E23" s="27" t="s">
        <v>250</v>
      </c>
      <c r="F23" s="49">
        <v>3</v>
      </c>
      <c r="G23" s="36">
        <f>F23/H5</f>
        <v>0.375</v>
      </c>
      <c r="H23" s="27" t="s">
        <v>175</v>
      </c>
      <c r="I23" s="49">
        <v>1</v>
      </c>
      <c r="J23" s="36">
        <f>I23/K5</f>
        <v>0.5</v>
      </c>
      <c r="K23" s="27" t="s">
        <v>176</v>
      </c>
      <c r="L23" s="49">
        <v>4</v>
      </c>
      <c r="M23" s="36">
        <f>L23/N5</f>
        <v>1</v>
      </c>
      <c r="N23" s="40" t="s">
        <v>177</v>
      </c>
      <c r="O23" s="38">
        <f>(D23*E4)+(G23*H4)+(J23*K4)+(M23*N4)</f>
        <v>0.6294642857142857</v>
      </c>
      <c r="P23" s="25"/>
      <c r="Q23" s="54">
        <v>45229</v>
      </c>
      <c r="R23" s="55">
        <v>45383</v>
      </c>
    </row>
    <row r="24" spans="1:18" s="22" customFormat="1" ht="23.65" customHeight="1" x14ac:dyDescent="0.2">
      <c r="A24" s="22">
        <v>1</v>
      </c>
      <c r="B24" s="77" t="s">
        <v>101</v>
      </c>
      <c r="C24" s="49"/>
      <c r="D24" s="36">
        <v>0</v>
      </c>
      <c r="E24" s="69" t="s">
        <v>81</v>
      </c>
      <c r="F24" s="49"/>
      <c r="G24" s="36">
        <v>0</v>
      </c>
      <c r="H24" s="69" t="s">
        <v>81</v>
      </c>
      <c r="I24" s="49"/>
      <c r="J24" s="36">
        <v>0</v>
      </c>
      <c r="K24" s="27"/>
      <c r="L24" s="49"/>
      <c r="M24" s="36">
        <v>0</v>
      </c>
      <c r="N24" s="69" t="s">
        <v>81</v>
      </c>
      <c r="O24" s="38">
        <f>(D24*E1)+(G24*H1)+(J24*K1)+(M24*N1)</f>
        <v>0</v>
      </c>
      <c r="P24" s="25"/>
      <c r="Q24" s="35"/>
      <c r="R24" s="35"/>
    </row>
    <row r="25" spans="1:18" s="22" customFormat="1" ht="51" customHeight="1" x14ac:dyDescent="0.2">
      <c r="A25" s="22">
        <v>1</v>
      </c>
      <c r="B25" s="77" t="s">
        <v>102</v>
      </c>
      <c r="C25" s="49">
        <v>14</v>
      </c>
      <c r="D25" s="36">
        <f>C25/E5</f>
        <v>1</v>
      </c>
      <c r="E25" s="27" t="s">
        <v>178</v>
      </c>
      <c r="F25" s="49" t="s">
        <v>81</v>
      </c>
      <c r="G25" s="36">
        <v>0</v>
      </c>
      <c r="H25" s="27" t="s">
        <v>168</v>
      </c>
      <c r="I25" s="53" t="s">
        <v>81</v>
      </c>
      <c r="J25" s="36">
        <v>0</v>
      </c>
      <c r="K25" s="27" t="s">
        <v>168</v>
      </c>
      <c r="L25" s="49" t="s">
        <v>81</v>
      </c>
      <c r="M25" s="36">
        <v>0</v>
      </c>
      <c r="N25" s="40" t="s">
        <v>168</v>
      </c>
      <c r="O25" s="38">
        <f>(D25*E2)+(G25*H2)+(J25*K2)+(M25*N2)</f>
        <v>0</v>
      </c>
      <c r="P25" s="25"/>
      <c r="Q25" s="54">
        <v>45254</v>
      </c>
      <c r="R25" s="55">
        <v>45413</v>
      </c>
    </row>
    <row r="26" spans="1:18" s="22" customFormat="1" ht="23.65" customHeight="1" x14ac:dyDescent="0.2">
      <c r="A26" s="22">
        <v>1</v>
      </c>
      <c r="B26" s="77" t="s">
        <v>103</v>
      </c>
      <c r="C26" s="49"/>
      <c r="D26" s="36">
        <v>0</v>
      </c>
      <c r="E26" s="69" t="s">
        <v>81</v>
      </c>
      <c r="F26" s="49"/>
      <c r="G26" s="36">
        <v>0</v>
      </c>
      <c r="H26" s="69" t="s">
        <v>81</v>
      </c>
      <c r="I26" s="49"/>
      <c r="J26" s="36">
        <v>0</v>
      </c>
      <c r="K26" s="27"/>
      <c r="L26" s="49"/>
      <c r="M26" s="36">
        <v>0</v>
      </c>
      <c r="N26" s="69" t="s">
        <v>81</v>
      </c>
      <c r="O26" s="38">
        <f>(D26*E3)+(G26*H3)+(J26*K3)+(M26*N3)</f>
        <v>0</v>
      </c>
      <c r="P26" s="25"/>
      <c r="Q26" s="35"/>
      <c r="R26" s="35"/>
    </row>
    <row r="27" spans="1:18" s="22" customFormat="1" ht="54.6" customHeight="1" x14ac:dyDescent="0.2">
      <c r="A27" s="22">
        <v>1</v>
      </c>
      <c r="B27" s="77" t="s">
        <v>106</v>
      </c>
      <c r="C27" s="49">
        <v>13</v>
      </c>
      <c r="D27" s="36">
        <f>C27/E5</f>
        <v>0.9285714285714286</v>
      </c>
      <c r="E27" s="27" t="s">
        <v>179</v>
      </c>
      <c r="F27" s="49">
        <v>7</v>
      </c>
      <c r="G27" s="36">
        <f>F27/H5</f>
        <v>0.875</v>
      </c>
      <c r="H27" s="27" t="s">
        <v>180</v>
      </c>
      <c r="I27" s="53">
        <v>2</v>
      </c>
      <c r="J27" s="36">
        <f>I27/K5</f>
        <v>1</v>
      </c>
      <c r="K27" s="27" t="s">
        <v>181</v>
      </c>
      <c r="L27" s="49">
        <v>2</v>
      </c>
      <c r="M27" s="36">
        <f>L27/N5</f>
        <v>0.5</v>
      </c>
      <c r="N27" s="40" t="s">
        <v>182</v>
      </c>
      <c r="O27" s="38">
        <f>(D27*E4)+(G27*H4)+(J27*K4)+(M27*N4)</f>
        <v>0.82589285714285721</v>
      </c>
      <c r="P27" s="25"/>
      <c r="Q27" s="54">
        <v>45106</v>
      </c>
      <c r="R27" s="57" t="s">
        <v>183</v>
      </c>
    </row>
    <row r="28" spans="1:18" s="22" customFormat="1" ht="25.5" customHeight="1" x14ac:dyDescent="0.2">
      <c r="A28" s="22">
        <v>1</v>
      </c>
      <c r="B28" s="77" t="s">
        <v>104</v>
      </c>
      <c r="C28" s="50"/>
      <c r="D28" s="83">
        <v>0</v>
      </c>
      <c r="E28" s="41"/>
      <c r="F28" s="50"/>
      <c r="G28" s="83">
        <v>0</v>
      </c>
      <c r="H28" s="41"/>
      <c r="I28" s="50"/>
      <c r="J28" s="83">
        <v>0</v>
      </c>
      <c r="K28" s="41"/>
      <c r="L28" s="50"/>
      <c r="M28" s="83">
        <v>0</v>
      </c>
      <c r="N28" s="42"/>
      <c r="O28" s="38">
        <v>0</v>
      </c>
      <c r="P28" s="25"/>
      <c r="Q28" s="9"/>
      <c r="R28" s="9"/>
    </row>
    <row r="29" spans="1:18" s="22" customFormat="1" ht="127.15" customHeight="1" x14ac:dyDescent="0.2">
      <c r="A29" s="22">
        <v>1</v>
      </c>
      <c r="B29" s="77" t="s">
        <v>92</v>
      </c>
      <c r="C29" s="51">
        <v>8</v>
      </c>
      <c r="D29" s="44">
        <f>C29/E5</f>
        <v>0.5714285714285714</v>
      </c>
      <c r="E29" s="43" t="s">
        <v>184</v>
      </c>
      <c r="F29" s="51">
        <v>5</v>
      </c>
      <c r="G29" s="44">
        <f>F29/H5</f>
        <v>0.625</v>
      </c>
      <c r="H29" s="43" t="s">
        <v>185</v>
      </c>
      <c r="I29" s="51">
        <v>0</v>
      </c>
      <c r="J29" s="44">
        <f>I29/K5</f>
        <v>0</v>
      </c>
      <c r="K29" s="43" t="s">
        <v>186</v>
      </c>
      <c r="L29" s="51">
        <v>4</v>
      </c>
      <c r="M29" s="44">
        <f>L29/N5</f>
        <v>1</v>
      </c>
      <c r="N29" s="60" t="s">
        <v>187</v>
      </c>
      <c r="O29" s="38">
        <f>(D29*E4)+(G29*H4)+(J29*K4)+(M29*N4)</f>
        <v>0.54910714285714279</v>
      </c>
      <c r="P29" s="25"/>
      <c r="Q29" s="58">
        <v>45251</v>
      </c>
      <c r="R29" s="59">
        <v>45413</v>
      </c>
    </row>
    <row r="30" spans="1:18" s="22" customFormat="1" ht="31.5" customHeight="1" x14ac:dyDescent="0.2">
      <c r="A30" s="22">
        <v>1</v>
      </c>
      <c r="B30" s="77" t="s">
        <v>90</v>
      </c>
      <c r="C30" s="49"/>
      <c r="D30" s="36">
        <v>0</v>
      </c>
      <c r="E30" s="69" t="s">
        <v>81</v>
      </c>
      <c r="F30" s="49"/>
      <c r="G30" s="36">
        <v>0</v>
      </c>
      <c r="H30" s="69" t="s">
        <v>81</v>
      </c>
      <c r="I30" s="49"/>
      <c r="J30" s="36">
        <v>0</v>
      </c>
      <c r="K30" s="27"/>
      <c r="L30" s="49"/>
      <c r="M30" s="36">
        <v>0</v>
      </c>
      <c r="N30" s="69" t="s">
        <v>81</v>
      </c>
      <c r="O30" s="38">
        <v>0</v>
      </c>
      <c r="P30" s="25"/>
      <c r="Q30" s="35"/>
      <c r="R30" s="35"/>
    </row>
    <row r="31" spans="1:18" s="22" customFormat="1" ht="30.6" customHeight="1" x14ac:dyDescent="0.2">
      <c r="A31" s="22">
        <v>1</v>
      </c>
      <c r="B31" s="77" t="s">
        <v>91</v>
      </c>
      <c r="C31" s="49"/>
      <c r="D31" s="36">
        <v>0</v>
      </c>
      <c r="E31" s="69" t="s">
        <v>81</v>
      </c>
      <c r="F31" s="49"/>
      <c r="G31" s="36">
        <v>0</v>
      </c>
      <c r="H31" s="69" t="s">
        <v>81</v>
      </c>
      <c r="I31" s="49"/>
      <c r="J31" s="36">
        <v>0</v>
      </c>
      <c r="K31" s="27"/>
      <c r="L31" s="49"/>
      <c r="M31" s="36">
        <v>0</v>
      </c>
      <c r="N31" s="69" t="s">
        <v>81</v>
      </c>
      <c r="O31" s="38">
        <v>0</v>
      </c>
      <c r="P31" s="25"/>
      <c r="Q31" s="35"/>
      <c r="R31" s="35"/>
    </row>
    <row r="32" spans="1:18" s="22" customFormat="1" ht="134.65" customHeight="1" x14ac:dyDescent="0.2">
      <c r="A32" s="22">
        <v>1</v>
      </c>
      <c r="B32" s="77" t="str">
        <f>'[1]Resumo Unidades'!E40</f>
        <v>Núcleo de Especialidades de Americana</v>
      </c>
      <c r="C32" s="49">
        <v>11</v>
      </c>
      <c r="D32" s="36">
        <f>C32/E5</f>
        <v>0.7857142857142857</v>
      </c>
      <c r="E32" s="27" t="s">
        <v>188</v>
      </c>
      <c r="F32" s="49">
        <v>4</v>
      </c>
      <c r="G32" s="36">
        <f>F32/H5</f>
        <v>0.5</v>
      </c>
      <c r="H32" s="27" t="s">
        <v>189</v>
      </c>
      <c r="I32" s="49">
        <v>1</v>
      </c>
      <c r="J32" s="36">
        <f>I32/K5</f>
        <v>0.5</v>
      </c>
      <c r="K32" s="27" t="s">
        <v>190</v>
      </c>
      <c r="L32" s="49">
        <v>2</v>
      </c>
      <c r="M32" s="36">
        <f>L32/N5</f>
        <v>0.5</v>
      </c>
      <c r="N32" s="40" t="s">
        <v>191</v>
      </c>
      <c r="O32" s="38">
        <f>(D32*E4)+(G32*H4)+(J32*K4)+(M32*N4)</f>
        <v>0.5714285714285714</v>
      </c>
      <c r="P32" s="25"/>
      <c r="Q32" s="54">
        <v>45124</v>
      </c>
      <c r="R32" s="56">
        <v>45292</v>
      </c>
    </row>
    <row r="33" spans="1:18" s="22" customFormat="1" ht="74.099999999999994" customHeight="1" x14ac:dyDescent="0.2">
      <c r="A33" s="22">
        <v>1</v>
      </c>
      <c r="B33" s="77" t="str">
        <f>'[1]Resumo Corrigido'!E44</f>
        <v>UPA São José</v>
      </c>
      <c r="C33" s="49">
        <v>14</v>
      </c>
      <c r="D33" s="36">
        <f>C33/E5</f>
        <v>1</v>
      </c>
      <c r="E33" s="27" t="s">
        <v>192</v>
      </c>
      <c r="F33" s="49">
        <v>6</v>
      </c>
      <c r="G33" s="36">
        <f>F33/H5</f>
        <v>0.75</v>
      </c>
      <c r="H33" s="27" t="s">
        <v>193</v>
      </c>
      <c r="I33" s="49">
        <v>1</v>
      </c>
      <c r="J33" s="36">
        <v>0.5</v>
      </c>
      <c r="K33" s="27" t="s">
        <v>194</v>
      </c>
      <c r="L33" s="49">
        <v>4</v>
      </c>
      <c r="M33" s="36">
        <f>L33/N5</f>
        <v>1</v>
      </c>
      <c r="N33" s="40" t="s">
        <v>195</v>
      </c>
      <c r="O33" s="38">
        <f>(D33*E4)+(G33*H4)+(J33*K4)+(M33*N4)</f>
        <v>0.8125</v>
      </c>
      <c r="P33" s="25"/>
      <c r="Q33" s="54">
        <v>45222</v>
      </c>
      <c r="R33" s="55">
        <v>45383</v>
      </c>
    </row>
    <row r="34" spans="1:18" s="22" customFormat="1" ht="108" customHeight="1" x14ac:dyDescent="0.2">
      <c r="A34" s="22">
        <v>1</v>
      </c>
      <c r="B34" s="77" t="str">
        <f>'[1]Resumo Corrigido'!E45</f>
        <v>UPA - Bairro Antonio Zanaga</v>
      </c>
      <c r="C34" s="49">
        <v>7</v>
      </c>
      <c r="D34" s="36">
        <f>C34/E5</f>
        <v>0.5</v>
      </c>
      <c r="E34" s="27" t="s">
        <v>251</v>
      </c>
      <c r="F34" s="49">
        <v>6</v>
      </c>
      <c r="G34" s="36">
        <f>F34/H5</f>
        <v>0.75</v>
      </c>
      <c r="H34" s="27" t="s">
        <v>196</v>
      </c>
      <c r="I34" s="49">
        <v>1</v>
      </c>
      <c r="J34" s="36">
        <f>I34/K5</f>
        <v>0.5</v>
      </c>
      <c r="K34" s="27" t="s">
        <v>197</v>
      </c>
      <c r="L34" s="49">
        <v>2</v>
      </c>
      <c r="M34" s="36">
        <f>L34/N5</f>
        <v>0.5</v>
      </c>
      <c r="N34" s="40" t="s">
        <v>198</v>
      </c>
      <c r="O34" s="38">
        <f>(D34*E4)+(G34*H4)+(J34*K4)+(M34*N4)</f>
        <v>0.5625</v>
      </c>
      <c r="P34" s="25"/>
      <c r="Q34" s="54">
        <v>45198</v>
      </c>
      <c r="R34" s="55">
        <v>45352</v>
      </c>
    </row>
    <row r="35" spans="1:18" s="22" customFormat="1" ht="59.65" customHeight="1" x14ac:dyDescent="0.2">
      <c r="A35" s="22">
        <v>1</v>
      </c>
      <c r="B35" s="77" t="s">
        <v>119</v>
      </c>
      <c r="C35" s="49">
        <v>13</v>
      </c>
      <c r="D35" s="36">
        <f>C35/E5</f>
        <v>0.9285714285714286</v>
      </c>
      <c r="E35" s="27" t="s">
        <v>199</v>
      </c>
      <c r="F35" s="49">
        <v>7</v>
      </c>
      <c r="G35" s="36">
        <f>F35/H5</f>
        <v>0.875</v>
      </c>
      <c r="H35" s="27" t="s">
        <v>200</v>
      </c>
      <c r="I35" s="53">
        <v>2</v>
      </c>
      <c r="J35" s="36">
        <f>I35/K5</f>
        <v>1</v>
      </c>
      <c r="K35" s="27" t="s">
        <v>201</v>
      </c>
      <c r="L35" s="49">
        <v>4</v>
      </c>
      <c r="M35" s="36">
        <f>L35/N5</f>
        <v>1</v>
      </c>
      <c r="N35" s="40" t="s">
        <v>202</v>
      </c>
      <c r="O35" s="38">
        <f>(D35*E4)+(G35*H4)+(J35*K4)+(M35*N4)</f>
        <v>0.95089285714285721</v>
      </c>
      <c r="P35" s="25"/>
      <c r="Q35" s="35" t="s">
        <v>203</v>
      </c>
      <c r="R35" s="35"/>
    </row>
    <row r="36" spans="1:18" s="22" customFormat="1" ht="33.6" customHeight="1" x14ac:dyDescent="0.2">
      <c r="A36" s="22">
        <v>1</v>
      </c>
      <c r="B36" s="77" t="s">
        <v>94</v>
      </c>
      <c r="C36" s="52"/>
      <c r="D36" s="45">
        <v>0</v>
      </c>
      <c r="E36" s="69" t="s">
        <v>81</v>
      </c>
      <c r="F36" s="52"/>
      <c r="G36" s="45">
        <v>0</v>
      </c>
      <c r="H36" s="69" t="s">
        <v>81</v>
      </c>
      <c r="I36" s="52"/>
      <c r="J36" s="45">
        <v>0</v>
      </c>
      <c r="K36" s="23"/>
      <c r="L36" s="52"/>
      <c r="M36" s="45">
        <v>0</v>
      </c>
      <c r="N36" s="69" t="s">
        <v>81</v>
      </c>
      <c r="O36" s="82">
        <v>0</v>
      </c>
      <c r="Q36" s="35"/>
      <c r="R36" s="35"/>
    </row>
    <row r="37" spans="1:18" s="22" customFormat="1" ht="36" customHeight="1" x14ac:dyDescent="0.2">
      <c r="A37" s="22">
        <v>1</v>
      </c>
      <c r="B37" s="77" t="s">
        <v>89</v>
      </c>
      <c r="C37" s="52"/>
      <c r="D37" s="45">
        <v>0</v>
      </c>
      <c r="E37" s="69" t="s">
        <v>81</v>
      </c>
      <c r="F37" s="52"/>
      <c r="G37" s="45">
        <v>0</v>
      </c>
      <c r="H37" s="69" t="s">
        <v>81</v>
      </c>
      <c r="I37" s="52"/>
      <c r="J37" s="45">
        <v>0</v>
      </c>
      <c r="K37" s="23"/>
      <c r="L37" s="52"/>
      <c r="M37" s="45">
        <v>0</v>
      </c>
      <c r="N37" s="69" t="s">
        <v>81</v>
      </c>
      <c r="O37" s="82">
        <v>0</v>
      </c>
      <c r="Q37" s="35"/>
      <c r="R37" s="35"/>
    </row>
    <row r="38" spans="1:18" s="22" customFormat="1" ht="65.650000000000006" customHeight="1" x14ac:dyDescent="0.2">
      <c r="A38" s="22">
        <v>1</v>
      </c>
      <c r="B38" s="77" t="s">
        <v>93</v>
      </c>
      <c r="C38" s="49">
        <v>1</v>
      </c>
      <c r="D38" s="36">
        <f>C38/E5</f>
        <v>7.1428571428571425E-2</v>
      </c>
      <c r="E38" s="27" t="s">
        <v>204</v>
      </c>
      <c r="F38" s="49">
        <v>3</v>
      </c>
      <c r="G38" s="36">
        <f>F38/H5</f>
        <v>0.375</v>
      </c>
      <c r="H38" s="27" t="s">
        <v>205</v>
      </c>
      <c r="I38" s="53">
        <v>1</v>
      </c>
      <c r="J38" s="36">
        <f>I38/K5</f>
        <v>0.5</v>
      </c>
      <c r="K38" s="27" t="s">
        <v>201</v>
      </c>
      <c r="L38" s="49">
        <v>3</v>
      </c>
      <c r="M38" s="36">
        <f>L38/N5</f>
        <v>0.75</v>
      </c>
      <c r="N38" s="40" t="s">
        <v>202</v>
      </c>
      <c r="O38" s="38">
        <f>(D38*E4)+(G38*H4)+(J38*K4)+(M38*N4)</f>
        <v>0.42410714285714285</v>
      </c>
      <c r="Q38" s="54">
        <v>45162</v>
      </c>
      <c r="R38" s="56">
        <v>45323</v>
      </c>
    </row>
    <row r="39" spans="1:18" s="22" customFormat="1" ht="92.1" customHeight="1" x14ac:dyDescent="0.2">
      <c r="A39" s="22">
        <v>1</v>
      </c>
      <c r="B39" s="77" t="s">
        <v>95</v>
      </c>
      <c r="C39" s="52">
        <v>12</v>
      </c>
      <c r="D39" s="45">
        <f>C39/E5</f>
        <v>0.8571428571428571</v>
      </c>
      <c r="E39" s="23" t="s">
        <v>206</v>
      </c>
      <c r="F39" s="52">
        <v>6</v>
      </c>
      <c r="G39" s="45">
        <f>F39/H5</f>
        <v>0.75</v>
      </c>
      <c r="H39" s="23" t="s">
        <v>207</v>
      </c>
      <c r="I39" s="52">
        <v>1</v>
      </c>
      <c r="J39" s="45">
        <f>I39/K5</f>
        <v>0.5</v>
      </c>
      <c r="K39" s="23" t="s">
        <v>208</v>
      </c>
      <c r="L39" s="52">
        <v>4</v>
      </c>
      <c r="M39" s="45">
        <f>L39/N5</f>
        <v>1</v>
      </c>
      <c r="N39" s="61" t="s">
        <v>209</v>
      </c>
      <c r="O39" s="38">
        <f>(D39*E4)+(G39*H4)+(J39*K4)+(M39*N4)</f>
        <v>0.7767857142857143</v>
      </c>
      <c r="Q39" s="54">
        <v>45268</v>
      </c>
      <c r="R39" s="55">
        <v>45444</v>
      </c>
    </row>
    <row r="40" spans="1:18" s="22" customFormat="1" ht="19.5" thickBot="1" x14ac:dyDescent="0.25">
      <c r="B40" s="68"/>
      <c r="C40" s="24"/>
      <c r="D40" s="30"/>
      <c r="E40" s="23"/>
      <c r="F40" s="24"/>
      <c r="G40" s="45"/>
      <c r="H40" s="23"/>
      <c r="I40" s="24"/>
      <c r="J40" s="45"/>
      <c r="K40" s="23"/>
      <c r="L40" s="24"/>
      <c r="M40" s="30"/>
      <c r="N40" s="61"/>
      <c r="O40" s="62"/>
      <c r="Q40" s="26"/>
      <c r="R40" s="26"/>
    </row>
    <row r="41" spans="1:18" s="22" customFormat="1" ht="34.5" customHeight="1" thickBot="1" x14ac:dyDescent="0.25">
      <c r="B41" s="68" t="s">
        <v>210</v>
      </c>
      <c r="C41" s="116" t="s">
        <v>211</v>
      </c>
      <c r="D41" s="117"/>
      <c r="E41" s="117"/>
      <c r="F41" s="117"/>
      <c r="G41" s="117"/>
      <c r="H41" s="117"/>
      <c r="I41" s="117"/>
      <c r="J41" s="117"/>
      <c r="K41" s="117"/>
      <c r="L41" s="117"/>
      <c r="M41" s="117"/>
      <c r="N41" s="117"/>
      <c r="O41" s="118"/>
      <c r="Q41" s="26"/>
      <c r="R41" s="26"/>
    </row>
    <row r="42" spans="1:18" s="22" customFormat="1" x14ac:dyDescent="0.2">
      <c r="C42" s="21"/>
      <c r="D42" s="21"/>
      <c r="E42" s="21"/>
      <c r="F42" s="21"/>
      <c r="G42" s="21"/>
      <c r="H42" s="21"/>
      <c r="I42" s="21"/>
      <c r="J42" s="21"/>
      <c r="K42" s="21"/>
      <c r="L42" s="21"/>
      <c r="M42" s="21"/>
      <c r="N42" s="21"/>
    </row>
    <row r="43" spans="1:18" s="22" customFormat="1" x14ac:dyDescent="0.2">
      <c r="C43" s="21"/>
      <c r="D43" s="21"/>
      <c r="E43" s="21"/>
      <c r="F43" s="21"/>
      <c r="G43" s="21"/>
      <c r="H43" s="21"/>
      <c r="I43" s="21"/>
      <c r="J43" s="21"/>
      <c r="K43" s="21"/>
      <c r="L43" s="21"/>
      <c r="M43" s="21"/>
      <c r="N43" s="21"/>
    </row>
    <row r="44" spans="1:18" s="22" customFormat="1" x14ac:dyDescent="0.2">
      <c r="C44" s="21"/>
      <c r="D44" s="21"/>
      <c r="E44" s="21"/>
      <c r="F44" s="21"/>
      <c r="G44" s="21"/>
      <c r="H44" s="21"/>
      <c r="I44" s="21"/>
      <c r="J44" s="21"/>
      <c r="K44" s="21"/>
      <c r="L44" s="21"/>
      <c r="M44" s="21"/>
      <c r="N44" s="21"/>
    </row>
    <row r="45" spans="1:18" s="22" customFormat="1" x14ac:dyDescent="0.2">
      <c r="C45" s="21"/>
      <c r="D45" s="21"/>
      <c r="E45" s="21"/>
      <c r="F45" s="21"/>
      <c r="G45" s="21"/>
      <c r="H45" s="21"/>
      <c r="I45" s="21"/>
      <c r="J45" s="21"/>
      <c r="K45" s="21"/>
      <c r="L45" s="21"/>
      <c r="M45" s="21"/>
      <c r="N45" s="21"/>
    </row>
    <row r="46" spans="1:18" s="22" customFormat="1" x14ac:dyDescent="0.2">
      <c r="B46" s="25"/>
      <c r="C46" s="21"/>
      <c r="D46" s="21"/>
      <c r="E46" s="21"/>
      <c r="F46" s="21"/>
      <c r="G46" s="21"/>
      <c r="H46" s="21"/>
      <c r="I46" s="21"/>
      <c r="J46" s="21"/>
      <c r="K46" s="21"/>
      <c r="L46" s="21"/>
      <c r="M46" s="21"/>
      <c r="N46" s="21"/>
    </row>
    <row r="47" spans="1:18" s="22" customFormat="1" x14ac:dyDescent="0.2">
      <c r="C47" s="21"/>
      <c r="D47" s="21"/>
      <c r="E47" s="21"/>
      <c r="F47" s="21"/>
      <c r="G47" s="21"/>
      <c r="H47" s="21"/>
      <c r="I47" s="21"/>
      <c r="J47" s="21"/>
      <c r="K47" s="21"/>
      <c r="L47" s="21"/>
      <c r="M47" s="21"/>
      <c r="N47" s="21"/>
    </row>
    <row r="48" spans="1:18" s="22" customFormat="1" ht="25.5" x14ac:dyDescent="0.2">
      <c r="B48" s="33" t="s">
        <v>212</v>
      </c>
      <c r="C48" s="26"/>
      <c r="D48" s="26"/>
      <c r="E48" s="26"/>
      <c r="F48" s="26"/>
      <c r="G48" s="26"/>
      <c r="H48" s="26"/>
      <c r="I48" s="26"/>
      <c r="J48" s="26"/>
      <c r="K48" s="26"/>
      <c r="L48" s="26"/>
      <c r="M48" s="26"/>
      <c r="N48" s="26"/>
      <c r="O48" s="28"/>
    </row>
    <row r="49" spans="2:15" s="22" customFormat="1" x14ac:dyDescent="0.2">
      <c r="B49" s="33" t="s">
        <v>213</v>
      </c>
      <c r="C49" s="26"/>
      <c r="D49" s="26"/>
      <c r="E49" s="26"/>
      <c r="F49" s="26"/>
      <c r="G49" s="26"/>
      <c r="H49" s="26"/>
      <c r="I49" s="26"/>
      <c r="J49" s="26"/>
      <c r="K49" s="26"/>
      <c r="L49" s="26"/>
      <c r="M49" s="26"/>
      <c r="N49" s="26"/>
      <c r="O49" s="28"/>
    </row>
    <row r="50" spans="2:15" s="22" customFormat="1" x14ac:dyDescent="0.2">
      <c r="B50" s="34" t="s">
        <v>214</v>
      </c>
      <c r="C50" s="26"/>
      <c r="D50" s="26"/>
      <c r="E50" s="26"/>
      <c r="F50" s="26"/>
      <c r="G50" s="26"/>
      <c r="H50" s="26"/>
      <c r="I50" s="26"/>
      <c r="J50" s="26"/>
      <c r="K50" s="26"/>
      <c r="L50" s="26"/>
      <c r="M50" s="26"/>
      <c r="N50" s="26"/>
      <c r="O50" s="28"/>
    </row>
    <row r="51" spans="2:15" s="22" customFormat="1" x14ac:dyDescent="0.2">
      <c r="B51" s="34" t="s">
        <v>215</v>
      </c>
      <c r="C51" s="26"/>
      <c r="D51" s="26"/>
      <c r="E51" s="26"/>
      <c r="F51" s="26"/>
      <c r="G51" s="26"/>
      <c r="H51" s="26"/>
      <c r="I51" s="26"/>
      <c r="J51" s="26"/>
      <c r="K51" s="26"/>
      <c r="L51" s="26"/>
      <c r="M51" s="26"/>
      <c r="N51" s="26"/>
      <c r="O51" s="28"/>
    </row>
    <row r="52" spans="2:15" s="22" customFormat="1" x14ac:dyDescent="0.2">
      <c r="B52" s="34" t="s">
        <v>216</v>
      </c>
      <c r="C52" s="26"/>
      <c r="D52" s="26"/>
      <c r="E52" s="26"/>
      <c r="F52" s="26"/>
      <c r="G52" s="26"/>
      <c r="H52" s="26"/>
      <c r="I52" s="26"/>
      <c r="J52" s="26"/>
      <c r="K52" s="26"/>
      <c r="L52" s="26"/>
      <c r="M52" s="26"/>
      <c r="N52" s="26"/>
      <c r="O52" s="28"/>
    </row>
    <row r="53" spans="2:15" s="22" customFormat="1" x14ac:dyDescent="0.2">
      <c r="B53" s="34" t="s">
        <v>217</v>
      </c>
      <c r="C53" s="26"/>
      <c r="D53" s="26"/>
      <c r="E53" s="26"/>
      <c r="F53" s="26"/>
      <c r="G53" s="26"/>
      <c r="H53" s="26"/>
      <c r="I53" s="26"/>
      <c r="J53" s="26"/>
      <c r="K53" s="26"/>
      <c r="L53" s="26"/>
      <c r="M53" s="26"/>
      <c r="N53" s="26"/>
      <c r="O53" s="28"/>
    </row>
    <row r="54" spans="2:15" s="22" customFormat="1" x14ac:dyDescent="0.2">
      <c r="B54" s="28"/>
      <c r="C54" s="26"/>
      <c r="D54" s="26"/>
      <c r="E54" s="26"/>
      <c r="F54" s="26"/>
      <c r="G54" s="26"/>
      <c r="H54" s="26"/>
      <c r="I54" s="26"/>
      <c r="J54" s="26"/>
      <c r="K54" s="26"/>
      <c r="L54" s="26"/>
      <c r="M54" s="26"/>
      <c r="N54" s="26"/>
      <c r="O54" s="28"/>
    </row>
    <row r="55" spans="2:15" x14ac:dyDescent="0.2">
      <c r="B55" s="29"/>
      <c r="C55" s="26"/>
      <c r="D55" s="26"/>
      <c r="E55" s="26"/>
      <c r="F55" s="26"/>
      <c r="G55" s="26"/>
      <c r="H55" s="26"/>
      <c r="I55" s="26"/>
      <c r="J55" s="26"/>
      <c r="K55" s="26"/>
      <c r="L55" s="26"/>
      <c r="M55" s="26"/>
      <c r="N55" s="26"/>
      <c r="O55" s="29"/>
    </row>
    <row r="56" spans="2:15" x14ac:dyDescent="0.2">
      <c r="B56" s="29"/>
      <c r="C56" s="26"/>
      <c r="D56" s="26"/>
      <c r="E56" s="26"/>
      <c r="F56" s="26"/>
      <c r="G56" s="26"/>
      <c r="H56" s="26"/>
      <c r="I56" s="26"/>
      <c r="J56" s="26"/>
      <c r="K56" s="26"/>
      <c r="L56" s="26"/>
      <c r="M56" s="26"/>
      <c r="N56" s="26"/>
      <c r="O56" s="29"/>
    </row>
    <row r="57" spans="2:15" x14ac:dyDescent="0.2">
      <c r="B57" s="29"/>
      <c r="C57" s="26"/>
      <c r="D57" s="26"/>
      <c r="E57" s="26"/>
      <c r="F57" s="26"/>
      <c r="G57" s="26"/>
      <c r="H57" s="26"/>
      <c r="I57" s="26"/>
      <c r="J57" s="26"/>
      <c r="K57" s="26"/>
      <c r="L57" s="26"/>
      <c r="M57" s="26"/>
      <c r="N57" s="26"/>
      <c r="O57" s="29"/>
    </row>
  </sheetData>
  <mergeCells count="16">
    <mergeCell ref="L5:M5"/>
    <mergeCell ref="B2:B5"/>
    <mergeCell ref="C41:O41"/>
    <mergeCell ref="C2:O2"/>
    <mergeCell ref="C3:E3"/>
    <mergeCell ref="F3:H3"/>
    <mergeCell ref="I3:K3"/>
    <mergeCell ref="L3:N3"/>
    <mergeCell ref="O3:O5"/>
    <mergeCell ref="C4:D4"/>
    <mergeCell ref="F4:G4"/>
    <mergeCell ref="I4:J4"/>
    <mergeCell ref="L4:M4"/>
    <mergeCell ref="C5:D5"/>
    <mergeCell ref="F5:G5"/>
    <mergeCell ref="I5:J5"/>
  </mergeCells>
  <conditionalFormatting sqref="D7:D38 G7:G38 J7:J38 M7:M38 O7:O38">
    <cfRule type="cellIs" dxfId="7" priority="6" operator="between">
      <formula>0</formula>
      <formula>0.4</formula>
    </cfRule>
  </conditionalFormatting>
  <conditionalFormatting sqref="D7:D40 G7:G40 J7:J40 M7:M40 O7:O40">
    <cfRule type="cellIs" dxfId="6" priority="7" operator="between">
      <formula>0.41</formula>
      <formula>0.79</formula>
    </cfRule>
  </conditionalFormatting>
  <conditionalFormatting sqref="O7:O40 D7:D40 G7:G40 J7:J40 M7:M40">
    <cfRule type="cellIs" dxfId="5" priority="5" operator="between">
      <formula>0.8</formula>
      <formula>1</formula>
    </cfRule>
  </conditionalFormatting>
  <conditionalFormatting sqref="O39">
    <cfRule type="cellIs" dxfId="4" priority="1" operator="between">
      <formula>0</formula>
      <formula>0.4</formula>
    </cfRule>
  </conditionalFormatting>
  <pageMargins left="0.25" right="0.25" top="0.75" bottom="0.75" header="0.3" footer="0.3"/>
  <pageSetup paperSize="9"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0C495-CDEB-4359-AE0B-FA64D72B1AB4}">
  <dimension ref="A1:O34"/>
  <sheetViews>
    <sheetView zoomScale="70" zoomScaleNormal="70" workbookViewId="0">
      <selection activeCell="A33" sqref="A33"/>
    </sheetView>
  </sheetViews>
  <sheetFormatPr defaultColWidth="8.7109375" defaultRowHeight="12.75" x14ac:dyDescent="0.2"/>
  <cols>
    <col min="1" max="1" width="31.7109375" style="19" customWidth="1"/>
    <col min="2" max="2" width="23.140625" style="21" bestFit="1" customWidth="1"/>
    <col min="3" max="4" width="15.7109375" style="21" customWidth="1"/>
    <col min="5" max="5" width="26.42578125" style="21" bestFit="1" customWidth="1"/>
    <col min="6" max="7" width="16.7109375" style="21" customWidth="1"/>
    <col min="8" max="8" width="21.7109375" style="21" customWidth="1"/>
    <col min="9" max="9" width="16.5703125" style="21" customWidth="1"/>
    <col min="10" max="10" width="18.85546875" style="21" customWidth="1"/>
    <col min="11" max="11" width="19.7109375" style="21" customWidth="1"/>
    <col min="12" max="13" width="17.5703125" style="21" customWidth="1"/>
    <col min="14" max="14" width="19.7109375" style="19" customWidth="1"/>
    <col min="15" max="15" width="5.7109375" style="19" customWidth="1"/>
    <col min="16" max="16384" width="8.7109375" style="19"/>
  </cols>
  <sheetData>
    <row r="1" spans="1:15" s="22" customFormat="1" ht="49.5" customHeight="1" x14ac:dyDescent="0.2">
      <c r="A1" s="85" t="s">
        <v>245</v>
      </c>
      <c r="B1" s="65" t="s">
        <v>238</v>
      </c>
      <c r="C1" s="66" t="s">
        <v>237</v>
      </c>
      <c r="D1" s="84" t="s">
        <v>246</v>
      </c>
      <c r="E1" s="65" t="s">
        <v>239</v>
      </c>
      <c r="F1" s="66" t="s">
        <v>240</v>
      </c>
      <c r="G1" s="84" t="s">
        <v>247</v>
      </c>
      <c r="H1" s="65" t="s">
        <v>241</v>
      </c>
      <c r="I1" s="66" t="s">
        <v>242</v>
      </c>
      <c r="J1" s="84" t="s">
        <v>248</v>
      </c>
      <c r="K1" s="65" t="s">
        <v>243</v>
      </c>
      <c r="L1" s="66" t="s">
        <v>244</v>
      </c>
      <c r="M1" s="80" t="s">
        <v>249</v>
      </c>
      <c r="N1" s="46" t="s">
        <v>134</v>
      </c>
    </row>
    <row r="2" spans="1:15" s="22" customFormat="1" ht="331.5" x14ac:dyDescent="0.2">
      <c r="A2" s="86" t="s">
        <v>110</v>
      </c>
      <c r="B2" s="69">
        <f>'Performance Unidades 2023'!C7</f>
        <v>9</v>
      </c>
      <c r="C2" s="36">
        <f>'Performance Unidades 2023'!D7</f>
        <v>0.6428571428571429</v>
      </c>
      <c r="D2" s="27" t="str">
        <f>'Performance Unidades 2023'!E7</f>
        <v xml:space="preserve">Infiltrações em teto, fechaduras de portas e banheiro quebradas; baixa segurança predial com furto recente de 10 CPUs. Encontradas lâmpadas queimadas, geladeira de vacinas e medicamentos aguardando conserto há aproximadamente 1 ano.Sem ar condicionado e com incidência de raios solares em consultório odontológico. Rede de gases não funcionante.
</v>
      </c>
      <c r="E2" s="69">
        <f>'Performance Unidades 2023'!F7</f>
        <v>6</v>
      </c>
      <c r="F2" s="36">
        <f>'Performance Unidades 2023'!G7</f>
        <v>0.75</v>
      </c>
      <c r="G2" s="27" t="str">
        <f>'Performance Unidades 2023'!H7</f>
        <v>Indicadores de gestão não disponíveis. Falta de integração com Núcleo de Especialidades e serviços de Urgência. Bom controle de agendas com baixo absenteísmo. Territorialização adequada e divulgada.</v>
      </c>
      <c r="H2" s="69">
        <f>'Performance Unidades 2023'!I7</f>
        <v>1</v>
      </c>
      <c r="I2" s="36">
        <f>'Performance Unidades 2023'!J7</f>
        <v>0.5</v>
      </c>
      <c r="J2" s="27" t="str">
        <f>'Performance Unidades 2023'!K7</f>
        <v>Plano Municipal com execução em andamento, mas não completa em itens ligados à estrutura e integração entre serviços.</v>
      </c>
      <c r="K2" s="69">
        <f>'Performance Unidades 2023'!L7</f>
        <v>4</v>
      </c>
      <c r="L2" s="36">
        <f>'Performance Unidades 2023'!M7</f>
        <v>1</v>
      </c>
      <c r="M2" s="27" t="str">
        <f>'Performance Unidades 2023'!N7</f>
        <v xml:space="preserve">Evidências de boa satisfação dos usuários. </v>
      </c>
      <c r="N2" s="36">
        <f>'Performance Unidades 2023'!O7</f>
        <v>0.7232142857142857</v>
      </c>
      <c r="O2" s="25"/>
    </row>
    <row r="3" spans="1:15" s="22" customFormat="1" ht="95.1" customHeight="1" x14ac:dyDescent="0.2">
      <c r="A3" s="86" t="s">
        <v>111</v>
      </c>
      <c r="B3" s="69">
        <f>'Performance Unidades 2023'!C8</f>
        <v>8</v>
      </c>
      <c r="C3" s="36">
        <f>'Performance Unidades 2023'!D8</f>
        <v>0.5714285714285714</v>
      </c>
      <c r="D3" s="27" t="str">
        <f>'Performance Unidades 2023'!E8</f>
        <v>Aparelho ECG sem funcionar (sem peras) e pacientes vão ao Jd. São Paulo; rede de gases não funciona há 1,5 ano, não possui desfibrilador. Há falta de vacinas.</v>
      </c>
      <c r="E3" s="69">
        <f>'Performance Unidades 2023'!F8</f>
        <v>5</v>
      </c>
      <c r="F3" s="36">
        <f>'Performance Unidades 2023'!G8</f>
        <v>0.625</v>
      </c>
      <c r="G3" s="27" t="str">
        <f>'Performance Unidades 2023'!H8</f>
        <v>Unidade com baixo absenteísmo. Não possui farmácia e transfere pacientes para medicamentos no Jd. São Paulo.</v>
      </c>
      <c r="H3" s="69">
        <f>'Performance Unidades 2023'!I8</f>
        <v>1</v>
      </c>
      <c r="I3" s="36">
        <f>'Performance Unidades 2023'!J8</f>
        <v>0.5</v>
      </c>
      <c r="J3" s="27" t="str">
        <f>'Performance Unidades 2023'!K8</f>
        <v>Alguns indicadores do Plano Municipals de Saúde não são conhecidos na Unidade</v>
      </c>
      <c r="K3" s="69">
        <f>'Performance Unidades 2023'!L8</f>
        <v>3</v>
      </c>
      <c r="L3" s="36">
        <f>'Performance Unidades 2023'!M8</f>
        <v>0.75</v>
      </c>
      <c r="M3" s="27" t="str">
        <f>'Performance Unidades 2023'!N8</f>
        <v>População que estava no local durante a visita mostra satisfação com atendimento</v>
      </c>
      <c r="N3" s="36">
        <f>'Performance Unidades 2023'!O8</f>
        <v>0.61160714285714279</v>
      </c>
      <c r="O3" s="25"/>
    </row>
    <row r="4" spans="1:15" s="22" customFormat="1" ht="81" customHeight="1" x14ac:dyDescent="0.2">
      <c r="A4" s="87" t="s">
        <v>112</v>
      </c>
      <c r="B4" s="69" t="e">
        <f>'Performance Unidades 2023'!C9</f>
        <v>#REF!</v>
      </c>
      <c r="C4" s="36" t="e">
        <f>'Performance Unidades 2023'!D9</f>
        <v>#REF!</v>
      </c>
      <c r="D4" s="27" t="str">
        <f>'Performance Unidades 2023'!E9</f>
        <v xml:space="preserve">Prédio em bom estado e com pedidos para aumento de segurança. Goteiras no consultório odontológico e recepção quando chove. </v>
      </c>
      <c r="E4" s="69" t="e">
        <f>'Performance Unidades 2023'!F9</f>
        <v>#REF!</v>
      </c>
      <c r="F4" s="36" t="e">
        <f>'Performance Unidades 2023'!G9</f>
        <v>#REF!</v>
      </c>
      <c r="G4" s="27" t="str">
        <f>'Performance Unidades 2023'!H9</f>
        <v xml:space="preserve">Equipe bastante integrada, gentil  e atenta. Sem evidência de utilização de indicadores de gestão e de cronogramas de treinamento.  </v>
      </c>
      <c r="H4" s="69" t="e">
        <f>'Performance Unidades 2023'!I9</f>
        <v>#REF!</v>
      </c>
      <c r="I4" s="36" t="e">
        <f>'Performance Unidades 2023'!J9</f>
        <v>#REF!</v>
      </c>
      <c r="J4" s="27" t="str">
        <f>'Performance Unidades 2023'!K9</f>
        <v>Plano em andamento</v>
      </c>
      <c r="K4" s="69" t="e">
        <f>'Performance Unidades 2023'!L9</f>
        <v>#REF!</v>
      </c>
      <c r="L4" s="36" t="e">
        <f>'Performance Unidades 2023'!M9</f>
        <v>#REF!</v>
      </c>
      <c r="M4" s="27" t="str">
        <f>'Performance Unidades 2023'!N9</f>
        <v xml:space="preserve">Usuários satisfeitos </v>
      </c>
      <c r="N4" s="36" t="e">
        <f>'Performance Unidades 2023'!O9</f>
        <v>#REF!</v>
      </c>
      <c r="O4" s="25"/>
    </row>
    <row r="5" spans="1:15" s="22" customFormat="1" ht="164.65" customHeight="1" x14ac:dyDescent="0.2">
      <c r="A5" s="86" t="s">
        <v>108</v>
      </c>
      <c r="B5" s="69">
        <f>'Performance Unidades 2023'!C10</f>
        <v>12</v>
      </c>
      <c r="C5" s="36">
        <f>'Performance Unidades 2023'!D10</f>
        <v>0.8571428571428571</v>
      </c>
      <c r="D5" s="27" t="str">
        <f>'Performance Unidades 2023'!E10</f>
        <v xml:space="preserve">Predio inaugurado em 12/2022, mas já com goteiras e ar condicionado fora de funcionamento. </v>
      </c>
      <c r="E5" s="69">
        <f>'Performance Unidades 2023'!F10</f>
        <v>4</v>
      </c>
      <c r="F5" s="36">
        <f>'Performance Unidades 2023'!G10</f>
        <v>0.5</v>
      </c>
      <c r="G5" s="27" t="str">
        <f>'Performance Unidades 2023'!H10</f>
        <v xml:space="preserve">Unidade é UBS e ESF, mas equipe de saúde da Família não tem médico. Gerente da Unidade presente apenas às 5as.-feiras. Ginecologista apenas 1 período na semana. Equipe conhece o território e faz visitas aos usuários apesar de apenas 1 agente disponível no momento. </v>
      </c>
      <c r="H5" s="69">
        <f>'Performance Unidades 2023'!I10</f>
        <v>1</v>
      </c>
      <c r="I5" s="36">
        <f>'Performance Unidades 2023'!J10</f>
        <v>0.5</v>
      </c>
      <c r="J5" s="27" t="str">
        <f>'Performance Unidades 2023'!K10</f>
        <v xml:space="preserve">Não foi possível evidenciar o cumprimento dos indicadores do Plano Municipal de Saúde pela ausência da gerente. Há evidência de pouca integração entre serviços. </v>
      </c>
      <c r="K5" s="69">
        <f>'Performance Unidades 2023'!L10</f>
        <v>4</v>
      </c>
      <c r="L5" s="36">
        <f>'Performance Unidades 2023'!M10</f>
        <v>1</v>
      </c>
      <c r="M5" s="27" t="str">
        <f>'Performance Unidades 2023'!N10</f>
        <v>Usuários entrevistados mostraram-se satisfeitos com o  estabelecimento.</v>
      </c>
      <c r="N5" s="36">
        <f>'Performance Unidades 2023'!O10</f>
        <v>0.7142857142857143</v>
      </c>
      <c r="O5" s="25"/>
    </row>
    <row r="6" spans="1:15" s="22" customFormat="1" ht="66" customHeight="1" x14ac:dyDescent="0.2">
      <c r="A6" s="86" t="s">
        <v>109</v>
      </c>
      <c r="B6" s="69">
        <f>'Performance Unidades 2023'!C11</f>
        <v>13</v>
      </c>
      <c r="C6" s="36">
        <f>'Performance Unidades 2023'!D11</f>
        <v>0.9285714285714286</v>
      </c>
      <c r="D6" s="27" t="str">
        <f>'Performance Unidades 2023'!E11</f>
        <v xml:space="preserve">Unidade reformada há 8 meses e apresentando todas as paredes com infiltrações. Equipamentos e conforto ok. </v>
      </c>
      <c r="E6" s="69">
        <f>'Performance Unidades 2023'!F11</f>
        <v>5</v>
      </c>
      <c r="F6" s="36">
        <f>'Performance Unidades 2023'!G11</f>
        <v>0.625</v>
      </c>
      <c r="G6" s="27" t="str">
        <f>'Performance Unidades 2023'!H11</f>
        <v xml:space="preserve">Não evidenciada utilização de indicadores de gestão. Ainda sem treinamento do e-SUS para alguns funcionários. </v>
      </c>
      <c r="H6" s="69">
        <f>'Performance Unidades 2023'!I11</f>
        <v>1</v>
      </c>
      <c r="I6" s="36">
        <f>'Performance Unidades 2023'!J11</f>
        <v>0.5</v>
      </c>
      <c r="J6" s="27" t="str">
        <f>'Performance Unidades 2023'!K11</f>
        <v>Em andamento adequado</v>
      </c>
      <c r="K6" s="69">
        <f>'Performance Unidades 2023'!L11</f>
        <v>4</v>
      </c>
      <c r="L6" s="36">
        <f>'Performance Unidades 2023'!M11</f>
        <v>1</v>
      </c>
      <c r="M6" s="27" t="str">
        <f>'Performance Unidades 2023'!N11</f>
        <v xml:space="preserve">Não evidenciadas insatisfações. </v>
      </c>
      <c r="N6" s="36">
        <f>'Performance Unidades 2023'!O11</f>
        <v>0.76339285714285721</v>
      </c>
      <c r="O6" s="25"/>
    </row>
    <row r="7" spans="1:15" s="22" customFormat="1" ht="102" x14ac:dyDescent="0.2">
      <c r="A7" s="86" t="s">
        <v>255</v>
      </c>
      <c r="B7" s="69">
        <f>'Performance Unidades 2023'!C12</f>
        <v>6</v>
      </c>
      <c r="C7" s="36">
        <f>'Performance Unidades 2023'!D12</f>
        <v>0.42857142857142855</v>
      </c>
      <c r="D7" s="27" t="str">
        <f>'Performance Unidades 2023'!E12</f>
        <v xml:space="preserve">Infiltrações, mofo e cahas ruins. Problemas com entregas de alguns isnumos como hipoclorito. 
</v>
      </c>
      <c r="E7" s="69">
        <f>'Performance Unidades 2023'!F12</f>
        <v>2</v>
      </c>
      <c r="F7" s="36">
        <f>'Performance Unidades 2023'!G12</f>
        <v>0.25</v>
      </c>
      <c r="G7" s="27" t="str">
        <f>'Performance Unidades 2023'!H12</f>
        <v>Equipe necessitando de recepcionistas e técnico de enfermagem. Alto absenteísmo ainda sem entendimento e ações da equipe.</v>
      </c>
      <c r="H7" s="69">
        <f>'Performance Unidades 2023'!I12</f>
        <v>1</v>
      </c>
      <c r="I7" s="36">
        <f>'Performance Unidades 2023'!J12</f>
        <v>0.5</v>
      </c>
      <c r="J7" s="27" t="str">
        <f>'Performance Unidades 2023'!K12</f>
        <v>Indicadores do Plano Municipal em andamento durante o ano</v>
      </c>
      <c r="K7" s="69">
        <f>'Performance Unidades 2023'!L12</f>
        <v>1</v>
      </c>
      <c r="L7" s="36">
        <f>'Performance Unidades 2023'!M12</f>
        <v>0.25</v>
      </c>
      <c r="M7" s="27" t="str">
        <f>'Performance Unidades 2023'!N12</f>
        <v xml:space="preserve">População reclama de falta de funcionários, demora em exames e especialistas </v>
      </c>
      <c r="N7" s="36">
        <f>'Performance Unidades 2023'!O12</f>
        <v>0.35714285714285715</v>
      </c>
      <c r="O7" s="25"/>
    </row>
    <row r="8" spans="1:15" s="22" customFormat="1" ht="27" customHeight="1" x14ac:dyDescent="0.2">
      <c r="A8" s="86" t="s">
        <v>114</v>
      </c>
      <c r="B8" s="69">
        <f>'Performance Unidades 2023'!C13</f>
        <v>0</v>
      </c>
      <c r="C8" s="36">
        <f>'Performance Unidades 2023'!D13</f>
        <v>0</v>
      </c>
      <c r="D8" s="27" t="str">
        <f>'Performance Unidades 2023'!E13</f>
        <v>-</v>
      </c>
      <c r="E8" s="69">
        <f>'Performance Unidades 2023'!F13</f>
        <v>0</v>
      </c>
      <c r="F8" s="36">
        <f>'Performance Unidades 2023'!G13</f>
        <v>0</v>
      </c>
      <c r="G8" s="27" t="str">
        <f>'Performance Unidades 2023'!H13</f>
        <v>-</v>
      </c>
      <c r="H8" s="69">
        <f>'Performance Unidades 2023'!I13</f>
        <v>0</v>
      </c>
      <c r="I8" s="36">
        <f>'Performance Unidades 2023'!J13</f>
        <v>0</v>
      </c>
      <c r="J8" s="27" t="str">
        <f>'Performance Unidades 2023'!K13</f>
        <v>-</v>
      </c>
      <c r="K8" s="69">
        <f>'Performance Unidades 2023'!L13</f>
        <v>0</v>
      </c>
      <c r="L8" s="36">
        <f>'Performance Unidades 2023'!M13</f>
        <v>0</v>
      </c>
      <c r="M8" s="27" t="str">
        <f>'Performance Unidades 2023'!N13</f>
        <v>-</v>
      </c>
      <c r="N8" s="36">
        <f>'Performance Unidades 2023'!O13</f>
        <v>0</v>
      </c>
      <c r="O8" s="25"/>
    </row>
    <row r="9" spans="1:15" s="22" customFormat="1" ht="31.15" customHeight="1" x14ac:dyDescent="0.2">
      <c r="A9" s="86" t="s">
        <v>115</v>
      </c>
      <c r="B9" s="69">
        <f>'Performance Unidades 2023'!C14</f>
        <v>0</v>
      </c>
      <c r="C9" s="36">
        <f>'Performance Unidades 2023'!D14</f>
        <v>0</v>
      </c>
      <c r="D9" s="27" t="str">
        <f>'Performance Unidades 2023'!E14</f>
        <v>-</v>
      </c>
      <c r="E9" s="69">
        <f>'Performance Unidades 2023'!F14</f>
        <v>0</v>
      </c>
      <c r="F9" s="36">
        <f>'Performance Unidades 2023'!G14</f>
        <v>0</v>
      </c>
      <c r="G9" s="27" t="str">
        <f>'Performance Unidades 2023'!H14</f>
        <v>-</v>
      </c>
      <c r="H9" s="69">
        <f>'Performance Unidades 2023'!I14</f>
        <v>0</v>
      </c>
      <c r="I9" s="36">
        <f>'Performance Unidades 2023'!J14</f>
        <v>0</v>
      </c>
      <c r="J9" s="27" t="str">
        <f>'Performance Unidades 2023'!K14</f>
        <v>-</v>
      </c>
      <c r="K9" s="69">
        <f>'Performance Unidades 2023'!L14</f>
        <v>0</v>
      </c>
      <c r="L9" s="36">
        <f>'Performance Unidades 2023'!M14</f>
        <v>0</v>
      </c>
      <c r="M9" s="27" t="str">
        <f>'Performance Unidades 2023'!N14</f>
        <v>-</v>
      </c>
      <c r="N9" s="36">
        <f>'Performance Unidades 2023'!O14</f>
        <v>0</v>
      </c>
      <c r="O9" s="25"/>
    </row>
    <row r="10" spans="1:15" s="22" customFormat="1" ht="94.5" customHeight="1" x14ac:dyDescent="0.2">
      <c r="A10" s="86" t="s">
        <v>116</v>
      </c>
      <c r="B10" s="69">
        <f>'Performance Unidades 2023'!C15</f>
        <v>9</v>
      </c>
      <c r="C10" s="36">
        <f>'Performance Unidades 2023'!D15</f>
        <v>0.6428571428571429</v>
      </c>
      <c r="D10" s="27" t="str">
        <f>'Performance Unidades 2023'!E15</f>
        <v xml:space="preserve">Paredes, pinturas e estrutura já antigas e necessitando reforma. Com promessa de início em breve e transferência de pacientes para UBS Nações. </v>
      </c>
      <c r="E10" s="69">
        <f>'Performance Unidades 2023'!F15</f>
        <v>4</v>
      </c>
      <c r="F10" s="36">
        <f>'Performance Unidades 2023'!G15</f>
        <v>0.5</v>
      </c>
      <c r="G10" s="27" t="str">
        <f>'Performance Unidades 2023'!H15</f>
        <v xml:space="preserve">Com falta de recepcionista. Cronograma de treinamentos e utilização de indicadores de gestão não evidenciados. </v>
      </c>
      <c r="H10" s="69">
        <f>'Performance Unidades 2023'!I15</f>
        <v>1</v>
      </c>
      <c r="I10" s="36">
        <f>'Performance Unidades 2023'!J15</f>
        <v>0.5</v>
      </c>
      <c r="J10" s="27" t="str">
        <f>'Performance Unidades 2023'!K15</f>
        <v>Em andamento adequado</v>
      </c>
      <c r="K10" s="69">
        <f>'Performance Unidades 2023'!L15</f>
        <v>4</v>
      </c>
      <c r="L10" s="36">
        <f>'Performance Unidades 2023'!M15</f>
        <v>1</v>
      </c>
      <c r="M10" s="27" t="str">
        <f>'Performance Unidades 2023'!N15</f>
        <v>Sem evidências de insatisfação.</v>
      </c>
      <c r="N10" s="36">
        <f>'Performance Unidades 2023'!O15</f>
        <v>0.6607142857142857</v>
      </c>
      <c r="O10" s="25"/>
    </row>
    <row r="11" spans="1:15" s="22" customFormat="1" ht="30" customHeight="1" x14ac:dyDescent="0.2">
      <c r="A11" s="86" t="s">
        <v>117</v>
      </c>
      <c r="B11" s="69">
        <f>'Performance Unidades 2023'!C16</f>
        <v>0</v>
      </c>
      <c r="C11" s="36">
        <f>'Performance Unidades 2023'!D16</f>
        <v>0</v>
      </c>
      <c r="D11" s="27" t="str">
        <f>'Performance Unidades 2023'!E16</f>
        <v>-</v>
      </c>
      <c r="E11" s="69">
        <f>'Performance Unidades 2023'!F16</f>
        <v>0</v>
      </c>
      <c r="F11" s="36">
        <f>'Performance Unidades 2023'!G16</f>
        <v>0</v>
      </c>
      <c r="G11" s="27" t="str">
        <f>'Performance Unidades 2023'!H16</f>
        <v>-</v>
      </c>
      <c r="H11" s="69">
        <f>'Performance Unidades 2023'!I16</f>
        <v>0</v>
      </c>
      <c r="I11" s="36">
        <f>'Performance Unidades 2023'!J16</f>
        <v>0</v>
      </c>
      <c r="J11" s="27">
        <f>'Performance Unidades 2023'!K16</f>
        <v>0</v>
      </c>
      <c r="K11" s="69">
        <f>'Performance Unidades 2023'!L16</f>
        <v>0</v>
      </c>
      <c r="L11" s="36">
        <f>'Performance Unidades 2023'!M16</f>
        <v>0</v>
      </c>
      <c r="M11" s="27" t="str">
        <f>'Performance Unidades 2023'!N16</f>
        <v>-</v>
      </c>
      <c r="N11" s="36">
        <f>'Performance Unidades 2023'!O16</f>
        <v>0</v>
      </c>
      <c r="O11" s="25"/>
    </row>
    <row r="12" spans="1:15" s="22" customFormat="1" ht="78" customHeight="1" x14ac:dyDescent="0.2">
      <c r="A12" s="86" t="s">
        <v>253</v>
      </c>
      <c r="B12" s="69">
        <f>'Performance Unidades 2023'!C17</f>
        <v>14</v>
      </c>
      <c r="C12" s="36">
        <f>'Performance Unidades 2023'!D17</f>
        <v>1</v>
      </c>
      <c r="D12" s="27" t="str">
        <f>'Performance Unidades 2023'!E17</f>
        <v xml:space="preserve">Unidade recém reformada e entregue em dezembro/2023
</v>
      </c>
      <c r="E12" s="69" t="str">
        <f>'Performance Unidades 2023'!F17</f>
        <v>-</v>
      </c>
      <c r="F12" s="36">
        <f>'Performance Unidades 2023'!G17</f>
        <v>0</v>
      </c>
      <c r="G12" s="27" t="str">
        <f>'Performance Unidades 2023'!H17</f>
        <v>Não avaliada neste ano</v>
      </c>
      <c r="H12" s="69" t="str">
        <f>'Performance Unidades 2023'!I17</f>
        <v>-</v>
      </c>
      <c r="I12" s="36">
        <f>'Performance Unidades 2023'!J17</f>
        <v>0</v>
      </c>
      <c r="J12" s="27" t="str">
        <f>'Performance Unidades 2023'!K17</f>
        <v>Não avaliada neste ano</v>
      </c>
      <c r="K12" s="69" t="str">
        <f>'Performance Unidades 2023'!L17</f>
        <v>-</v>
      </c>
      <c r="L12" s="36">
        <f>'Performance Unidades 2023'!M17</f>
        <v>0</v>
      </c>
      <c r="M12" s="27" t="str">
        <f>'Performance Unidades 2023'!N17</f>
        <v>Não avaliada neste ano</v>
      </c>
      <c r="N12" s="36">
        <f>'Performance Unidades 2023'!O17</f>
        <v>0</v>
      </c>
      <c r="O12" s="25"/>
    </row>
    <row r="13" spans="1:15" s="22" customFormat="1" ht="67.150000000000006" customHeight="1" x14ac:dyDescent="0.2">
      <c r="A13" s="86" t="s">
        <v>258</v>
      </c>
      <c r="B13" s="69">
        <f>'Performance Unidades 2023'!C18</f>
        <v>12</v>
      </c>
      <c r="C13" s="36">
        <f>'Performance Unidades 2023'!D18</f>
        <v>0.8571428571428571</v>
      </c>
      <c r="D13" s="27" t="str">
        <f>'Performance Unidades 2023'!E18</f>
        <v>Resolver infiltrações telhado e paredes encharcadas</v>
      </c>
      <c r="E13" s="69">
        <f>'Performance Unidades 2023'!F18</f>
        <v>7</v>
      </c>
      <c r="F13" s="36">
        <f>'Performance Unidades 2023'!G18</f>
        <v>0.875</v>
      </c>
      <c r="G13" s="27" t="str">
        <f>'Performance Unidades 2023'!H18</f>
        <v>Excelente Trinamento de toda equipe e condições de cobertura das funções;</v>
      </c>
      <c r="H13" s="69">
        <f>'Performance Unidades 2023'!I18</f>
        <v>1</v>
      </c>
      <c r="I13" s="36">
        <f>'Performance Unidades 2023'!J18</f>
        <v>0.5</v>
      </c>
      <c r="J13" s="27" t="str">
        <f>'Performance Unidades 2023'!K18</f>
        <v>Plano Municipal em execução, mas ainda com falahas em treinamentos e integração.</v>
      </c>
      <c r="K13" s="69">
        <f>'Performance Unidades 2023'!L18</f>
        <v>4</v>
      </c>
      <c r="L13" s="36">
        <f>'Performance Unidades 2023'!M18</f>
        <v>1</v>
      </c>
      <c r="M13" s="27" t="str">
        <f>'Performance Unidades 2023'!N18</f>
        <v>Excelente percepção da qualidade dos serviços pelos usuários</v>
      </c>
      <c r="N13" s="36">
        <f>'Performance Unidades 2023'!O18</f>
        <v>0.8080357142857143</v>
      </c>
      <c r="O13" s="25"/>
    </row>
    <row r="14" spans="1:15" s="22" customFormat="1" ht="96.6" customHeight="1" x14ac:dyDescent="0.2">
      <c r="A14" s="86" t="s">
        <v>96</v>
      </c>
      <c r="B14" s="69">
        <f>'Performance Unidades 2023'!C19</f>
        <v>4</v>
      </c>
      <c r="C14" s="36">
        <f>'Performance Unidades 2023'!D19</f>
        <v>0</v>
      </c>
      <c r="D14" s="27" t="str">
        <f>'Performance Unidades 2023'!E19</f>
        <v>Relatório de visita incompleto. Foi evidenciado cilindro de ar comprimido quebrado há 5 anos e necessidade de pia com bancada na sala de vacina. Unidade limpa e organizada.</v>
      </c>
      <c r="E14" s="69">
        <f>'Performance Unidades 2023'!F19</f>
        <v>1</v>
      </c>
      <c r="F14" s="36">
        <f>'Performance Unidades 2023'!G19</f>
        <v>0</v>
      </c>
      <c r="G14" s="27" t="str">
        <f>'Performance Unidades 2023'!H19</f>
        <v xml:space="preserve">Farmácia sem cobertura de férias e fechada no mês da visita. </v>
      </c>
      <c r="H14" s="69" t="str">
        <f>'Performance Unidades 2023'!I19</f>
        <v>-</v>
      </c>
      <c r="I14" s="36">
        <f>'Performance Unidades 2023'!J19</f>
        <v>0</v>
      </c>
      <c r="J14" s="27" t="str">
        <f>'Performance Unidades 2023'!K19</f>
        <v>-</v>
      </c>
      <c r="K14" s="69" t="str">
        <f>'Performance Unidades 2023'!L19</f>
        <v>-</v>
      </c>
      <c r="L14" s="36">
        <f>'Performance Unidades 2023'!M19</f>
        <v>0</v>
      </c>
      <c r="M14" s="27" t="str">
        <f>'Performance Unidades 2023'!N19</f>
        <v>-</v>
      </c>
      <c r="N14" s="36">
        <f>'Performance Unidades 2023'!O19</f>
        <v>0</v>
      </c>
      <c r="O14" s="25"/>
    </row>
    <row r="15" spans="1:15" s="22" customFormat="1" ht="21.6" customHeight="1" x14ac:dyDescent="0.2">
      <c r="A15" s="86" t="s">
        <v>97</v>
      </c>
      <c r="B15" s="69">
        <f>'Performance Unidades 2023'!C20</f>
        <v>0</v>
      </c>
      <c r="C15" s="36">
        <f>'Performance Unidades 2023'!D20</f>
        <v>0</v>
      </c>
      <c r="D15" s="27" t="str">
        <f>'Performance Unidades 2023'!E20</f>
        <v>-</v>
      </c>
      <c r="E15" s="69">
        <f>'Performance Unidades 2023'!F20</f>
        <v>0</v>
      </c>
      <c r="F15" s="36">
        <f>'Performance Unidades 2023'!G20</f>
        <v>0</v>
      </c>
      <c r="G15" s="27" t="str">
        <f>'Performance Unidades 2023'!H20</f>
        <v>-</v>
      </c>
      <c r="H15" s="69">
        <f>'Performance Unidades 2023'!I20</f>
        <v>0</v>
      </c>
      <c r="I15" s="36">
        <f>'Performance Unidades 2023'!J20</f>
        <v>0</v>
      </c>
      <c r="J15" s="27">
        <f>'Performance Unidades 2023'!K20</f>
        <v>0</v>
      </c>
      <c r="K15" s="69">
        <f>'Performance Unidades 2023'!L20</f>
        <v>0</v>
      </c>
      <c r="L15" s="36">
        <f>'Performance Unidades 2023'!M20</f>
        <v>0</v>
      </c>
      <c r="M15" s="27" t="str">
        <f>'Performance Unidades 2023'!N20</f>
        <v>-</v>
      </c>
      <c r="N15" s="36">
        <f>'Performance Unidades 2023'!O20</f>
        <v>0</v>
      </c>
      <c r="O15" s="25"/>
    </row>
    <row r="16" spans="1:15" s="22" customFormat="1" ht="27.6" customHeight="1" x14ac:dyDescent="0.2">
      <c r="A16" s="86" t="s">
        <v>98</v>
      </c>
      <c r="B16" s="69">
        <f>'Performance Unidades 2023'!C21</f>
        <v>0</v>
      </c>
      <c r="C16" s="36">
        <f>'Performance Unidades 2023'!D21</f>
        <v>0</v>
      </c>
      <c r="D16" s="27" t="str">
        <f>'Performance Unidades 2023'!E21</f>
        <v>-</v>
      </c>
      <c r="E16" s="69">
        <f>'Performance Unidades 2023'!F21</f>
        <v>0</v>
      </c>
      <c r="F16" s="36">
        <f>'Performance Unidades 2023'!G21</f>
        <v>0</v>
      </c>
      <c r="G16" s="27" t="str">
        <f>'Performance Unidades 2023'!H21</f>
        <v>-</v>
      </c>
      <c r="H16" s="69">
        <f>'Performance Unidades 2023'!I21</f>
        <v>0</v>
      </c>
      <c r="I16" s="36">
        <f>'Performance Unidades 2023'!J21</f>
        <v>0</v>
      </c>
      <c r="J16" s="27">
        <f>'Performance Unidades 2023'!K21</f>
        <v>0</v>
      </c>
      <c r="K16" s="69">
        <f>'Performance Unidades 2023'!L21</f>
        <v>0</v>
      </c>
      <c r="L16" s="36">
        <f>'Performance Unidades 2023'!M21</f>
        <v>0</v>
      </c>
      <c r="M16" s="27" t="str">
        <f>'Performance Unidades 2023'!N21</f>
        <v>-</v>
      </c>
      <c r="N16" s="36">
        <f>'Performance Unidades 2023'!O21</f>
        <v>0</v>
      </c>
      <c r="O16" s="25"/>
    </row>
    <row r="17" spans="1:15" s="22" customFormat="1" ht="28.5" customHeight="1" x14ac:dyDescent="0.2">
      <c r="A17" s="86" t="s">
        <v>99</v>
      </c>
      <c r="B17" s="69">
        <f>'Performance Unidades 2023'!C22</f>
        <v>0</v>
      </c>
      <c r="C17" s="36">
        <f>'Performance Unidades 2023'!D22</f>
        <v>0</v>
      </c>
      <c r="D17" s="27" t="str">
        <f>'Performance Unidades 2023'!E22</f>
        <v>-</v>
      </c>
      <c r="E17" s="69">
        <f>'Performance Unidades 2023'!F22</f>
        <v>0</v>
      </c>
      <c r="F17" s="36">
        <f>'Performance Unidades 2023'!G22</f>
        <v>0</v>
      </c>
      <c r="G17" s="27" t="str">
        <f>'Performance Unidades 2023'!H22</f>
        <v>-</v>
      </c>
      <c r="H17" s="69">
        <f>'Performance Unidades 2023'!I22</f>
        <v>0</v>
      </c>
      <c r="I17" s="36">
        <f>'Performance Unidades 2023'!J22</f>
        <v>0</v>
      </c>
      <c r="J17" s="27">
        <f>'Performance Unidades 2023'!K22</f>
        <v>0</v>
      </c>
      <c r="K17" s="69">
        <f>'Performance Unidades 2023'!L22</f>
        <v>0</v>
      </c>
      <c r="L17" s="36">
        <f>'Performance Unidades 2023'!M22</f>
        <v>0</v>
      </c>
      <c r="M17" s="27" t="str">
        <f>'Performance Unidades 2023'!N22</f>
        <v>-</v>
      </c>
      <c r="N17" s="36">
        <f>'Performance Unidades 2023'!O22</f>
        <v>0</v>
      </c>
      <c r="O17" s="25"/>
    </row>
    <row r="18" spans="1:15" s="22" customFormat="1" ht="97.15" customHeight="1" x14ac:dyDescent="0.2">
      <c r="A18" s="86" t="s">
        <v>100</v>
      </c>
      <c r="B18" s="69">
        <f>'Performance Unidades 2023'!C23</f>
        <v>9</v>
      </c>
      <c r="C18" s="36">
        <f>'Performance Unidades 2023'!D23</f>
        <v>0.6428571428571429</v>
      </c>
      <c r="D18" s="27" t="str">
        <f>'Performance Unidades 2023'!E23</f>
        <v>Goteiras; rede de o2 com vazamentos; sem reparos no compressor de vácuo; falta de internet em várias salas; ar condicionados faltantes em consultórios</v>
      </c>
      <c r="E18" s="69">
        <f>'Performance Unidades 2023'!F23</f>
        <v>3</v>
      </c>
      <c r="F18" s="36">
        <f>'Performance Unidades 2023'!G23</f>
        <v>0.375</v>
      </c>
      <c r="G18" s="27" t="str">
        <f>'Performance Unidades 2023'!H23</f>
        <v xml:space="preserve">Insuficiência numérica de agentes de saúde. Sem indicação de utilização de indicadores de gestão. Ausência de cronograma de treinamentos. </v>
      </c>
      <c r="H18" s="69">
        <f>'Performance Unidades 2023'!I23</f>
        <v>1</v>
      </c>
      <c r="I18" s="36">
        <f>'Performance Unidades 2023'!J23</f>
        <v>0.5</v>
      </c>
      <c r="J18" s="27" t="str">
        <f>'Performance Unidades 2023'!K23</f>
        <v>Em andamento</v>
      </c>
      <c r="K18" s="69">
        <f>'Performance Unidades 2023'!L23</f>
        <v>4</v>
      </c>
      <c r="L18" s="36">
        <f>'Performance Unidades 2023'!M23</f>
        <v>1</v>
      </c>
      <c r="M18" s="27" t="str">
        <f>'Performance Unidades 2023'!N23</f>
        <v>Não evidenciadas reclamações de usuários</v>
      </c>
      <c r="N18" s="36">
        <f>'Performance Unidades 2023'!O23</f>
        <v>0.6294642857142857</v>
      </c>
      <c r="O18" s="25"/>
    </row>
    <row r="19" spans="1:15" s="22" customFormat="1" ht="23.65" customHeight="1" x14ac:dyDescent="0.2">
      <c r="A19" s="86" t="s">
        <v>101</v>
      </c>
      <c r="B19" s="69">
        <f>'Performance Unidades 2023'!C24</f>
        <v>0</v>
      </c>
      <c r="C19" s="36">
        <f>'Performance Unidades 2023'!D24</f>
        <v>0</v>
      </c>
      <c r="D19" s="27" t="str">
        <f>'Performance Unidades 2023'!E24</f>
        <v>-</v>
      </c>
      <c r="E19" s="69">
        <f>'Performance Unidades 2023'!F24</f>
        <v>0</v>
      </c>
      <c r="F19" s="36">
        <f>'Performance Unidades 2023'!G24</f>
        <v>0</v>
      </c>
      <c r="G19" s="27" t="str">
        <f>'Performance Unidades 2023'!H24</f>
        <v>-</v>
      </c>
      <c r="H19" s="69">
        <f>'Performance Unidades 2023'!I24</f>
        <v>0</v>
      </c>
      <c r="I19" s="36">
        <f>'Performance Unidades 2023'!J24</f>
        <v>0</v>
      </c>
      <c r="J19" s="27">
        <f>'Performance Unidades 2023'!K24</f>
        <v>0</v>
      </c>
      <c r="K19" s="69">
        <f>'Performance Unidades 2023'!L24</f>
        <v>0</v>
      </c>
      <c r="L19" s="36">
        <f>'Performance Unidades 2023'!M24</f>
        <v>0</v>
      </c>
      <c r="M19" s="27" t="str">
        <f>'Performance Unidades 2023'!N24</f>
        <v>-</v>
      </c>
      <c r="N19" s="36">
        <f>'Performance Unidades 2023'!O24</f>
        <v>0</v>
      </c>
      <c r="O19" s="25"/>
    </row>
    <row r="20" spans="1:15" s="22" customFormat="1" ht="51" customHeight="1" x14ac:dyDescent="0.2">
      <c r="A20" s="86" t="s">
        <v>102</v>
      </c>
      <c r="B20" s="69">
        <f>'Performance Unidades 2023'!C25</f>
        <v>14</v>
      </c>
      <c r="C20" s="36">
        <f>'Performance Unidades 2023'!D25</f>
        <v>1</v>
      </c>
      <c r="D20" s="27" t="str">
        <f>'Performance Unidades 2023'!E25</f>
        <v>Unidade recém reformada e entregue em novembro/2023</v>
      </c>
      <c r="E20" s="69" t="str">
        <f>'Performance Unidades 2023'!F25</f>
        <v>-</v>
      </c>
      <c r="F20" s="36">
        <f>'Performance Unidades 2023'!G25</f>
        <v>0</v>
      </c>
      <c r="G20" s="27" t="str">
        <f>'Performance Unidades 2023'!H25</f>
        <v>Não avaliada neste ano</v>
      </c>
      <c r="H20" s="69" t="str">
        <f>'Performance Unidades 2023'!I25</f>
        <v>-</v>
      </c>
      <c r="I20" s="36">
        <f>'Performance Unidades 2023'!J25</f>
        <v>0</v>
      </c>
      <c r="J20" s="27" t="str">
        <f>'Performance Unidades 2023'!K25</f>
        <v>Não avaliada neste ano</v>
      </c>
      <c r="K20" s="69" t="str">
        <f>'Performance Unidades 2023'!L25</f>
        <v>-</v>
      </c>
      <c r="L20" s="36">
        <f>'Performance Unidades 2023'!M25</f>
        <v>0</v>
      </c>
      <c r="M20" s="27" t="str">
        <f>'Performance Unidades 2023'!N25</f>
        <v>Não avaliada neste ano</v>
      </c>
      <c r="N20" s="36">
        <f>'Performance Unidades 2023'!O25</f>
        <v>0</v>
      </c>
      <c r="O20" s="25"/>
    </row>
    <row r="21" spans="1:15" s="22" customFormat="1" ht="23.65" customHeight="1" x14ac:dyDescent="0.2">
      <c r="A21" s="86" t="s">
        <v>103</v>
      </c>
      <c r="B21" s="69">
        <f>'Performance Unidades 2023'!C26</f>
        <v>0</v>
      </c>
      <c r="C21" s="36">
        <f>'Performance Unidades 2023'!D26</f>
        <v>0</v>
      </c>
      <c r="D21" s="27" t="str">
        <f>'Performance Unidades 2023'!E26</f>
        <v>-</v>
      </c>
      <c r="E21" s="69">
        <f>'Performance Unidades 2023'!F26</f>
        <v>0</v>
      </c>
      <c r="F21" s="36">
        <f>'Performance Unidades 2023'!G26</f>
        <v>0</v>
      </c>
      <c r="G21" s="27" t="str">
        <f>'Performance Unidades 2023'!H26</f>
        <v>-</v>
      </c>
      <c r="H21" s="69">
        <f>'Performance Unidades 2023'!I26</f>
        <v>0</v>
      </c>
      <c r="I21" s="36">
        <f>'Performance Unidades 2023'!J26</f>
        <v>0</v>
      </c>
      <c r="J21" s="27">
        <f>'Performance Unidades 2023'!K26</f>
        <v>0</v>
      </c>
      <c r="K21" s="69">
        <f>'Performance Unidades 2023'!L26</f>
        <v>0</v>
      </c>
      <c r="L21" s="36">
        <f>'Performance Unidades 2023'!M26</f>
        <v>0</v>
      </c>
      <c r="M21" s="27" t="str">
        <f>'Performance Unidades 2023'!N26</f>
        <v>-</v>
      </c>
      <c r="N21" s="36">
        <f>'Performance Unidades 2023'!O26</f>
        <v>0</v>
      </c>
      <c r="O21" s="25"/>
    </row>
    <row r="22" spans="1:15" s="22" customFormat="1" ht="54.6" customHeight="1" x14ac:dyDescent="0.2">
      <c r="A22" s="86" t="s">
        <v>254</v>
      </c>
      <c r="B22" s="69">
        <f>'Performance Unidades 2023'!C27</f>
        <v>13</v>
      </c>
      <c r="C22" s="36">
        <f>'Performance Unidades 2023'!D27</f>
        <v>0.9285714285714286</v>
      </c>
      <c r="D22" s="27" t="str">
        <f>'Performance Unidades 2023'!E27</f>
        <v>Prédio reformado e entregue há pouco tempo. Falta de dieta enteral sem solução.</v>
      </c>
      <c r="E22" s="69">
        <f>'Performance Unidades 2023'!F27</f>
        <v>7</v>
      </c>
      <c r="F22" s="36">
        <f>'Performance Unidades 2023'!G27</f>
        <v>0.875</v>
      </c>
      <c r="G22" s="27" t="str">
        <f>'Performance Unidades 2023'!H27</f>
        <v>Indicadores de gestão ainda não utilizados regularmente</v>
      </c>
      <c r="H22" s="69">
        <f>'Performance Unidades 2023'!I27</f>
        <v>2</v>
      </c>
      <c r="I22" s="36">
        <f>'Performance Unidades 2023'!J27</f>
        <v>1</v>
      </c>
      <c r="J22" s="27" t="str">
        <f>'Performance Unidades 2023'!K27</f>
        <v>Plano Municipal em execução</v>
      </c>
      <c r="K22" s="69">
        <f>'Performance Unidades 2023'!L27</f>
        <v>2</v>
      </c>
      <c r="L22" s="36">
        <f>'Performance Unidades 2023'!M27</f>
        <v>0.5</v>
      </c>
      <c r="M22" s="27" t="str">
        <f>'Performance Unidades 2023'!N27</f>
        <v xml:space="preserve">Reclamações sobre falta de dieta enteral. Entrevistas com usuários ainda não realizadas. </v>
      </c>
      <c r="N22" s="36">
        <f>'Performance Unidades 2023'!O27</f>
        <v>0.82589285714285721</v>
      </c>
      <c r="O22" s="25"/>
    </row>
    <row r="23" spans="1:15" s="22" customFormat="1" ht="25.5" customHeight="1" x14ac:dyDescent="0.2">
      <c r="A23" s="86" t="s">
        <v>104</v>
      </c>
      <c r="B23" s="69">
        <f>'Performance Unidades 2023'!C28</f>
        <v>0</v>
      </c>
      <c r="C23" s="36">
        <f>'Performance Unidades 2023'!D28</f>
        <v>0</v>
      </c>
      <c r="D23" s="27">
        <f>'Performance Unidades 2023'!E28</f>
        <v>0</v>
      </c>
      <c r="E23" s="69">
        <f>'Performance Unidades 2023'!F28</f>
        <v>0</v>
      </c>
      <c r="F23" s="36">
        <f>'Performance Unidades 2023'!G28</f>
        <v>0</v>
      </c>
      <c r="G23" s="27">
        <f>'Performance Unidades 2023'!H28</f>
        <v>0</v>
      </c>
      <c r="H23" s="69">
        <f>'Performance Unidades 2023'!I28</f>
        <v>0</v>
      </c>
      <c r="I23" s="36">
        <f>'Performance Unidades 2023'!J28</f>
        <v>0</v>
      </c>
      <c r="J23" s="27">
        <f>'Performance Unidades 2023'!K28</f>
        <v>0</v>
      </c>
      <c r="K23" s="69">
        <f>'Performance Unidades 2023'!L28</f>
        <v>0</v>
      </c>
      <c r="L23" s="36">
        <f>'Performance Unidades 2023'!M28</f>
        <v>0</v>
      </c>
      <c r="M23" s="27">
        <f>'Performance Unidades 2023'!N28</f>
        <v>0</v>
      </c>
      <c r="N23" s="36">
        <f>'Performance Unidades 2023'!O28</f>
        <v>0</v>
      </c>
      <c r="O23" s="25"/>
    </row>
    <row r="24" spans="1:15" s="22" customFormat="1" ht="127.15" customHeight="1" x14ac:dyDescent="0.2">
      <c r="A24" s="86" t="s">
        <v>92</v>
      </c>
      <c r="B24" s="69">
        <f>'Performance Unidades 2023'!C29</f>
        <v>8</v>
      </c>
      <c r="C24" s="36">
        <f>'Performance Unidades 2023'!D29</f>
        <v>0.5714285714285714</v>
      </c>
      <c r="D24" s="27" t="str">
        <f>'Performance Unidades 2023'!E29</f>
        <v xml:space="preserve">Predio com infiltrações e goteiras importantes. Telhado com problemas, Lixo não recolhido na área externa. Medicamentos deixados em cima da maca e em armário aberto. Almoxarifado sem organização. Garrafas pet na área externa.  </v>
      </c>
      <c r="E24" s="69">
        <f>'Performance Unidades 2023'!F29</f>
        <v>5</v>
      </c>
      <c r="F24" s="36">
        <f>'Performance Unidades 2023'!G29</f>
        <v>0.625</v>
      </c>
      <c r="G24" s="27" t="str">
        <f>'Performance Unidades 2023'!H29</f>
        <v>Coordenadora nova no local ainda sem domínio dos indicadores. Alto abasenteísmo sem trabalho para contenção. Não ecidenciados treinamentos da equipe.</v>
      </c>
      <c r="H24" s="69">
        <f>'Performance Unidades 2023'!I29</f>
        <v>0</v>
      </c>
      <c r="I24" s="36">
        <f>'Performance Unidades 2023'!J29</f>
        <v>0</v>
      </c>
      <c r="J24" s="27" t="str">
        <f>'Performance Unidades 2023'!K29</f>
        <v>Dificuldade em entendimento e cumprimento dos indicadores constantes no Plano Municipal de Saúde</v>
      </c>
      <c r="K24" s="69">
        <f>'Performance Unidades 2023'!L29</f>
        <v>4</v>
      </c>
      <c r="L24" s="36">
        <f>'Performance Unidades 2023'!M29</f>
        <v>1</v>
      </c>
      <c r="M24" s="27" t="str">
        <f>'Performance Unidades 2023'!N29</f>
        <v>Sem evidências de reclamações no momento. Não havia usuários presentes na visita.</v>
      </c>
      <c r="N24" s="36">
        <f>'Performance Unidades 2023'!O29</f>
        <v>0.54910714285714279</v>
      </c>
      <c r="O24" s="25"/>
    </row>
    <row r="25" spans="1:15" s="22" customFormat="1" ht="31.5" customHeight="1" x14ac:dyDescent="0.2">
      <c r="A25" s="86" t="s">
        <v>90</v>
      </c>
      <c r="B25" s="69">
        <f>'Performance Unidades 2023'!C30</f>
        <v>0</v>
      </c>
      <c r="C25" s="36">
        <f>'Performance Unidades 2023'!D30</f>
        <v>0</v>
      </c>
      <c r="D25" s="27" t="str">
        <f>'Performance Unidades 2023'!E30</f>
        <v>-</v>
      </c>
      <c r="E25" s="69">
        <f>'Performance Unidades 2023'!F30</f>
        <v>0</v>
      </c>
      <c r="F25" s="36">
        <f>'Performance Unidades 2023'!G30</f>
        <v>0</v>
      </c>
      <c r="G25" s="27" t="str">
        <f>'Performance Unidades 2023'!H30</f>
        <v>-</v>
      </c>
      <c r="H25" s="69">
        <f>'Performance Unidades 2023'!I30</f>
        <v>0</v>
      </c>
      <c r="I25" s="36">
        <f>'Performance Unidades 2023'!J30</f>
        <v>0</v>
      </c>
      <c r="J25" s="27">
        <f>'Performance Unidades 2023'!K30</f>
        <v>0</v>
      </c>
      <c r="K25" s="69">
        <f>'Performance Unidades 2023'!L30</f>
        <v>0</v>
      </c>
      <c r="L25" s="36">
        <f>'Performance Unidades 2023'!M30</f>
        <v>0</v>
      </c>
      <c r="M25" s="27" t="str">
        <f>'Performance Unidades 2023'!N30</f>
        <v>-</v>
      </c>
      <c r="N25" s="36">
        <f>'Performance Unidades 2023'!O30</f>
        <v>0</v>
      </c>
      <c r="O25" s="25"/>
    </row>
    <row r="26" spans="1:15" s="22" customFormat="1" ht="30.6" customHeight="1" x14ac:dyDescent="0.2">
      <c r="A26" s="86" t="s">
        <v>91</v>
      </c>
      <c r="B26" s="69">
        <f>'Performance Unidades 2023'!C31</f>
        <v>0</v>
      </c>
      <c r="C26" s="36">
        <f>'Performance Unidades 2023'!D31</f>
        <v>0</v>
      </c>
      <c r="D26" s="27" t="str">
        <f>'Performance Unidades 2023'!E31</f>
        <v>-</v>
      </c>
      <c r="E26" s="69">
        <f>'Performance Unidades 2023'!F31</f>
        <v>0</v>
      </c>
      <c r="F26" s="36">
        <f>'Performance Unidades 2023'!G31</f>
        <v>0</v>
      </c>
      <c r="G26" s="27" t="str">
        <f>'Performance Unidades 2023'!H31</f>
        <v>-</v>
      </c>
      <c r="H26" s="69">
        <f>'Performance Unidades 2023'!I31</f>
        <v>0</v>
      </c>
      <c r="I26" s="36">
        <f>'Performance Unidades 2023'!J31</f>
        <v>0</v>
      </c>
      <c r="J26" s="27">
        <f>'Performance Unidades 2023'!K31</f>
        <v>0</v>
      </c>
      <c r="K26" s="69">
        <f>'Performance Unidades 2023'!L31</f>
        <v>0</v>
      </c>
      <c r="L26" s="36">
        <f>'Performance Unidades 2023'!M31</f>
        <v>0</v>
      </c>
      <c r="M26" s="27" t="str">
        <f>'Performance Unidades 2023'!N31</f>
        <v>-</v>
      </c>
      <c r="N26" s="36">
        <f>'Performance Unidades 2023'!O31</f>
        <v>0</v>
      </c>
      <c r="O26" s="25"/>
    </row>
    <row r="27" spans="1:15" s="22" customFormat="1" ht="134.65" customHeight="1" x14ac:dyDescent="0.2">
      <c r="A27" s="86" t="str">
        <f>'[1]Resumo Unidades'!E40</f>
        <v>Núcleo de Especialidades de Americana</v>
      </c>
      <c r="B27" s="69">
        <f>'Performance Unidades 2023'!C32</f>
        <v>11</v>
      </c>
      <c r="C27" s="36">
        <f>'Performance Unidades 2023'!D32</f>
        <v>0.7857142857142857</v>
      </c>
      <c r="D27" s="27" t="str">
        <f>'Performance Unidades 2023'!E32</f>
        <v xml:space="preserve">Unidade reformada, mas com salas sem condições de uso, recepção pequena e fluxo confuso para usuários. Salas de arquivos desorganizadas e insuficientes. </v>
      </c>
      <c r="E27" s="69">
        <f>'Performance Unidades 2023'!F32</f>
        <v>4</v>
      </c>
      <c r="F27" s="36">
        <f>'Performance Unidades 2023'!G32</f>
        <v>0.5</v>
      </c>
      <c r="G27" s="27" t="str">
        <f>'Performance Unidades 2023'!H32</f>
        <v>Indicadores de gestão em início de utilização. Dificuldades com médicos especialistas, Sem evidência de cronograma de treinamentos. Assiustentes sociais empenhadas na resolução de problemas dos usuários!</v>
      </c>
      <c r="H27" s="69">
        <f>'Performance Unidades 2023'!I32</f>
        <v>1</v>
      </c>
      <c r="I27" s="36">
        <f>'Performance Unidades 2023'!J32</f>
        <v>0.5</v>
      </c>
      <c r="J27" s="27" t="str">
        <f>'Performance Unidades 2023'!K32</f>
        <v xml:space="preserve">Plano Municipal em andamentoporém sem demonstração de integração com outras unidades de saúde. Marcação de consultas confusa pela quantidade de sistemas. </v>
      </c>
      <c r="K27" s="69">
        <f>'Performance Unidades 2023'!L32</f>
        <v>2</v>
      </c>
      <c r="L27" s="36">
        <f>'Performance Unidades 2023'!M32</f>
        <v>0.5</v>
      </c>
      <c r="M27" s="27" t="str">
        <f>'Performance Unidades 2023'!N32</f>
        <v xml:space="preserve">Reclamações frequentes por vagas registradas no COMSAUDE. Usuários insatisfeitos com demora em exames e consultas. </v>
      </c>
      <c r="N27" s="36">
        <f>'Performance Unidades 2023'!O32</f>
        <v>0.5714285714285714</v>
      </c>
      <c r="O27" s="25"/>
    </row>
    <row r="28" spans="1:15" s="22" customFormat="1" ht="74.099999999999994" customHeight="1" x14ac:dyDescent="0.2">
      <c r="A28" s="86" t="s">
        <v>121</v>
      </c>
      <c r="B28" s="69">
        <f>'Performance Unidades 2023'!C33</f>
        <v>14</v>
      </c>
      <c r="C28" s="36">
        <f>'Performance Unidades 2023'!D33</f>
        <v>1</v>
      </c>
      <c r="D28" s="27" t="str">
        <f>'Performance Unidades 2023'!E33</f>
        <v>Predio, equipamentos e insumos sem problemas</v>
      </c>
      <c r="E28" s="69">
        <f>'Performance Unidades 2023'!F33</f>
        <v>6</v>
      </c>
      <c r="F28" s="36">
        <f>'Performance Unidades 2023'!G33</f>
        <v>0.75</v>
      </c>
      <c r="G28" s="27" t="str">
        <f>'Performance Unidades 2023'!H33</f>
        <v>Indicadores de gestão ainda não utilizados regularmente. Não há reuniões gerais com OSS e com SMS</v>
      </c>
      <c r="H28" s="69">
        <f>'Performance Unidades 2023'!I33</f>
        <v>1</v>
      </c>
      <c r="I28" s="36">
        <f>'Performance Unidades 2023'!J33</f>
        <v>0.5</v>
      </c>
      <c r="J28" s="27" t="str">
        <f>'Performance Unidades 2023'!K33</f>
        <v xml:space="preserve">Gestão da OSS não está inteirada do Plano Municipal de Saúde. Não há protocolos unificados. </v>
      </c>
      <c r="K28" s="69">
        <f>'Performance Unidades 2023'!L33</f>
        <v>4</v>
      </c>
      <c r="L28" s="36">
        <f>'Performance Unidades 2023'!M33</f>
        <v>1</v>
      </c>
      <c r="M28" s="27" t="str">
        <f>'Performance Unidades 2023'!N33</f>
        <v>Alta satisfação dos pacientes</v>
      </c>
      <c r="N28" s="36">
        <f>'Performance Unidades 2023'!O33</f>
        <v>0.8125</v>
      </c>
      <c r="O28" s="25"/>
    </row>
    <row r="29" spans="1:15" s="22" customFormat="1" ht="108" customHeight="1" x14ac:dyDescent="0.2">
      <c r="A29" s="86" t="str">
        <f>'[1]Resumo Corrigido'!E45</f>
        <v>UPA - Bairro Antonio Zanaga</v>
      </c>
      <c r="B29" s="69">
        <f>'Performance Unidades 2023'!C34</f>
        <v>7</v>
      </c>
      <c r="C29" s="36">
        <f>'Performance Unidades 2023'!D34</f>
        <v>0.5</v>
      </c>
      <c r="D29" s="27" t="str">
        <f>'Performance Unidades 2023'!E34</f>
        <v xml:space="preserve">Prédio com goteiras, infiltrações e salas interditadas.Banheiros sem adaptações para deficientes, armários e camas em mau estado de conservação e com rasgos em colchões. </v>
      </c>
      <c r="E29" s="69">
        <f>'Performance Unidades 2023'!F34</f>
        <v>6</v>
      </c>
      <c r="F29" s="36">
        <f>'Performance Unidades 2023'!G34</f>
        <v>0.75</v>
      </c>
      <c r="G29" s="27" t="str">
        <f>'Performance Unidades 2023'!H34</f>
        <v>Indicadores de gestão ainda não utilizados regularmente.</v>
      </c>
      <c r="H29" s="69">
        <f>'Performance Unidades 2023'!I34</f>
        <v>1</v>
      </c>
      <c r="I29" s="36">
        <f>'Performance Unidades 2023'!J34</f>
        <v>0.5</v>
      </c>
      <c r="J29" s="27" t="str">
        <f>'Performance Unidades 2023'!K34</f>
        <v>Dificuldades em protocolos integrados e treinamentos</v>
      </c>
      <c r="K29" s="69">
        <f>'Performance Unidades 2023'!L34</f>
        <v>2</v>
      </c>
      <c r="L29" s="36">
        <f>'Performance Unidades 2023'!M34</f>
        <v>0.5</v>
      </c>
      <c r="M29" s="27" t="str">
        <f>'Performance Unidades 2023'!N34</f>
        <v xml:space="preserve">Pacientes presentes apresentaram queixas sobre o atendimento sem humanização. </v>
      </c>
      <c r="N29" s="36">
        <f>'Performance Unidades 2023'!O34</f>
        <v>0.5625</v>
      </c>
      <c r="O29" s="25"/>
    </row>
    <row r="30" spans="1:15" s="22" customFormat="1" ht="59.65" customHeight="1" x14ac:dyDescent="0.2">
      <c r="A30" s="86" t="s">
        <v>256</v>
      </c>
      <c r="B30" s="69">
        <f>'Performance Unidades 2023'!C35</f>
        <v>13</v>
      </c>
      <c r="C30" s="36">
        <f>'Performance Unidades 2023'!D35</f>
        <v>0.9285714285714286</v>
      </c>
      <c r="D30" s="27" t="str">
        <f>'Performance Unidades 2023'!E35</f>
        <v xml:space="preserve">Finalizar área de esterilização de instrumentos, resolução sobre elevador. </v>
      </c>
      <c r="E30" s="69">
        <f>'Performance Unidades 2023'!F35</f>
        <v>7</v>
      </c>
      <c r="F30" s="36">
        <f>'Performance Unidades 2023'!G35</f>
        <v>0.875</v>
      </c>
      <c r="G30" s="27" t="str">
        <f>'Performance Unidades 2023'!H35</f>
        <v>Excelente treinamento das equipes que pode ser benchmarking a outras unidades;</v>
      </c>
      <c r="H30" s="69">
        <f>'Performance Unidades 2023'!I35</f>
        <v>2</v>
      </c>
      <c r="I30" s="36">
        <f>'Performance Unidades 2023'!J35</f>
        <v>1</v>
      </c>
      <c r="J30" s="27" t="str">
        <f>'Performance Unidades 2023'!K35</f>
        <v xml:space="preserve">Não há indicadores desta Unidade previstos no Plano Municipal de Saúde. </v>
      </c>
      <c r="K30" s="69">
        <f>'Performance Unidades 2023'!L35</f>
        <v>4</v>
      </c>
      <c r="L30" s="36">
        <f>'Performance Unidades 2023'!M35</f>
        <v>1</v>
      </c>
      <c r="M30" s="27" t="str">
        <f>'Performance Unidades 2023'!N35</f>
        <v>Ótima percepção nas entrevistas. Solicitação de ampliação horário Farmácia.</v>
      </c>
      <c r="N30" s="36">
        <f>'Performance Unidades 2023'!O35</f>
        <v>0.95089285714285721</v>
      </c>
      <c r="O30" s="25"/>
    </row>
    <row r="31" spans="1:15" s="22" customFormat="1" ht="33.6" customHeight="1" x14ac:dyDescent="0.2">
      <c r="A31" s="86" t="s">
        <v>94</v>
      </c>
      <c r="B31" s="69">
        <f>'Performance Unidades 2023'!C36</f>
        <v>0</v>
      </c>
      <c r="C31" s="36">
        <f>'Performance Unidades 2023'!D36</f>
        <v>0</v>
      </c>
      <c r="D31" s="27" t="str">
        <f>'Performance Unidades 2023'!E36</f>
        <v>-</v>
      </c>
      <c r="E31" s="69">
        <f>'Performance Unidades 2023'!F36</f>
        <v>0</v>
      </c>
      <c r="F31" s="36">
        <f>'Performance Unidades 2023'!G36</f>
        <v>0</v>
      </c>
      <c r="G31" s="27" t="str">
        <f>'Performance Unidades 2023'!H36</f>
        <v>-</v>
      </c>
      <c r="H31" s="69">
        <f>'Performance Unidades 2023'!I36</f>
        <v>0</v>
      </c>
      <c r="I31" s="36">
        <f>'Performance Unidades 2023'!J36</f>
        <v>0</v>
      </c>
      <c r="J31" s="27">
        <f>'Performance Unidades 2023'!K36</f>
        <v>0</v>
      </c>
      <c r="K31" s="69">
        <f>'Performance Unidades 2023'!L36</f>
        <v>0</v>
      </c>
      <c r="L31" s="36">
        <f>'Performance Unidades 2023'!M36</f>
        <v>0</v>
      </c>
      <c r="M31" s="27" t="str">
        <f>'Performance Unidades 2023'!N36</f>
        <v>-</v>
      </c>
      <c r="N31" s="36">
        <f>'Performance Unidades 2023'!O36</f>
        <v>0</v>
      </c>
    </row>
    <row r="32" spans="1:15" s="22" customFormat="1" ht="36" customHeight="1" x14ac:dyDescent="0.2">
      <c r="A32" s="86" t="s">
        <v>89</v>
      </c>
      <c r="B32" s="69">
        <f>'Performance Unidades 2023'!C37</f>
        <v>0</v>
      </c>
      <c r="C32" s="36">
        <f>'Performance Unidades 2023'!D37</f>
        <v>0</v>
      </c>
      <c r="D32" s="27" t="str">
        <f>'Performance Unidades 2023'!E37</f>
        <v>-</v>
      </c>
      <c r="E32" s="69">
        <f>'Performance Unidades 2023'!F37</f>
        <v>0</v>
      </c>
      <c r="F32" s="36">
        <f>'Performance Unidades 2023'!G37</f>
        <v>0</v>
      </c>
      <c r="G32" s="27" t="str">
        <f>'Performance Unidades 2023'!H37</f>
        <v>-</v>
      </c>
      <c r="H32" s="69">
        <f>'Performance Unidades 2023'!I37</f>
        <v>0</v>
      </c>
      <c r="I32" s="36">
        <f>'Performance Unidades 2023'!J37</f>
        <v>0</v>
      </c>
      <c r="J32" s="27">
        <f>'Performance Unidades 2023'!K37</f>
        <v>0</v>
      </c>
      <c r="K32" s="69">
        <f>'Performance Unidades 2023'!L37</f>
        <v>0</v>
      </c>
      <c r="L32" s="36">
        <f>'Performance Unidades 2023'!M37</f>
        <v>0</v>
      </c>
      <c r="M32" s="27" t="str">
        <f>'Performance Unidades 2023'!N37</f>
        <v>-</v>
      </c>
      <c r="N32" s="36">
        <f>'Performance Unidades 2023'!O37</f>
        <v>0</v>
      </c>
    </row>
    <row r="33" spans="1:14" s="22" customFormat="1" ht="65.650000000000006" customHeight="1" x14ac:dyDescent="0.2">
      <c r="A33" s="86" t="s">
        <v>93</v>
      </c>
      <c r="B33" s="69">
        <f>'Performance Unidades 2023'!C38</f>
        <v>1</v>
      </c>
      <c r="C33" s="36">
        <f>'Performance Unidades 2023'!D38</f>
        <v>7.1428571428571425E-2</v>
      </c>
      <c r="D33" s="27" t="str">
        <f>'Performance Unidades 2023'!E38</f>
        <v>Prédio sem nenhuma condição de uso com risco à segurança dos trabalhadores.</v>
      </c>
      <c r="E33" s="69">
        <f>'Performance Unidades 2023'!F38</f>
        <v>3</v>
      </c>
      <c r="F33" s="36">
        <f>'Performance Unidades 2023'!G38</f>
        <v>0.375</v>
      </c>
      <c r="G33" s="27" t="str">
        <f>'Performance Unidades 2023'!H38</f>
        <v>não há cronograma de treinamentos disponiveis. Sem possibilidade de gestão pela dificuldade no prédio.</v>
      </c>
      <c r="H33" s="69">
        <f>'Performance Unidades 2023'!I38</f>
        <v>1</v>
      </c>
      <c r="I33" s="36">
        <f>'Performance Unidades 2023'!J38</f>
        <v>0.5</v>
      </c>
      <c r="J33" s="27" t="str">
        <f>'Performance Unidades 2023'!K38</f>
        <v xml:space="preserve">Não há indicadores desta Unidade previstos no Plano Municipal de Saúde. </v>
      </c>
      <c r="K33" s="69">
        <f>'Performance Unidades 2023'!L38</f>
        <v>3</v>
      </c>
      <c r="L33" s="36">
        <f>'Performance Unidades 2023'!M38</f>
        <v>0.75</v>
      </c>
      <c r="M33" s="27" t="str">
        <f>'Performance Unidades 2023'!N38</f>
        <v>Ótima percepção nas entrevistas. Solicitação de ampliação horário Farmácia.</v>
      </c>
      <c r="N33" s="36">
        <f>'Performance Unidades 2023'!O38</f>
        <v>0.42410714285714285</v>
      </c>
    </row>
    <row r="34" spans="1:14" s="22" customFormat="1" ht="92.1" customHeight="1" x14ac:dyDescent="0.2">
      <c r="A34" s="88" t="s">
        <v>95</v>
      </c>
      <c r="B34" s="89">
        <f>'Performance Unidades 2023'!C39</f>
        <v>12</v>
      </c>
      <c r="C34" s="83">
        <f>'Performance Unidades 2023'!D39</f>
        <v>0.8571428571428571</v>
      </c>
      <c r="D34" s="41" t="str">
        <f>'Performance Unidades 2023'!E39</f>
        <v>Predio com goteiras e infiltrações</v>
      </c>
      <c r="E34" s="89">
        <f>'Performance Unidades 2023'!F39</f>
        <v>6</v>
      </c>
      <c r="F34" s="83">
        <f>'Performance Unidades 2023'!G39</f>
        <v>0.75</v>
      </c>
      <c r="G34" s="41" t="str">
        <f>'Performance Unidades 2023'!H39</f>
        <v>Não há cornogramas de treinamento de equipe e são feitos "quando necessário". Indicadores de gestão são restritos.</v>
      </c>
      <c r="H34" s="89">
        <f>'Performance Unidades 2023'!I39</f>
        <v>1</v>
      </c>
      <c r="I34" s="83">
        <f>'Performance Unidades 2023'!J39</f>
        <v>0.5</v>
      </c>
      <c r="J34" s="41" t="str">
        <f>'Performance Unidades 2023'!K39</f>
        <v>Alguns itens dos indicadores do Plano Municipal de Saúde  precisam ser revistos e repensados</v>
      </c>
      <c r="K34" s="89">
        <f>'Performance Unidades 2023'!L39</f>
        <v>4</v>
      </c>
      <c r="L34" s="83">
        <f>'Performance Unidades 2023'!M39</f>
        <v>1</v>
      </c>
      <c r="M34" s="41" t="str">
        <f>'Performance Unidades 2023'!N39</f>
        <v>Sem problemas detectados de satisfação de usuários</v>
      </c>
      <c r="N34" s="83">
        <f>'Performance Unidades 2023'!O39</f>
        <v>0.7767857142857143</v>
      </c>
    </row>
  </sheetData>
  <conditionalFormatting sqref="C2:C34 F2:F34 I2:I34 L2:L34 N2:N34">
    <cfRule type="cellIs" dxfId="3" priority="3" operator="between">
      <formula>0</formula>
      <formula>0.4</formula>
    </cfRule>
    <cfRule type="cellIs" dxfId="2" priority="4" operator="between">
      <formula>0.41</formula>
      <formula>0.79</formula>
    </cfRule>
  </conditionalFormatting>
  <conditionalFormatting sqref="N2:N34 C2:C34 F2:F34 I2:I34 L2:L34">
    <cfRule type="cellIs" dxfId="1" priority="2" operator="between">
      <formula>0.8</formula>
      <formula>1</formula>
    </cfRule>
  </conditionalFormatting>
  <conditionalFormatting sqref="N34">
    <cfRule type="cellIs" dxfId="0" priority="1" operator="between">
      <formula>0</formula>
      <formula>0.4</formula>
    </cfRule>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08883-A28B-412A-98BE-401F70A0BD61}">
  <dimension ref="A1:J267"/>
  <sheetViews>
    <sheetView topLeftCell="A82" workbookViewId="0">
      <selection activeCell="A86" sqref="A86"/>
    </sheetView>
  </sheetViews>
  <sheetFormatPr defaultRowHeight="15" x14ac:dyDescent="0.25"/>
  <cols>
    <col min="1" max="1" width="26.140625" customWidth="1"/>
    <col min="2" max="2" width="23.7109375" customWidth="1"/>
    <col min="3" max="3" width="13.85546875" customWidth="1"/>
    <col min="4" max="4" width="15.7109375" customWidth="1"/>
    <col min="5" max="5" width="18.7109375" customWidth="1"/>
    <col min="6" max="6" width="17.7109375" customWidth="1"/>
    <col min="7" max="7" width="16.42578125" customWidth="1"/>
    <col min="8" max="8" width="8.85546875" customWidth="1"/>
  </cols>
  <sheetData>
    <row r="1" spans="1:10" ht="36" x14ac:dyDescent="0.25">
      <c r="A1" s="6" t="s">
        <v>252</v>
      </c>
      <c r="B1" s="6" t="s">
        <v>1</v>
      </c>
      <c r="C1" s="6" t="s">
        <v>2</v>
      </c>
      <c r="D1" s="6" t="s">
        <v>3</v>
      </c>
      <c r="E1" s="6" t="s">
        <v>4</v>
      </c>
      <c r="F1" s="6" t="s">
        <v>5</v>
      </c>
      <c r="G1" s="6" t="s">
        <v>6</v>
      </c>
      <c r="H1" s="6" t="s">
        <v>7</v>
      </c>
      <c r="I1" s="6" t="s">
        <v>8</v>
      </c>
      <c r="J1" s="6" t="s">
        <v>9</v>
      </c>
    </row>
    <row r="2" spans="1:10" ht="72" x14ac:dyDescent="0.25">
      <c r="A2" s="90" t="s">
        <v>254</v>
      </c>
      <c r="B2" s="90" t="s">
        <v>11</v>
      </c>
      <c r="C2" s="7" t="s">
        <v>12</v>
      </c>
      <c r="D2" s="8" t="s">
        <v>13</v>
      </c>
      <c r="E2" s="8" t="s">
        <v>14</v>
      </c>
      <c r="F2" s="91" t="s">
        <v>15</v>
      </c>
      <c r="G2" s="91" t="s">
        <v>16</v>
      </c>
      <c r="H2" s="8"/>
      <c r="I2" s="8"/>
      <c r="J2" s="31">
        <v>2</v>
      </c>
    </row>
    <row r="3" spans="1:10" ht="72" x14ac:dyDescent="0.25">
      <c r="A3" s="90" t="s">
        <v>254</v>
      </c>
      <c r="B3" s="90" t="s">
        <v>11</v>
      </c>
      <c r="C3" s="7" t="s">
        <v>17</v>
      </c>
      <c r="D3" s="8" t="s">
        <v>18</v>
      </c>
      <c r="E3" s="8" t="s">
        <v>19</v>
      </c>
      <c r="F3" s="91" t="s">
        <v>15</v>
      </c>
      <c r="G3" s="91" t="s">
        <v>16</v>
      </c>
      <c r="H3" s="8"/>
      <c r="I3" s="8"/>
      <c r="J3" s="31">
        <v>2</v>
      </c>
    </row>
    <row r="4" spans="1:10" ht="60" x14ac:dyDescent="0.25">
      <c r="A4" s="90" t="s">
        <v>254</v>
      </c>
      <c r="B4" s="90" t="s">
        <v>11</v>
      </c>
      <c r="C4" s="7" t="s">
        <v>20</v>
      </c>
      <c r="D4" s="8" t="s">
        <v>21</v>
      </c>
      <c r="E4" s="8" t="s">
        <v>22</v>
      </c>
      <c r="F4" s="91" t="s">
        <v>15</v>
      </c>
      <c r="G4" s="91" t="s">
        <v>16</v>
      </c>
      <c r="H4" s="8"/>
      <c r="I4" s="8"/>
      <c r="J4" s="31">
        <v>2</v>
      </c>
    </row>
    <row r="5" spans="1:10" ht="72" x14ac:dyDescent="0.25">
      <c r="A5" s="90" t="s">
        <v>254</v>
      </c>
      <c r="B5" s="90" t="s">
        <v>11</v>
      </c>
      <c r="C5" s="7" t="s">
        <v>23</v>
      </c>
      <c r="D5" s="8" t="s">
        <v>24</v>
      </c>
      <c r="E5" s="8" t="s">
        <v>25</v>
      </c>
      <c r="F5" s="91" t="s">
        <v>15</v>
      </c>
      <c r="G5" s="91" t="s">
        <v>16</v>
      </c>
      <c r="H5" s="8"/>
      <c r="I5" s="8"/>
      <c r="J5" s="31">
        <v>2</v>
      </c>
    </row>
    <row r="6" spans="1:10" ht="60" x14ac:dyDescent="0.25">
      <c r="A6" s="90" t="s">
        <v>254</v>
      </c>
      <c r="B6" s="90" t="s">
        <v>11</v>
      </c>
      <c r="C6" s="7" t="s">
        <v>26</v>
      </c>
      <c r="D6" s="8" t="s">
        <v>27</v>
      </c>
      <c r="E6" s="8" t="s">
        <v>28</v>
      </c>
      <c r="F6" s="91" t="s">
        <v>15</v>
      </c>
      <c r="G6" s="91" t="s">
        <v>16</v>
      </c>
      <c r="H6" s="8"/>
      <c r="I6" s="8"/>
      <c r="J6" s="31">
        <v>2</v>
      </c>
    </row>
    <row r="7" spans="1:10" ht="60" x14ac:dyDescent="0.25">
      <c r="A7" s="90" t="s">
        <v>254</v>
      </c>
      <c r="B7" s="90" t="s">
        <v>11</v>
      </c>
      <c r="C7" s="7" t="s">
        <v>29</v>
      </c>
      <c r="D7" s="8" t="s">
        <v>30</v>
      </c>
      <c r="E7" s="8" t="s">
        <v>31</v>
      </c>
      <c r="F7" s="91" t="s">
        <v>15</v>
      </c>
      <c r="G7" s="91" t="s">
        <v>16</v>
      </c>
      <c r="H7" s="8"/>
      <c r="I7" s="31">
        <v>1</v>
      </c>
      <c r="J7" s="8"/>
    </row>
    <row r="8" spans="1:10" ht="96" x14ac:dyDescent="0.25">
      <c r="A8" s="90" t="s">
        <v>254</v>
      </c>
      <c r="B8" s="90" t="s">
        <v>11</v>
      </c>
      <c r="C8" s="7" t="s">
        <v>32</v>
      </c>
      <c r="D8" s="8" t="s">
        <v>33</v>
      </c>
      <c r="E8" s="8" t="s">
        <v>34</v>
      </c>
      <c r="F8" s="91" t="s">
        <v>15</v>
      </c>
      <c r="G8" s="91" t="s">
        <v>16</v>
      </c>
      <c r="H8" s="8"/>
      <c r="I8" s="8"/>
      <c r="J8" s="31">
        <v>2</v>
      </c>
    </row>
    <row r="9" spans="1:10" ht="180" x14ac:dyDescent="0.25">
      <c r="A9" s="90" t="s">
        <v>254</v>
      </c>
      <c r="B9" s="90" t="s">
        <v>35</v>
      </c>
      <c r="C9" s="7" t="s">
        <v>36</v>
      </c>
      <c r="D9" s="8" t="s">
        <v>37</v>
      </c>
      <c r="E9" s="8" t="s">
        <v>38</v>
      </c>
      <c r="F9" s="8" t="s">
        <v>39</v>
      </c>
      <c r="G9" s="8" t="s">
        <v>40</v>
      </c>
      <c r="H9" s="8"/>
      <c r="I9" s="31">
        <v>1</v>
      </c>
      <c r="J9" s="8"/>
    </row>
    <row r="10" spans="1:10" ht="108" x14ac:dyDescent="0.25">
      <c r="A10" s="90" t="s">
        <v>254</v>
      </c>
      <c r="B10" s="90" t="s">
        <v>35</v>
      </c>
      <c r="C10" s="7" t="s">
        <v>41</v>
      </c>
      <c r="D10" s="8" t="s">
        <v>42</v>
      </c>
      <c r="E10" s="8" t="s">
        <v>43</v>
      </c>
      <c r="F10" s="8" t="s">
        <v>44</v>
      </c>
      <c r="G10" s="8" t="s">
        <v>40</v>
      </c>
      <c r="H10" s="8"/>
      <c r="I10" s="8"/>
      <c r="J10" s="31">
        <v>2</v>
      </c>
    </row>
    <row r="11" spans="1:10" ht="108" x14ac:dyDescent="0.25">
      <c r="A11" s="90" t="s">
        <v>254</v>
      </c>
      <c r="B11" s="90" t="s">
        <v>35</v>
      </c>
      <c r="C11" s="7" t="s">
        <v>45</v>
      </c>
      <c r="D11" s="8" t="s">
        <v>46</v>
      </c>
      <c r="E11" s="8" t="s">
        <v>47</v>
      </c>
      <c r="F11" s="8" t="s">
        <v>48</v>
      </c>
      <c r="G11" s="8" t="s">
        <v>40</v>
      </c>
      <c r="H11" s="8"/>
      <c r="I11" s="8"/>
      <c r="J11" s="31">
        <v>2</v>
      </c>
    </row>
    <row r="12" spans="1:10" ht="108" x14ac:dyDescent="0.25">
      <c r="A12" s="90" t="s">
        <v>254</v>
      </c>
      <c r="B12" s="90" t="s">
        <v>35</v>
      </c>
      <c r="C12" s="7" t="s">
        <v>49</v>
      </c>
      <c r="D12" s="8" t="s">
        <v>50</v>
      </c>
      <c r="E12" s="8" t="s">
        <v>51</v>
      </c>
      <c r="F12" s="8" t="s">
        <v>52</v>
      </c>
      <c r="G12" s="8" t="s">
        <v>40</v>
      </c>
      <c r="H12" s="8"/>
      <c r="I12" s="8"/>
      <c r="J12" s="31">
        <v>2</v>
      </c>
    </row>
    <row r="13" spans="1:10" ht="96" x14ac:dyDescent="0.25">
      <c r="A13" s="90" t="s">
        <v>254</v>
      </c>
      <c r="B13" s="9" t="s">
        <v>53</v>
      </c>
      <c r="C13" s="7" t="s">
        <v>54</v>
      </c>
      <c r="D13" s="8" t="s">
        <v>55</v>
      </c>
      <c r="E13" s="11" t="s">
        <v>56</v>
      </c>
      <c r="F13" s="8" t="s">
        <v>57</v>
      </c>
      <c r="G13" s="8" t="s">
        <v>58</v>
      </c>
      <c r="H13" s="8"/>
      <c r="I13" s="8"/>
      <c r="J13" s="31">
        <v>2</v>
      </c>
    </row>
    <row r="14" spans="1:10" ht="108" x14ac:dyDescent="0.25">
      <c r="A14" s="90" t="s">
        <v>254</v>
      </c>
      <c r="B14" s="90" t="s">
        <v>257</v>
      </c>
      <c r="C14" s="7" t="s">
        <v>60</v>
      </c>
      <c r="D14" s="8" t="s">
        <v>61</v>
      </c>
      <c r="E14" s="8" t="s">
        <v>62</v>
      </c>
      <c r="F14" s="8" t="s">
        <v>63</v>
      </c>
      <c r="G14" s="8" t="s">
        <v>58</v>
      </c>
      <c r="H14" s="8"/>
      <c r="I14" s="31">
        <v>1</v>
      </c>
      <c r="J14" s="8"/>
    </row>
    <row r="15" spans="1:10" ht="108" x14ac:dyDescent="0.25">
      <c r="A15" s="90" t="s">
        <v>254</v>
      </c>
      <c r="B15" s="90" t="s">
        <v>257</v>
      </c>
      <c r="C15" s="7" t="s">
        <v>64</v>
      </c>
      <c r="D15" s="8" t="s">
        <v>65</v>
      </c>
      <c r="E15" s="8" t="s">
        <v>66</v>
      </c>
      <c r="F15" s="8" t="s">
        <v>67</v>
      </c>
      <c r="G15" s="8" t="s">
        <v>40</v>
      </c>
      <c r="H15" s="8"/>
      <c r="I15" s="31">
        <v>1</v>
      </c>
      <c r="J15" s="8"/>
    </row>
    <row r="16" spans="1:10" ht="72" x14ac:dyDescent="0.25">
      <c r="A16" s="90" t="s">
        <v>255</v>
      </c>
      <c r="B16" s="90" t="s">
        <v>11</v>
      </c>
      <c r="C16" s="7" t="s">
        <v>12</v>
      </c>
      <c r="D16" s="8" t="s">
        <v>13</v>
      </c>
      <c r="E16" s="8" t="s">
        <v>14</v>
      </c>
      <c r="F16" s="91" t="s">
        <v>15</v>
      </c>
      <c r="G16" s="91" t="s">
        <v>16</v>
      </c>
      <c r="H16" s="31">
        <v>0</v>
      </c>
      <c r="I16" s="32"/>
      <c r="J16" s="32"/>
    </row>
    <row r="17" spans="1:10" ht="72" x14ac:dyDescent="0.25">
      <c r="A17" s="90" t="s">
        <v>255</v>
      </c>
      <c r="B17" s="90" t="s">
        <v>11</v>
      </c>
      <c r="C17" s="7" t="s">
        <v>17</v>
      </c>
      <c r="D17" s="8" t="s">
        <v>18</v>
      </c>
      <c r="E17" s="8" t="s">
        <v>19</v>
      </c>
      <c r="F17" s="91" t="s">
        <v>15</v>
      </c>
      <c r="G17" s="91" t="s">
        <v>16</v>
      </c>
      <c r="H17" s="32"/>
      <c r="I17" s="31">
        <v>1</v>
      </c>
      <c r="J17" s="32"/>
    </row>
    <row r="18" spans="1:10" ht="60" x14ac:dyDescent="0.25">
      <c r="A18" s="90" t="s">
        <v>255</v>
      </c>
      <c r="B18" s="90" t="s">
        <v>11</v>
      </c>
      <c r="C18" s="7" t="s">
        <v>20</v>
      </c>
      <c r="D18" s="8" t="s">
        <v>21</v>
      </c>
      <c r="E18" s="8" t="s">
        <v>22</v>
      </c>
      <c r="F18" s="91" t="s">
        <v>15</v>
      </c>
      <c r="G18" s="91" t="s">
        <v>16</v>
      </c>
      <c r="H18" s="31">
        <v>0</v>
      </c>
      <c r="I18" s="32"/>
      <c r="J18" s="32"/>
    </row>
    <row r="19" spans="1:10" ht="72" x14ac:dyDescent="0.25">
      <c r="A19" s="90" t="s">
        <v>255</v>
      </c>
      <c r="B19" s="90" t="s">
        <v>11</v>
      </c>
      <c r="C19" s="7" t="s">
        <v>23</v>
      </c>
      <c r="D19" s="8" t="s">
        <v>24</v>
      </c>
      <c r="E19" s="8" t="s">
        <v>25</v>
      </c>
      <c r="F19" s="91" t="s">
        <v>15</v>
      </c>
      <c r="G19" s="91" t="s">
        <v>16</v>
      </c>
      <c r="H19" s="32"/>
      <c r="I19" s="31">
        <v>1</v>
      </c>
      <c r="J19" s="32"/>
    </row>
    <row r="20" spans="1:10" ht="60" x14ac:dyDescent="0.25">
      <c r="A20" s="90" t="s">
        <v>255</v>
      </c>
      <c r="B20" s="90" t="s">
        <v>11</v>
      </c>
      <c r="C20" s="7" t="s">
        <v>26</v>
      </c>
      <c r="D20" s="8" t="s">
        <v>27</v>
      </c>
      <c r="E20" s="8" t="s">
        <v>28</v>
      </c>
      <c r="F20" s="91" t="s">
        <v>15</v>
      </c>
      <c r="G20" s="91" t="s">
        <v>16</v>
      </c>
      <c r="H20" s="32"/>
      <c r="I20" s="31">
        <v>1</v>
      </c>
      <c r="J20" s="32"/>
    </row>
    <row r="21" spans="1:10" ht="60" x14ac:dyDescent="0.25">
      <c r="A21" s="90" t="s">
        <v>255</v>
      </c>
      <c r="B21" s="90" t="s">
        <v>11</v>
      </c>
      <c r="C21" s="7" t="s">
        <v>29</v>
      </c>
      <c r="D21" s="8" t="s">
        <v>30</v>
      </c>
      <c r="E21" s="8" t="s">
        <v>31</v>
      </c>
      <c r="F21" s="91" t="s">
        <v>15</v>
      </c>
      <c r="G21" s="91" t="s">
        <v>16</v>
      </c>
      <c r="H21" s="32"/>
      <c r="I21" s="32"/>
      <c r="J21" s="31">
        <v>2</v>
      </c>
    </row>
    <row r="22" spans="1:10" ht="96" x14ac:dyDescent="0.25">
      <c r="A22" s="90" t="s">
        <v>255</v>
      </c>
      <c r="B22" s="90" t="s">
        <v>11</v>
      </c>
      <c r="C22" s="7" t="s">
        <v>32</v>
      </c>
      <c r="D22" s="8" t="s">
        <v>33</v>
      </c>
      <c r="E22" s="8" t="s">
        <v>34</v>
      </c>
      <c r="F22" s="91" t="s">
        <v>15</v>
      </c>
      <c r="G22" s="91" t="s">
        <v>16</v>
      </c>
      <c r="H22" s="32"/>
      <c r="I22" s="31">
        <v>1</v>
      </c>
      <c r="J22" s="32"/>
    </row>
    <row r="23" spans="1:10" ht="180" x14ac:dyDescent="0.25">
      <c r="A23" s="90" t="s">
        <v>255</v>
      </c>
      <c r="B23" s="90" t="s">
        <v>35</v>
      </c>
      <c r="C23" s="7" t="s">
        <v>36</v>
      </c>
      <c r="D23" s="8" t="s">
        <v>37</v>
      </c>
      <c r="E23" s="8" t="s">
        <v>38</v>
      </c>
      <c r="F23" s="8" t="s">
        <v>39</v>
      </c>
      <c r="G23" s="8" t="s">
        <v>40</v>
      </c>
      <c r="H23" s="32"/>
      <c r="I23" s="31">
        <v>1</v>
      </c>
      <c r="J23" s="32"/>
    </row>
    <row r="24" spans="1:10" ht="108" x14ac:dyDescent="0.25">
      <c r="A24" s="90" t="s">
        <v>255</v>
      </c>
      <c r="B24" s="90" t="s">
        <v>35</v>
      </c>
      <c r="C24" s="7" t="s">
        <v>41</v>
      </c>
      <c r="D24" s="8" t="s">
        <v>42</v>
      </c>
      <c r="E24" s="8" t="s">
        <v>43</v>
      </c>
      <c r="F24" s="8" t="s">
        <v>44</v>
      </c>
      <c r="G24" s="8" t="s">
        <v>40</v>
      </c>
      <c r="H24" s="31">
        <v>0</v>
      </c>
      <c r="I24" s="32"/>
      <c r="J24" s="32"/>
    </row>
    <row r="25" spans="1:10" ht="108" x14ac:dyDescent="0.25">
      <c r="A25" s="90" t="s">
        <v>255</v>
      </c>
      <c r="B25" s="90" t="s">
        <v>35</v>
      </c>
      <c r="C25" s="7" t="s">
        <v>45</v>
      </c>
      <c r="D25" s="8" t="s">
        <v>46</v>
      </c>
      <c r="E25" s="8" t="s">
        <v>47</v>
      </c>
      <c r="F25" s="8" t="s">
        <v>48</v>
      </c>
      <c r="G25" s="8" t="s">
        <v>40</v>
      </c>
      <c r="H25" s="32"/>
      <c r="I25" s="31">
        <v>1</v>
      </c>
      <c r="J25" s="32"/>
    </row>
    <row r="26" spans="1:10" ht="108" x14ac:dyDescent="0.25">
      <c r="A26" s="90" t="s">
        <v>255</v>
      </c>
      <c r="B26" s="90" t="s">
        <v>35</v>
      </c>
      <c r="C26" s="7" t="s">
        <v>49</v>
      </c>
      <c r="D26" s="8" t="s">
        <v>50</v>
      </c>
      <c r="E26" s="8" t="s">
        <v>51</v>
      </c>
      <c r="F26" s="8" t="s">
        <v>52</v>
      </c>
      <c r="G26" s="8" t="s">
        <v>40</v>
      </c>
      <c r="H26" s="31">
        <v>0</v>
      </c>
      <c r="I26" s="32"/>
      <c r="J26" s="32"/>
    </row>
    <row r="27" spans="1:10" ht="96" x14ac:dyDescent="0.25">
      <c r="A27" s="90" t="s">
        <v>255</v>
      </c>
      <c r="B27" s="9" t="s">
        <v>53</v>
      </c>
      <c r="C27" s="7" t="s">
        <v>54</v>
      </c>
      <c r="D27" s="8" t="s">
        <v>55</v>
      </c>
      <c r="E27" s="11" t="s">
        <v>56</v>
      </c>
      <c r="F27" s="8" t="s">
        <v>57</v>
      </c>
      <c r="G27" s="8" t="s">
        <v>58</v>
      </c>
      <c r="H27" s="32"/>
      <c r="I27" s="31">
        <v>1</v>
      </c>
      <c r="J27" s="32"/>
    </row>
    <row r="28" spans="1:10" ht="108" x14ac:dyDescent="0.25">
      <c r="A28" s="90" t="s">
        <v>255</v>
      </c>
      <c r="B28" s="90" t="s">
        <v>257</v>
      </c>
      <c r="C28" s="7" t="s">
        <v>60</v>
      </c>
      <c r="D28" s="8" t="s">
        <v>61</v>
      </c>
      <c r="E28" s="8" t="s">
        <v>62</v>
      </c>
      <c r="F28" s="8" t="s">
        <v>63</v>
      </c>
      <c r="G28" s="8" t="s">
        <v>58</v>
      </c>
      <c r="H28" s="32"/>
      <c r="I28" s="31">
        <v>1</v>
      </c>
      <c r="J28" s="32"/>
    </row>
    <row r="29" spans="1:10" ht="108" x14ac:dyDescent="0.25">
      <c r="A29" s="90" t="s">
        <v>255</v>
      </c>
      <c r="B29" s="90" t="s">
        <v>257</v>
      </c>
      <c r="C29" s="7" t="s">
        <v>64</v>
      </c>
      <c r="D29" s="8" t="s">
        <v>65</v>
      </c>
      <c r="E29" s="8" t="s">
        <v>66</v>
      </c>
      <c r="F29" s="8" t="s">
        <v>67</v>
      </c>
      <c r="G29" s="8" t="s">
        <v>40</v>
      </c>
      <c r="H29" s="31">
        <v>0</v>
      </c>
      <c r="I29" s="32"/>
      <c r="J29" s="32"/>
    </row>
    <row r="30" spans="1:10" ht="72" x14ac:dyDescent="0.25">
      <c r="A30" s="90" t="s">
        <v>253</v>
      </c>
      <c r="B30" s="90" t="s">
        <v>11</v>
      </c>
      <c r="C30" s="7" t="s">
        <v>12</v>
      </c>
      <c r="D30" s="8" t="s">
        <v>13</v>
      </c>
      <c r="E30" s="8" t="s">
        <v>14</v>
      </c>
      <c r="F30" s="91" t="s">
        <v>15</v>
      </c>
      <c r="G30" s="91" t="s">
        <v>16</v>
      </c>
      <c r="H30" s="32"/>
      <c r="I30" s="32"/>
      <c r="J30" s="31">
        <v>2</v>
      </c>
    </row>
    <row r="31" spans="1:10" ht="72" x14ac:dyDescent="0.25">
      <c r="A31" s="90" t="s">
        <v>253</v>
      </c>
      <c r="B31" s="90" t="s">
        <v>11</v>
      </c>
      <c r="C31" s="7" t="s">
        <v>17</v>
      </c>
      <c r="D31" s="8" t="s">
        <v>18</v>
      </c>
      <c r="E31" s="8" t="s">
        <v>19</v>
      </c>
      <c r="F31" s="91" t="s">
        <v>15</v>
      </c>
      <c r="G31" s="91" t="s">
        <v>16</v>
      </c>
      <c r="H31" s="32"/>
      <c r="I31" s="32"/>
      <c r="J31" s="31">
        <v>2</v>
      </c>
    </row>
    <row r="32" spans="1:10" ht="60" x14ac:dyDescent="0.25">
      <c r="A32" s="90" t="s">
        <v>253</v>
      </c>
      <c r="B32" s="90" t="s">
        <v>11</v>
      </c>
      <c r="C32" s="7" t="s">
        <v>20</v>
      </c>
      <c r="D32" s="8" t="s">
        <v>21</v>
      </c>
      <c r="E32" s="8" t="s">
        <v>22</v>
      </c>
      <c r="F32" s="91" t="s">
        <v>15</v>
      </c>
      <c r="G32" s="91" t="s">
        <v>16</v>
      </c>
      <c r="H32" s="32"/>
      <c r="I32" s="32"/>
      <c r="J32" s="31">
        <v>2</v>
      </c>
    </row>
    <row r="33" spans="1:10" ht="72" x14ac:dyDescent="0.25">
      <c r="A33" s="90" t="s">
        <v>253</v>
      </c>
      <c r="B33" s="90" t="s">
        <v>11</v>
      </c>
      <c r="C33" s="7" t="s">
        <v>23</v>
      </c>
      <c r="D33" s="8" t="s">
        <v>24</v>
      </c>
      <c r="E33" s="8" t="s">
        <v>25</v>
      </c>
      <c r="F33" s="91" t="s">
        <v>15</v>
      </c>
      <c r="G33" s="91" t="s">
        <v>16</v>
      </c>
      <c r="H33" s="32"/>
      <c r="I33" s="32"/>
      <c r="J33" s="31">
        <v>2</v>
      </c>
    </row>
    <row r="34" spans="1:10" ht="60" x14ac:dyDescent="0.25">
      <c r="A34" s="90" t="s">
        <v>253</v>
      </c>
      <c r="B34" s="90" t="s">
        <v>11</v>
      </c>
      <c r="C34" s="7" t="s">
        <v>26</v>
      </c>
      <c r="D34" s="8" t="s">
        <v>27</v>
      </c>
      <c r="E34" s="8" t="s">
        <v>28</v>
      </c>
      <c r="F34" s="91" t="s">
        <v>15</v>
      </c>
      <c r="G34" s="91" t="s">
        <v>16</v>
      </c>
      <c r="H34" s="32"/>
      <c r="I34" s="32"/>
      <c r="J34" s="31">
        <v>2</v>
      </c>
    </row>
    <row r="35" spans="1:10" ht="60" x14ac:dyDescent="0.25">
      <c r="A35" s="90" t="s">
        <v>253</v>
      </c>
      <c r="B35" s="90" t="s">
        <v>11</v>
      </c>
      <c r="C35" s="7" t="s">
        <v>29</v>
      </c>
      <c r="D35" s="8" t="s">
        <v>30</v>
      </c>
      <c r="E35" s="8" t="s">
        <v>31</v>
      </c>
      <c r="F35" s="91" t="s">
        <v>15</v>
      </c>
      <c r="G35" s="91" t="s">
        <v>16</v>
      </c>
      <c r="H35" s="32"/>
      <c r="I35" s="32"/>
      <c r="J35" s="31">
        <v>2</v>
      </c>
    </row>
    <row r="36" spans="1:10" ht="96" x14ac:dyDescent="0.25">
      <c r="A36" s="90" t="s">
        <v>253</v>
      </c>
      <c r="B36" s="90" t="s">
        <v>11</v>
      </c>
      <c r="C36" s="7" t="s">
        <v>32</v>
      </c>
      <c r="D36" s="8" t="s">
        <v>33</v>
      </c>
      <c r="E36" s="8" t="s">
        <v>34</v>
      </c>
      <c r="F36" s="91" t="s">
        <v>15</v>
      </c>
      <c r="G36" s="91" t="s">
        <v>16</v>
      </c>
      <c r="H36" s="32"/>
      <c r="I36" s="32"/>
      <c r="J36" s="31">
        <v>2</v>
      </c>
    </row>
    <row r="37" spans="1:10" ht="180" x14ac:dyDescent="0.25">
      <c r="A37" s="90" t="s">
        <v>253</v>
      </c>
      <c r="B37" s="90" t="s">
        <v>35</v>
      </c>
      <c r="C37" s="7" t="s">
        <v>36</v>
      </c>
      <c r="D37" s="8" t="s">
        <v>37</v>
      </c>
      <c r="E37" s="8" t="s">
        <v>38</v>
      </c>
      <c r="F37" s="8" t="s">
        <v>39</v>
      </c>
      <c r="G37" s="8" t="s">
        <v>40</v>
      </c>
      <c r="H37" s="32"/>
      <c r="I37" s="32"/>
      <c r="J37" s="32"/>
    </row>
    <row r="38" spans="1:10" ht="108" x14ac:dyDescent="0.25">
      <c r="A38" s="90" t="s">
        <v>253</v>
      </c>
      <c r="B38" s="90" t="s">
        <v>35</v>
      </c>
      <c r="C38" s="7" t="s">
        <v>41</v>
      </c>
      <c r="D38" s="8" t="s">
        <v>42</v>
      </c>
      <c r="E38" s="8" t="s">
        <v>43</v>
      </c>
      <c r="F38" s="8" t="s">
        <v>44</v>
      </c>
      <c r="G38" s="8" t="s">
        <v>40</v>
      </c>
      <c r="H38" s="32"/>
      <c r="I38" s="32"/>
      <c r="J38" s="32"/>
    </row>
    <row r="39" spans="1:10" ht="108" x14ac:dyDescent="0.25">
      <c r="A39" s="90" t="s">
        <v>253</v>
      </c>
      <c r="B39" s="90" t="s">
        <v>35</v>
      </c>
      <c r="C39" s="7" t="s">
        <v>45</v>
      </c>
      <c r="D39" s="8" t="s">
        <v>46</v>
      </c>
      <c r="E39" s="8" t="s">
        <v>47</v>
      </c>
      <c r="F39" s="8" t="s">
        <v>48</v>
      </c>
      <c r="G39" s="8" t="s">
        <v>40</v>
      </c>
      <c r="H39" s="32"/>
      <c r="I39" s="32"/>
      <c r="J39" s="32"/>
    </row>
    <row r="40" spans="1:10" ht="108" x14ac:dyDescent="0.25">
      <c r="A40" s="90" t="s">
        <v>253</v>
      </c>
      <c r="B40" s="90" t="s">
        <v>35</v>
      </c>
      <c r="C40" s="7" t="s">
        <v>49</v>
      </c>
      <c r="D40" s="8" t="s">
        <v>50</v>
      </c>
      <c r="E40" s="8" t="s">
        <v>51</v>
      </c>
      <c r="F40" s="8" t="s">
        <v>52</v>
      </c>
      <c r="G40" s="8" t="s">
        <v>40</v>
      </c>
      <c r="H40" s="32"/>
      <c r="I40" s="32"/>
      <c r="J40" s="32"/>
    </row>
    <row r="41" spans="1:10" ht="96" x14ac:dyDescent="0.25">
      <c r="A41" s="90" t="s">
        <v>253</v>
      </c>
      <c r="B41" s="9" t="s">
        <v>53</v>
      </c>
      <c r="C41" s="7" t="s">
        <v>54</v>
      </c>
      <c r="D41" s="8" t="s">
        <v>55</v>
      </c>
      <c r="E41" s="11" t="s">
        <v>56</v>
      </c>
      <c r="F41" s="8" t="s">
        <v>57</v>
      </c>
      <c r="G41" s="8" t="s">
        <v>58</v>
      </c>
      <c r="H41" s="32"/>
      <c r="I41" s="32"/>
      <c r="J41" s="32"/>
    </row>
    <row r="42" spans="1:10" ht="108" x14ac:dyDescent="0.25">
      <c r="A42" s="90" t="s">
        <v>253</v>
      </c>
      <c r="B42" s="90" t="s">
        <v>257</v>
      </c>
      <c r="C42" s="7" t="s">
        <v>60</v>
      </c>
      <c r="D42" s="8" t="s">
        <v>61</v>
      </c>
      <c r="E42" s="8" t="s">
        <v>62</v>
      </c>
      <c r="F42" s="8" t="s">
        <v>63</v>
      </c>
      <c r="G42" s="8" t="s">
        <v>58</v>
      </c>
      <c r="H42" s="32"/>
      <c r="I42" s="32"/>
      <c r="J42" s="32"/>
    </row>
    <row r="43" spans="1:10" ht="108" x14ac:dyDescent="0.25">
      <c r="A43" s="90" t="s">
        <v>253</v>
      </c>
      <c r="B43" s="90" t="s">
        <v>257</v>
      </c>
      <c r="C43" s="7" t="s">
        <v>64</v>
      </c>
      <c r="D43" s="8" t="s">
        <v>65</v>
      </c>
      <c r="E43" s="8" t="s">
        <v>66</v>
      </c>
      <c r="F43" s="8" t="s">
        <v>67</v>
      </c>
      <c r="G43" s="8" t="s">
        <v>40</v>
      </c>
      <c r="H43" s="32"/>
      <c r="I43" s="32"/>
      <c r="J43" s="32"/>
    </row>
    <row r="44" spans="1:10" ht="72" x14ac:dyDescent="0.25">
      <c r="A44" s="90" t="s">
        <v>256</v>
      </c>
      <c r="B44" s="90" t="s">
        <v>11</v>
      </c>
      <c r="C44" s="7" t="s">
        <v>12</v>
      </c>
      <c r="D44" s="8" t="s">
        <v>13</v>
      </c>
      <c r="E44" s="8" t="s">
        <v>14</v>
      </c>
      <c r="F44" s="91" t="s">
        <v>15</v>
      </c>
      <c r="G44" s="91" t="s">
        <v>16</v>
      </c>
      <c r="H44" s="32"/>
      <c r="I44" s="31">
        <v>1</v>
      </c>
      <c r="J44" s="32"/>
    </row>
    <row r="45" spans="1:10" ht="72" x14ac:dyDescent="0.25">
      <c r="A45" s="90" t="s">
        <v>256</v>
      </c>
      <c r="B45" s="90" t="s">
        <v>11</v>
      </c>
      <c r="C45" s="7" t="s">
        <v>17</v>
      </c>
      <c r="D45" s="8" t="s">
        <v>18</v>
      </c>
      <c r="E45" s="8" t="s">
        <v>19</v>
      </c>
      <c r="F45" s="91" t="s">
        <v>15</v>
      </c>
      <c r="G45" s="91" t="s">
        <v>16</v>
      </c>
      <c r="H45" s="32"/>
      <c r="I45" s="32"/>
      <c r="J45" s="31">
        <v>2</v>
      </c>
    </row>
    <row r="46" spans="1:10" ht="60" x14ac:dyDescent="0.25">
      <c r="A46" s="90" t="s">
        <v>256</v>
      </c>
      <c r="B46" s="90" t="s">
        <v>11</v>
      </c>
      <c r="C46" s="7" t="s">
        <v>20</v>
      </c>
      <c r="D46" s="8" t="s">
        <v>21</v>
      </c>
      <c r="E46" s="8" t="s">
        <v>22</v>
      </c>
      <c r="F46" s="91" t="s">
        <v>15</v>
      </c>
      <c r="G46" s="91" t="s">
        <v>16</v>
      </c>
      <c r="H46" s="32"/>
      <c r="I46" s="32"/>
      <c r="J46" s="31">
        <v>2</v>
      </c>
    </row>
    <row r="47" spans="1:10" ht="72" x14ac:dyDescent="0.25">
      <c r="A47" s="90" t="s">
        <v>256</v>
      </c>
      <c r="B47" s="90" t="s">
        <v>11</v>
      </c>
      <c r="C47" s="7" t="s">
        <v>23</v>
      </c>
      <c r="D47" s="8" t="s">
        <v>24</v>
      </c>
      <c r="E47" s="8" t="s">
        <v>25</v>
      </c>
      <c r="F47" s="91" t="s">
        <v>15</v>
      </c>
      <c r="G47" s="91" t="s">
        <v>16</v>
      </c>
      <c r="H47" s="32"/>
      <c r="I47" s="32"/>
      <c r="J47" s="31">
        <v>2</v>
      </c>
    </row>
    <row r="48" spans="1:10" ht="60" x14ac:dyDescent="0.25">
      <c r="A48" s="90" t="s">
        <v>256</v>
      </c>
      <c r="B48" s="90" t="s">
        <v>11</v>
      </c>
      <c r="C48" s="7" t="s">
        <v>26</v>
      </c>
      <c r="D48" s="8" t="s">
        <v>27</v>
      </c>
      <c r="E48" s="8" t="s">
        <v>28</v>
      </c>
      <c r="F48" s="91" t="s">
        <v>15</v>
      </c>
      <c r="G48" s="91" t="s">
        <v>16</v>
      </c>
      <c r="H48" s="32"/>
      <c r="I48" s="32"/>
      <c r="J48" s="31">
        <v>2</v>
      </c>
    </row>
    <row r="49" spans="1:10" ht="60" x14ac:dyDescent="0.25">
      <c r="A49" s="90" t="s">
        <v>256</v>
      </c>
      <c r="B49" s="90" t="s">
        <v>11</v>
      </c>
      <c r="C49" s="7" t="s">
        <v>29</v>
      </c>
      <c r="D49" s="8" t="s">
        <v>30</v>
      </c>
      <c r="E49" s="8" t="s">
        <v>31</v>
      </c>
      <c r="F49" s="91" t="s">
        <v>15</v>
      </c>
      <c r="G49" s="91" t="s">
        <v>16</v>
      </c>
      <c r="H49" s="32"/>
      <c r="I49" s="32"/>
      <c r="J49" s="31">
        <v>2</v>
      </c>
    </row>
    <row r="50" spans="1:10" ht="96" x14ac:dyDescent="0.25">
      <c r="A50" s="90" t="s">
        <v>256</v>
      </c>
      <c r="B50" s="90" t="s">
        <v>11</v>
      </c>
      <c r="C50" s="7" t="s">
        <v>32</v>
      </c>
      <c r="D50" s="8" t="s">
        <v>33</v>
      </c>
      <c r="E50" s="8" t="s">
        <v>34</v>
      </c>
      <c r="F50" s="91" t="s">
        <v>15</v>
      </c>
      <c r="G50" s="91" t="s">
        <v>16</v>
      </c>
      <c r="H50" s="32"/>
      <c r="I50" s="32"/>
      <c r="J50" s="31">
        <v>2</v>
      </c>
    </row>
    <row r="51" spans="1:10" ht="180" x14ac:dyDescent="0.25">
      <c r="A51" s="90" t="s">
        <v>256</v>
      </c>
      <c r="B51" s="90" t="s">
        <v>35</v>
      </c>
      <c r="C51" s="7" t="s">
        <v>36</v>
      </c>
      <c r="D51" s="8" t="s">
        <v>37</v>
      </c>
      <c r="E51" s="8" t="s">
        <v>38</v>
      </c>
      <c r="F51" s="8" t="s">
        <v>39</v>
      </c>
      <c r="G51" s="8" t="s">
        <v>40</v>
      </c>
      <c r="H51" s="32"/>
      <c r="I51" s="32"/>
      <c r="J51" s="31">
        <v>2</v>
      </c>
    </row>
    <row r="52" spans="1:10" ht="108" x14ac:dyDescent="0.25">
      <c r="A52" s="90" t="s">
        <v>256</v>
      </c>
      <c r="B52" s="90" t="s">
        <v>35</v>
      </c>
      <c r="C52" s="7" t="s">
        <v>41</v>
      </c>
      <c r="D52" s="8" t="s">
        <v>42</v>
      </c>
      <c r="E52" s="8" t="s">
        <v>43</v>
      </c>
      <c r="F52" s="8" t="s">
        <v>44</v>
      </c>
      <c r="G52" s="8" t="s">
        <v>40</v>
      </c>
      <c r="H52" s="32"/>
      <c r="I52" s="32"/>
      <c r="J52" s="31">
        <v>2</v>
      </c>
    </row>
    <row r="53" spans="1:10" ht="108" x14ac:dyDescent="0.25">
      <c r="A53" s="90" t="s">
        <v>256</v>
      </c>
      <c r="B53" s="90" t="s">
        <v>35</v>
      </c>
      <c r="C53" s="7" t="s">
        <v>45</v>
      </c>
      <c r="D53" s="8" t="s">
        <v>46</v>
      </c>
      <c r="E53" s="8" t="s">
        <v>47</v>
      </c>
      <c r="F53" s="8" t="s">
        <v>48</v>
      </c>
      <c r="G53" s="8" t="s">
        <v>40</v>
      </c>
      <c r="H53" s="32"/>
      <c r="I53" s="31">
        <v>1</v>
      </c>
      <c r="J53" s="32"/>
    </row>
    <row r="54" spans="1:10" ht="108" x14ac:dyDescent="0.25">
      <c r="A54" s="90" t="s">
        <v>256</v>
      </c>
      <c r="B54" s="90" t="s">
        <v>35</v>
      </c>
      <c r="C54" s="7" t="s">
        <v>49</v>
      </c>
      <c r="D54" s="8" t="s">
        <v>50</v>
      </c>
      <c r="E54" s="8" t="s">
        <v>51</v>
      </c>
      <c r="F54" s="8" t="s">
        <v>52</v>
      </c>
      <c r="G54" s="8" t="s">
        <v>40</v>
      </c>
      <c r="H54" s="32"/>
      <c r="I54" s="32"/>
      <c r="J54" s="31">
        <v>2</v>
      </c>
    </row>
    <row r="55" spans="1:10" ht="96" x14ac:dyDescent="0.25">
      <c r="A55" s="90" t="s">
        <v>256</v>
      </c>
      <c r="B55" s="9" t="s">
        <v>53</v>
      </c>
      <c r="C55" s="7" t="s">
        <v>54</v>
      </c>
      <c r="D55" s="8" t="s">
        <v>55</v>
      </c>
      <c r="E55" s="11" t="s">
        <v>56</v>
      </c>
      <c r="F55" s="8" t="s">
        <v>57</v>
      </c>
      <c r="G55" s="8" t="s">
        <v>58</v>
      </c>
      <c r="H55" s="32"/>
      <c r="I55" s="32"/>
      <c r="J55" s="31">
        <v>2</v>
      </c>
    </row>
    <row r="56" spans="1:10" ht="108" x14ac:dyDescent="0.25">
      <c r="A56" s="90" t="s">
        <v>256</v>
      </c>
      <c r="B56" s="90" t="s">
        <v>257</v>
      </c>
      <c r="C56" s="7" t="s">
        <v>60</v>
      </c>
      <c r="D56" s="8" t="s">
        <v>61</v>
      </c>
      <c r="E56" s="8" t="s">
        <v>62</v>
      </c>
      <c r="F56" s="8" t="s">
        <v>63</v>
      </c>
      <c r="G56" s="8" t="s">
        <v>58</v>
      </c>
      <c r="H56" s="32"/>
      <c r="I56" s="32"/>
      <c r="J56" s="31">
        <v>2</v>
      </c>
    </row>
    <row r="57" spans="1:10" ht="108" x14ac:dyDescent="0.25">
      <c r="A57" s="90" t="s">
        <v>256</v>
      </c>
      <c r="B57" s="90" t="s">
        <v>257</v>
      </c>
      <c r="C57" s="7" t="s">
        <v>64</v>
      </c>
      <c r="D57" s="8" t="s">
        <v>65</v>
      </c>
      <c r="E57" s="8" t="s">
        <v>66</v>
      </c>
      <c r="F57" s="8" t="s">
        <v>67</v>
      </c>
      <c r="G57" s="8" t="s">
        <v>40</v>
      </c>
      <c r="H57" s="32"/>
      <c r="I57" s="32"/>
      <c r="J57" s="31">
        <v>2</v>
      </c>
    </row>
    <row r="58" spans="1:10" ht="72" x14ac:dyDescent="0.25">
      <c r="A58" s="90" t="s">
        <v>121</v>
      </c>
      <c r="B58" s="90" t="s">
        <v>11</v>
      </c>
      <c r="C58" s="7" t="s">
        <v>12</v>
      </c>
      <c r="D58" s="8" t="s">
        <v>13</v>
      </c>
      <c r="E58" s="8" t="s">
        <v>14</v>
      </c>
      <c r="F58" s="91" t="s">
        <v>15</v>
      </c>
      <c r="G58" s="91" t="s">
        <v>16</v>
      </c>
      <c r="H58" s="32"/>
      <c r="I58" s="32"/>
      <c r="J58" s="31">
        <v>2</v>
      </c>
    </row>
    <row r="59" spans="1:10" ht="72" x14ac:dyDescent="0.25">
      <c r="A59" s="90" t="s">
        <v>121</v>
      </c>
      <c r="B59" s="90" t="s">
        <v>11</v>
      </c>
      <c r="C59" s="7" t="s">
        <v>17</v>
      </c>
      <c r="D59" s="8" t="s">
        <v>18</v>
      </c>
      <c r="E59" s="8" t="s">
        <v>19</v>
      </c>
      <c r="F59" s="91" t="s">
        <v>15</v>
      </c>
      <c r="G59" s="91" t="s">
        <v>16</v>
      </c>
      <c r="H59" s="32"/>
      <c r="I59" s="32"/>
      <c r="J59" s="31">
        <v>2</v>
      </c>
    </row>
    <row r="60" spans="1:10" ht="60" x14ac:dyDescent="0.25">
      <c r="A60" s="90" t="s">
        <v>121</v>
      </c>
      <c r="B60" s="90" t="s">
        <v>11</v>
      </c>
      <c r="C60" s="7" t="s">
        <v>20</v>
      </c>
      <c r="D60" s="8" t="s">
        <v>21</v>
      </c>
      <c r="E60" s="8" t="s">
        <v>22</v>
      </c>
      <c r="F60" s="91" t="s">
        <v>15</v>
      </c>
      <c r="G60" s="91" t="s">
        <v>16</v>
      </c>
      <c r="H60" s="32"/>
      <c r="I60" s="32"/>
      <c r="J60" s="31">
        <v>2</v>
      </c>
    </row>
    <row r="61" spans="1:10" ht="72" x14ac:dyDescent="0.25">
      <c r="A61" s="90" t="s">
        <v>121</v>
      </c>
      <c r="B61" s="90" t="s">
        <v>11</v>
      </c>
      <c r="C61" s="7" t="s">
        <v>23</v>
      </c>
      <c r="D61" s="8" t="s">
        <v>24</v>
      </c>
      <c r="E61" s="8" t="s">
        <v>25</v>
      </c>
      <c r="F61" s="91" t="s">
        <v>15</v>
      </c>
      <c r="G61" s="91" t="s">
        <v>16</v>
      </c>
      <c r="H61" s="32"/>
      <c r="I61" s="32"/>
      <c r="J61" s="31">
        <v>2</v>
      </c>
    </row>
    <row r="62" spans="1:10" ht="60" x14ac:dyDescent="0.25">
      <c r="A62" s="90" t="s">
        <v>121</v>
      </c>
      <c r="B62" s="90" t="s">
        <v>11</v>
      </c>
      <c r="C62" s="7" t="s">
        <v>26</v>
      </c>
      <c r="D62" s="8" t="s">
        <v>27</v>
      </c>
      <c r="E62" s="8" t="s">
        <v>28</v>
      </c>
      <c r="F62" s="91" t="s">
        <v>15</v>
      </c>
      <c r="G62" s="91" t="s">
        <v>16</v>
      </c>
      <c r="H62" s="32"/>
      <c r="I62" s="32"/>
      <c r="J62" s="31">
        <v>2</v>
      </c>
    </row>
    <row r="63" spans="1:10" ht="60" x14ac:dyDescent="0.25">
      <c r="A63" s="90" t="s">
        <v>121</v>
      </c>
      <c r="B63" s="90" t="s">
        <v>11</v>
      </c>
      <c r="C63" s="7" t="s">
        <v>29</v>
      </c>
      <c r="D63" s="8" t="s">
        <v>30</v>
      </c>
      <c r="E63" s="8" t="s">
        <v>31</v>
      </c>
      <c r="F63" s="91" t="s">
        <v>15</v>
      </c>
      <c r="G63" s="91" t="s">
        <v>16</v>
      </c>
      <c r="H63" s="32"/>
      <c r="I63" s="32"/>
      <c r="J63" s="31">
        <v>2</v>
      </c>
    </row>
    <row r="64" spans="1:10" ht="96" x14ac:dyDescent="0.25">
      <c r="A64" s="90" t="s">
        <v>121</v>
      </c>
      <c r="B64" s="90" t="s">
        <v>11</v>
      </c>
      <c r="C64" s="7" t="s">
        <v>32</v>
      </c>
      <c r="D64" s="8" t="s">
        <v>33</v>
      </c>
      <c r="E64" s="8" t="s">
        <v>34</v>
      </c>
      <c r="F64" s="91" t="s">
        <v>15</v>
      </c>
      <c r="G64" s="91" t="s">
        <v>16</v>
      </c>
      <c r="H64" s="32"/>
      <c r="I64" s="32"/>
      <c r="J64" s="31">
        <v>2</v>
      </c>
    </row>
    <row r="65" spans="1:10" ht="180" x14ac:dyDescent="0.25">
      <c r="A65" s="90" t="s">
        <v>121</v>
      </c>
      <c r="B65" s="90" t="s">
        <v>35</v>
      </c>
      <c r="C65" s="7" t="s">
        <v>36</v>
      </c>
      <c r="D65" s="8" t="s">
        <v>37</v>
      </c>
      <c r="E65" s="8" t="s">
        <v>38</v>
      </c>
      <c r="F65" s="8" t="s">
        <v>39</v>
      </c>
      <c r="G65" s="8" t="s">
        <v>40</v>
      </c>
      <c r="H65" s="32"/>
      <c r="I65" s="31">
        <v>1</v>
      </c>
      <c r="J65" s="32"/>
    </row>
    <row r="66" spans="1:10" ht="108" x14ac:dyDescent="0.25">
      <c r="A66" s="90" t="s">
        <v>121</v>
      </c>
      <c r="B66" s="90" t="s">
        <v>35</v>
      </c>
      <c r="C66" s="7" t="s">
        <v>41</v>
      </c>
      <c r="D66" s="8" t="s">
        <v>42</v>
      </c>
      <c r="E66" s="8" t="s">
        <v>43</v>
      </c>
      <c r="F66" s="8" t="s">
        <v>44</v>
      </c>
      <c r="G66" s="8" t="s">
        <v>40</v>
      </c>
      <c r="H66" s="32"/>
      <c r="I66" s="32"/>
      <c r="J66" s="31">
        <v>2</v>
      </c>
    </row>
    <row r="67" spans="1:10" ht="108" x14ac:dyDescent="0.25">
      <c r="A67" s="90" t="s">
        <v>121</v>
      </c>
      <c r="B67" s="90" t="s">
        <v>35</v>
      </c>
      <c r="C67" s="7" t="s">
        <v>45</v>
      </c>
      <c r="D67" s="8" t="s">
        <v>46</v>
      </c>
      <c r="E67" s="8" t="s">
        <v>47</v>
      </c>
      <c r="F67" s="8" t="s">
        <v>48</v>
      </c>
      <c r="G67" s="8" t="s">
        <v>40</v>
      </c>
      <c r="H67" s="32"/>
      <c r="I67" s="31">
        <v>1</v>
      </c>
      <c r="J67" s="32"/>
    </row>
    <row r="68" spans="1:10" ht="108" x14ac:dyDescent="0.25">
      <c r="A68" s="90" t="s">
        <v>121</v>
      </c>
      <c r="B68" s="90" t="s">
        <v>35</v>
      </c>
      <c r="C68" s="7" t="s">
        <v>49</v>
      </c>
      <c r="D68" s="8" t="s">
        <v>50</v>
      </c>
      <c r="E68" s="8" t="s">
        <v>51</v>
      </c>
      <c r="F68" s="8" t="s">
        <v>52</v>
      </c>
      <c r="G68" s="8" t="s">
        <v>40</v>
      </c>
      <c r="H68" s="32"/>
      <c r="I68" s="32"/>
      <c r="J68" s="31">
        <v>2</v>
      </c>
    </row>
    <row r="69" spans="1:10" ht="96" x14ac:dyDescent="0.25">
      <c r="A69" s="90" t="s">
        <v>121</v>
      </c>
      <c r="B69" s="9" t="s">
        <v>53</v>
      </c>
      <c r="C69" s="7" t="s">
        <v>54</v>
      </c>
      <c r="D69" s="8" t="s">
        <v>55</v>
      </c>
      <c r="E69" s="11" t="s">
        <v>56</v>
      </c>
      <c r="F69" s="8" t="s">
        <v>57</v>
      </c>
      <c r="G69" s="8" t="s">
        <v>58</v>
      </c>
      <c r="H69" s="31">
        <v>0</v>
      </c>
      <c r="I69" s="32"/>
      <c r="J69" s="32"/>
    </row>
    <row r="70" spans="1:10" ht="108" x14ac:dyDescent="0.25">
      <c r="A70" s="90" t="s">
        <v>121</v>
      </c>
      <c r="B70" s="90" t="s">
        <v>257</v>
      </c>
      <c r="C70" s="7" t="s">
        <v>60</v>
      </c>
      <c r="D70" s="8" t="s">
        <v>61</v>
      </c>
      <c r="E70" s="8" t="s">
        <v>62</v>
      </c>
      <c r="F70" s="8" t="s">
        <v>63</v>
      </c>
      <c r="G70" s="8" t="s">
        <v>58</v>
      </c>
      <c r="H70" s="32"/>
      <c r="I70" s="32"/>
      <c r="J70" s="31">
        <v>2</v>
      </c>
    </row>
    <row r="71" spans="1:10" ht="108" x14ac:dyDescent="0.25">
      <c r="A71" s="90" t="s">
        <v>121</v>
      </c>
      <c r="B71" s="90" t="s">
        <v>257</v>
      </c>
      <c r="C71" s="7" t="s">
        <v>64</v>
      </c>
      <c r="D71" s="8" t="s">
        <v>65</v>
      </c>
      <c r="E71" s="8" t="s">
        <v>66</v>
      </c>
      <c r="F71" s="8" t="s">
        <v>67</v>
      </c>
      <c r="G71" s="8" t="s">
        <v>40</v>
      </c>
      <c r="H71" s="32"/>
      <c r="I71" s="32"/>
      <c r="J71" s="31">
        <v>2</v>
      </c>
    </row>
    <row r="72" spans="1:10" ht="72" x14ac:dyDescent="0.25">
      <c r="A72" s="90" t="s">
        <v>258</v>
      </c>
      <c r="B72" s="90" t="s">
        <v>11</v>
      </c>
      <c r="C72" s="7" t="s">
        <v>12</v>
      </c>
      <c r="D72" s="8" t="s">
        <v>13</v>
      </c>
      <c r="E72" s="8" t="s">
        <v>14</v>
      </c>
      <c r="F72" s="91" t="s">
        <v>15</v>
      </c>
      <c r="G72" s="91" t="s">
        <v>16</v>
      </c>
      <c r="H72" s="32"/>
      <c r="I72" s="31">
        <v>1</v>
      </c>
      <c r="J72" s="32"/>
    </row>
    <row r="73" spans="1:10" ht="72" x14ac:dyDescent="0.25">
      <c r="A73" s="90" t="s">
        <v>258</v>
      </c>
      <c r="B73" s="90" t="s">
        <v>11</v>
      </c>
      <c r="C73" s="7" t="s">
        <v>17</v>
      </c>
      <c r="D73" s="8" t="s">
        <v>18</v>
      </c>
      <c r="E73" s="8" t="s">
        <v>19</v>
      </c>
      <c r="F73" s="91" t="s">
        <v>15</v>
      </c>
      <c r="G73" s="91" t="s">
        <v>16</v>
      </c>
      <c r="H73" s="32"/>
      <c r="I73" s="32"/>
      <c r="J73" s="31">
        <v>2</v>
      </c>
    </row>
    <row r="74" spans="1:10" ht="60" x14ac:dyDescent="0.25">
      <c r="A74" s="90" t="s">
        <v>258</v>
      </c>
      <c r="B74" s="90" t="s">
        <v>11</v>
      </c>
      <c r="C74" s="7" t="s">
        <v>20</v>
      </c>
      <c r="D74" s="8" t="s">
        <v>21</v>
      </c>
      <c r="E74" s="8" t="s">
        <v>22</v>
      </c>
      <c r="F74" s="91" t="s">
        <v>15</v>
      </c>
      <c r="G74" s="91" t="s">
        <v>16</v>
      </c>
      <c r="H74" s="32"/>
      <c r="I74" s="31">
        <v>1</v>
      </c>
      <c r="J74" s="32"/>
    </row>
    <row r="75" spans="1:10" ht="72" x14ac:dyDescent="0.25">
      <c r="A75" s="90" t="s">
        <v>258</v>
      </c>
      <c r="B75" s="90" t="s">
        <v>11</v>
      </c>
      <c r="C75" s="7" t="s">
        <v>23</v>
      </c>
      <c r="D75" s="8" t="s">
        <v>24</v>
      </c>
      <c r="E75" s="8" t="s">
        <v>25</v>
      </c>
      <c r="F75" s="91" t="s">
        <v>15</v>
      </c>
      <c r="G75" s="91" t="s">
        <v>16</v>
      </c>
      <c r="H75" s="32"/>
      <c r="I75" s="32"/>
      <c r="J75" s="31">
        <v>2</v>
      </c>
    </row>
    <row r="76" spans="1:10" ht="60" x14ac:dyDescent="0.25">
      <c r="A76" s="90" t="s">
        <v>258</v>
      </c>
      <c r="B76" s="90" t="s">
        <v>11</v>
      </c>
      <c r="C76" s="7" t="s">
        <v>26</v>
      </c>
      <c r="D76" s="8" t="s">
        <v>27</v>
      </c>
      <c r="E76" s="8" t="s">
        <v>28</v>
      </c>
      <c r="F76" s="91" t="s">
        <v>15</v>
      </c>
      <c r="G76" s="91" t="s">
        <v>16</v>
      </c>
      <c r="H76" s="32"/>
      <c r="I76" s="32"/>
      <c r="J76" s="31">
        <v>2</v>
      </c>
    </row>
    <row r="77" spans="1:10" ht="60" x14ac:dyDescent="0.25">
      <c r="A77" s="90" t="s">
        <v>258</v>
      </c>
      <c r="B77" s="90" t="s">
        <v>11</v>
      </c>
      <c r="C77" s="7" t="s">
        <v>29</v>
      </c>
      <c r="D77" s="8" t="s">
        <v>30</v>
      </c>
      <c r="E77" s="8" t="s">
        <v>31</v>
      </c>
      <c r="F77" s="91" t="s">
        <v>15</v>
      </c>
      <c r="G77" s="91" t="s">
        <v>16</v>
      </c>
      <c r="H77" s="32"/>
      <c r="I77" s="32"/>
      <c r="J77" s="31">
        <v>2</v>
      </c>
    </row>
    <row r="78" spans="1:10" ht="96" x14ac:dyDescent="0.25">
      <c r="A78" s="90" t="s">
        <v>258</v>
      </c>
      <c r="B78" s="90" t="s">
        <v>11</v>
      </c>
      <c r="C78" s="7" t="s">
        <v>32</v>
      </c>
      <c r="D78" s="8" t="s">
        <v>33</v>
      </c>
      <c r="E78" s="8" t="s">
        <v>34</v>
      </c>
      <c r="F78" s="91" t="s">
        <v>15</v>
      </c>
      <c r="G78" s="91" t="s">
        <v>16</v>
      </c>
      <c r="H78" s="32"/>
      <c r="I78" s="32"/>
      <c r="J78" s="31">
        <v>2</v>
      </c>
    </row>
    <row r="79" spans="1:10" ht="180" x14ac:dyDescent="0.25">
      <c r="A79" s="90" t="s">
        <v>258</v>
      </c>
      <c r="B79" s="90" t="s">
        <v>35</v>
      </c>
      <c r="C79" s="7" t="s">
        <v>36</v>
      </c>
      <c r="D79" s="8" t="s">
        <v>37</v>
      </c>
      <c r="E79" s="8" t="s">
        <v>38</v>
      </c>
      <c r="F79" s="8" t="s">
        <v>39</v>
      </c>
      <c r="G79" s="8" t="s">
        <v>40</v>
      </c>
      <c r="H79" s="32"/>
      <c r="I79" s="31">
        <v>1</v>
      </c>
      <c r="J79" s="32"/>
    </row>
    <row r="80" spans="1:10" ht="108" x14ac:dyDescent="0.25">
      <c r="A80" s="90" t="s">
        <v>258</v>
      </c>
      <c r="B80" s="90" t="s">
        <v>35</v>
      </c>
      <c r="C80" s="7" t="s">
        <v>41</v>
      </c>
      <c r="D80" s="8" t="s">
        <v>42</v>
      </c>
      <c r="E80" s="8" t="s">
        <v>43</v>
      </c>
      <c r="F80" s="8" t="s">
        <v>44</v>
      </c>
      <c r="G80" s="8" t="s">
        <v>40</v>
      </c>
      <c r="H80" s="32"/>
      <c r="I80" s="32"/>
      <c r="J80" s="31">
        <v>2</v>
      </c>
    </row>
    <row r="81" spans="1:10" ht="108" x14ac:dyDescent="0.25">
      <c r="A81" s="90" t="s">
        <v>258</v>
      </c>
      <c r="B81" s="90" t="s">
        <v>35</v>
      </c>
      <c r="C81" s="7" t="s">
        <v>45</v>
      </c>
      <c r="D81" s="8" t="s">
        <v>46</v>
      </c>
      <c r="E81" s="8" t="s">
        <v>47</v>
      </c>
      <c r="F81" s="8" t="s">
        <v>48</v>
      </c>
      <c r="G81" s="8" t="s">
        <v>40</v>
      </c>
      <c r="H81" s="32"/>
      <c r="I81" s="32"/>
      <c r="J81" s="31">
        <v>2</v>
      </c>
    </row>
    <row r="82" spans="1:10" ht="108" x14ac:dyDescent="0.25">
      <c r="A82" s="90" t="s">
        <v>258</v>
      </c>
      <c r="B82" s="90" t="s">
        <v>35</v>
      </c>
      <c r="C82" s="7" t="s">
        <v>49</v>
      </c>
      <c r="D82" s="8" t="s">
        <v>50</v>
      </c>
      <c r="E82" s="8" t="s">
        <v>51</v>
      </c>
      <c r="F82" s="8" t="s">
        <v>52</v>
      </c>
      <c r="G82" s="8" t="s">
        <v>40</v>
      </c>
      <c r="H82" s="32"/>
      <c r="I82" s="32"/>
      <c r="J82" s="31">
        <v>2</v>
      </c>
    </row>
    <row r="83" spans="1:10" ht="96" x14ac:dyDescent="0.25">
      <c r="A83" s="90" t="s">
        <v>258</v>
      </c>
      <c r="B83" s="9" t="s">
        <v>53</v>
      </c>
      <c r="C83" s="7" t="s">
        <v>54</v>
      </c>
      <c r="D83" s="8" t="s">
        <v>55</v>
      </c>
      <c r="E83" s="11" t="s">
        <v>56</v>
      </c>
      <c r="F83" s="8" t="s">
        <v>57</v>
      </c>
      <c r="G83" s="8" t="s">
        <v>58</v>
      </c>
      <c r="H83" s="32">
        <v>0</v>
      </c>
      <c r="I83" s="31">
        <v>1</v>
      </c>
      <c r="J83" s="32"/>
    </row>
    <row r="84" spans="1:10" ht="108" x14ac:dyDescent="0.25">
      <c r="A84" s="90" t="s">
        <v>258</v>
      </c>
      <c r="B84" s="90" t="s">
        <v>257</v>
      </c>
      <c r="C84" s="7" t="s">
        <v>60</v>
      </c>
      <c r="D84" s="8" t="s">
        <v>61</v>
      </c>
      <c r="E84" s="8" t="s">
        <v>62</v>
      </c>
      <c r="F84" s="8" t="s">
        <v>63</v>
      </c>
      <c r="G84" s="8" t="s">
        <v>58</v>
      </c>
      <c r="H84" s="32"/>
      <c r="I84" s="32"/>
      <c r="J84" s="31">
        <v>2</v>
      </c>
    </row>
    <row r="85" spans="1:10" ht="108" x14ac:dyDescent="0.25">
      <c r="A85" s="90" t="s">
        <v>258</v>
      </c>
      <c r="B85" s="90" t="s">
        <v>257</v>
      </c>
      <c r="C85" s="7" t="s">
        <v>64</v>
      </c>
      <c r="D85" s="8" t="s">
        <v>65</v>
      </c>
      <c r="E85" s="8" t="s">
        <v>66</v>
      </c>
      <c r="F85" s="8" t="s">
        <v>67</v>
      </c>
      <c r="G85" s="8" t="s">
        <v>40</v>
      </c>
      <c r="H85" s="32"/>
      <c r="I85" s="32"/>
      <c r="J85" s="31">
        <v>2</v>
      </c>
    </row>
    <row r="86" spans="1:10" ht="72" x14ac:dyDescent="0.25">
      <c r="A86" s="90" t="s">
        <v>93</v>
      </c>
      <c r="B86" s="90" t="s">
        <v>11</v>
      </c>
      <c r="C86" s="7" t="s">
        <v>12</v>
      </c>
      <c r="D86" s="8" t="s">
        <v>13</v>
      </c>
      <c r="E86" s="8" t="s">
        <v>14</v>
      </c>
      <c r="F86" s="91" t="s">
        <v>15</v>
      </c>
      <c r="G86" s="91" t="s">
        <v>16</v>
      </c>
      <c r="H86" s="31">
        <v>0</v>
      </c>
      <c r="I86" s="32"/>
      <c r="J86" s="32"/>
    </row>
    <row r="87" spans="1:10" ht="72" x14ac:dyDescent="0.25">
      <c r="A87" s="90" t="s">
        <v>93</v>
      </c>
      <c r="B87" s="90" t="s">
        <v>11</v>
      </c>
      <c r="C87" s="7" t="s">
        <v>17</v>
      </c>
      <c r="D87" s="8" t="s">
        <v>18</v>
      </c>
      <c r="E87" s="8" t="s">
        <v>19</v>
      </c>
      <c r="F87" s="91" t="s">
        <v>15</v>
      </c>
      <c r="G87" s="91" t="s">
        <v>16</v>
      </c>
      <c r="H87" s="31">
        <v>0</v>
      </c>
      <c r="I87" s="32"/>
      <c r="J87" s="32"/>
    </row>
    <row r="88" spans="1:10" ht="60" x14ac:dyDescent="0.25">
      <c r="A88" s="90" t="s">
        <v>93</v>
      </c>
      <c r="B88" s="90" t="s">
        <v>11</v>
      </c>
      <c r="C88" s="7" t="s">
        <v>20</v>
      </c>
      <c r="D88" s="8" t="s">
        <v>21</v>
      </c>
      <c r="E88" s="8" t="s">
        <v>22</v>
      </c>
      <c r="F88" s="91" t="s">
        <v>15</v>
      </c>
      <c r="G88" s="91" t="s">
        <v>16</v>
      </c>
      <c r="H88" s="31">
        <v>0</v>
      </c>
      <c r="I88" s="32"/>
      <c r="J88" s="32"/>
    </row>
    <row r="89" spans="1:10" ht="72" x14ac:dyDescent="0.25">
      <c r="A89" s="90" t="s">
        <v>93</v>
      </c>
      <c r="B89" s="90" t="s">
        <v>11</v>
      </c>
      <c r="C89" s="7" t="s">
        <v>23</v>
      </c>
      <c r="D89" s="8" t="s">
        <v>24</v>
      </c>
      <c r="E89" s="8" t="s">
        <v>25</v>
      </c>
      <c r="F89" s="91" t="s">
        <v>15</v>
      </c>
      <c r="G89" s="91" t="s">
        <v>16</v>
      </c>
      <c r="H89" s="31">
        <v>0</v>
      </c>
      <c r="I89" s="32"/>
      <c r="J89" s="32"/>
    </row>
    <row r="90" spans="1:10" ht="60" x14ac:dyDescent="0.25">
      <c r="A90" s="90" t="s">
        <v>93</v>
      </c>
      <c r="B90" s="90" t="s">
        <v>11</v>
      </c>
      <c r="C90" s="7" t="s">
        <v>26</v>
      </c>
      <c r="D90" s="8" t="s">
        <v>27</v>
      </c>
      <c r="E90" s="8" t="s">
        <v>28</v>
      </c>
      <c r="F90" s="91" t="s">
        <v>15</v>
      </c>
      <c r="G90" s="91" t="s">
        <v>16</v>
      </c>
      <c r="H90" s="31">
        <v>0</v>
      </c>
      <c r="I90" s="32"/>
      <c r="J90" s="32"/>
    </row>
    <row r="91" spans="1:10" ht="60" x14ac:dyDescent="0.25">
      <c r="A91" s="90" t="s">
        <v>93</v>
      </c>
      <c r="B91" s="90" t="s">
        <v>11</v>
      </c>
      <c r="C91" s="7" t="s">
        <v>29</v>
      </c>
      <c r="D91" s="8" t="s">
        <v>30</v>
      </c>
      <c r="E91" s="8" t="s">
        <v>31</v>
      </c>
      <c r="F91" s="91" t="s">
        <v>15</v>
      </c>
      <c r="G91" s="91" t="s">
        <v>16</v>
      </c>
      <c r="H91" s="32"/>
      <c r="I91" s="31">
        <v>1</v>
      </c>
      <c r="J91" s="32"/>
    </row>
    <row r="92" spans="1:10" ht="96" x14ac:dyDescent="0.25">
      <c r="A92" s="90" t="s">
        <v>93</v>
      </c>
      <c r="B92" s="90" t="s">
        <v>11</v>
      </c>
      <c r="C92" s="7" t="s">
        <v>32</v>
      </c>
      <c r="D92" s="8" t="s">
        <v>33</v>
      </c>
      <c r="E92" s="8" t="s">
        <v>34</v>
      </c>
      <c r="F92" s="91" t="s">
        <v>15</v>
      </c>
      <c r="G92" s="91" t="s">
        <v>16</v>
      </c>
      <c r="H92" s="31">
        <v>0</v>
      </c>
      <c r="I92" s="32"/>
      <c r="J92" s="32"/>
    </row>
    <row r="93" spans="1:10" ht="180" x14ac:dyDescent="0.25">
      <c r="A93" s="90" t="s">
        <v>93</v>
      </c>
      <c r="B93" s="90" t="s">
        <v>35</v>
      </c>
      <c r="C93" s="7" t="s">
        <v>36</v>
      </c>
      <c r="D93" s="8" t="s">
        <v>37</v>
      </c>
      <c r="E93" s="8" t="s">
        <v>38</v>
      </c>
      <c r="F93" s="8" t="s">
        <v>39</v>
      </c>
      <c r="G93" s="8" t="s">
        <v>40</v>
      </c>
      <c r="H93" s="32">
        <v>0</v>
      </c>
      <c r="I93" s="32"/>
      <c r="J93" s="32"/>
    </row>
    <row r="94" spans="1:10" ht="108" x14ac:dyDescent="0.25">
      <c r="A94" s="90" t="s">
        <v>93</v>
      </c>
      <c r="B94" s="90" t="s">
        <v>35</v>
      </c>
      <c r="C94" s="7" t="s">
        <v>41</v>
      </c>
      <c r="D94" s="8" t="s">
        <v>42</v>
      </c>
      <c r="E94" s="8" t="s">
        <v>43</v>
      </c>
      <c r="F94" s="8" t="s">
        <v>44</v>
      </c>
      <c r="G94" s="8" t="s">
        <v>40</v>
      </c>
      <c r="H94" s="32"/>
      <c r="I94" s="32"/>
      <c r="J94" s="31">
        <v>2</v>
      </c>
    </row>
    <row r="95" spans="1:10" ht="108" x14ac:dyDescent="0.25">
      <c r="A95" s="90" t="s">
        <v>93</v>
      </c>
      <c r="B95" s="90" t="s">
        <v>35</v>
      </c>
      <c r="C95" s="7" t="s">
        <v>45</v>
      </c>
      <c r="D95" s="8" t="s">
        <v>46</v>
      </c>
      <c r="E95" s="8" t="s">
        <v>47</v>
      </c>
      <c r="F95" s="8" t="s">
        <v>48</v>
      </c>
      <c r="G95" s="8" t="s">
        <v>40</v>
      </c>
      <c r="H95" s="32">
        <v>0</v>
      </c>
      <c r="I95" s="32"/>
      <c r="J95" s="32"/>
    </row>
    <row r="96" spans="1:10" ht="108" x14ac:dyDescent="0.25">
      <c r="A96" s="90" t="s">
        <v>93</v>
      </c>
      <c r="B96" s="90" t="s">
        <v>35</v>
      </c>
      <c r="C96" s="7" t="s">
        <v>49</v>
      </c>
      <c r="D96" s="8" t="s">
        <v>50</v>
      </c>
      <c r="E96" s="8" t="s">
        <v>51</v>
      </c>
      <c r="F96" s="8" t="s">
        <v>52</v>
      </c>
      <c r="G96" s="8" t="s">
        <v>40</v>
      </c>
      <c r="H96" s="32"/>
      <c r="I96" s="31">
        <v>1</v>
      </c>
      <c r="J96" s="32"/>
    </row>
    <row r="97" spans="1:10" ht="96" x14ac:dyDescent="0.25">
      <c r="A97" s="90" t="s">
        <v>93</v>
      </c>
      <c r="B97" s="9" t="s">
        <v>53</v>
      </c>
      <c r="C97" s="7" t="s">
        <v>54</v>
      </c>
      <c r="D97" s="8" t="s">
        <v>55</v>
      </c>
      <c r="E97" s="11" t="s">
        <v>56</v>
      </c>
      <c r="F97" s="8" t="s">
        <v>57</v>
      </c>
      <c r="G97" s="8" t="s">
        <v>58</v>
      </c>
      <c r="H97" s="32">
        <v>0</v>
      </c>
      <c r="I97" s="31">
        <v>1</v>
      </c>
      <c r="J97" s="32"/>
    </row>
    <row r="98" spans="1:10" ht="108" x14ac:dyDescent="0.25">
      <c r="A98" s="90" t="s">
        <v>93</v>
      </c>
      <c r="B98" s="90" t="s">
        <v>257</v>
      </c>
      <c r="C98" s="7" t="s">
        <v>60</v>
      </c>
      <c r="D98" s="8" t="s">
        <v>61</v>
      </c>
      <c r="E98" s="8" t="s">
        <v>62</v>
      </c>
      <c r="F98" s="8" t="s">
        <v>63</v>
      </c>
      <c r="G98" s="8" t="s">
        <v>58</v>
      </c>
      <c r="H98" s="32"/>
      <c r="I98" s="32"/>
      <c r="J98" s="31">
        <v>2</v>
      </c>
    </row>
    <row r="99" spans="1:10" ht="108" x14ac:dyDescent="0.25">
      <c r="A99" s="90" t="s">
        <v>93</v>
      </c>
      <c r="B99" s="90" t="s">
        <v>257</v>
      </c>
      <c r="C99" s="7" t="s">
        <v>64</v>
      </c>
      <c r="D99" s="8" t="s">
        <v>65</v>
      </c>
      <c r="E99" s="8" t="s">
        <v>66</v>
      </c>
      <c r="F99" s="8" t="s">
        <v>67</v>
      </c>
      <c r="G99" s="8" t="s">
        <v>40</v>
      </c>
      <c r="H99" s="32"/>
      <c r="I99" s="31">
        <v>1</v>
      </c>
      <c r="J99" s="32"/>
    </row>
    <row r="100" spans="1:10" ht="72" x14ac:dyDescent="0.25">
      <c r="A100" s="90" t="s">
        <v>259</v>
      </c>
      <c r="B100" s="90" t="s">
        <v>11</v>
      </c>
      <c r="C100" s="7" t="s">
        <v>12</v>
      </c>
      <c r="D100" s="8" t="s">
        <v>13</v>
      </c>
      <c r="E100" s="8" t="s">
        <v>14</v>
      </c>
      <c r="F100" s="91" t="s">
        <v>15</v>
      </c>
      <c r="G100" s="91" t="s">
        <v>16</v>
      </c>
      <c r="H100" s="32"/>
      <c r="I100" s="31">
        <v>1</v>
      </c>
      <c r="J100" s="32"/>
    </row>
    <row r="101" spans="1:10" ht="72" x14ac:dyDescent="0.25">
      <c r="A101" s="90" t="s">
        <v>259</v>
      </c>
      <c r="B101" s="90" t="s">
        <v>11</v>
      </c>
      <c r="C101" s="7" t="s">
        <v>17</v>
      </c>
      <c r="D101" s="8" t="s">
        <v>18</v>
      </c>
      <c r="E101" s="8" t="s">
        <v>19</v>
      </c>
      <c r="F101" s="91" t="s">
        <v>15</v>
      </c>
      <c r="G101" s="91" t="s">
        <v>16</v>
      </c>
      <c r="H101" s="32"/>
      <c r="I101" s="32"/>
      <c r="J101" s="31">
        <v>2</v>
      </c>
    </row>
    <row r="102" spans="1:10" ht="60" x14ac:dyDescent="0.25">
      <c r="A102" s="90" t="s">
        <v>259</v>
      </c>
      <c r="B102" s="90" t="s">
        <v>11</v>
      </c>
      <c r="C102" s="7" t="s">
        <v>20</v>
      </c>
      <c r="D102" s="8" t="s">
        <v>21</v>
      </c>
      <c r="E102" s="8" t="s">
        <v>22</v>
      </c>
      <c r="F102" s="91" t="s">
        <v>15</v>
      </c>
      <c r="G102" s="91" t="s">
        <v>16</v>
      </c>
      <c r="H102" s="32"/>
      <c r="I102" s="31">
        <v>1</v>
      </c>
      <c r="J102" s="32"/>
    </row>
    <row r="103" spans="1:10" ht="72" x14ac:dyDescent="0.25">
      <c r="A103" s="90" t="s">
        <v>259</v>
      </c>
      <c r="B103" s="90" t="s">
        <v>11</v>
      </c>
      <c r="C103" s="7" t="s">
        <v>23</v>
      </c>
      <c r="D103" s="8" t="s">
        <v>24</v>
      </c>
      <c r="E103" s="8" t="s">
        <v>25</v>
      </c>
      <c r="F103" s="91" t="s">
        <v>15</v>
      </c>
      <c r="G103" s="91" t="s">
        <v>16</v>
      </c>
      <c r="H103" s="32"/>
      <c r="I103" s="32"/>
      <c r="J103" s="31">
        <v>2</v>
      </c>
    </row>
    <row r="104" spans="1:10" ht="60" x14ac:dyDescent="0.25">
      <c r="A104" s="90" t="s">
        <v>259</v>
      </c>
      <c r="B104" s="90" t="s">
        <v>11</v>
      </c>
      <c r="C104" s="7" t="s">
        <v>26</v>
      </c>
      <c r="D104" s="8" t="s">
        <v>27</v>
      </c>
      <c r="E104" s="8" t="s">
        <v>28</v>
      </c>
      <c r="F104" s="91" t="s">
        <v>15</v>
      </c>
      <c r="G104" s="91" t="s">
        <v>16</v>
      </c>
      <c r="H104" s="32"/>
      <c r="I104" s="32"/>
      <c r="J104" s="31">
        <v>2</v>
      </c>
    </row>
    <row r="105" spans="1:10" ht="60" x14ac:dyDescent="0.25">
      <c r="A105" s="90" t="s">
        <v>259</v>
      </c>
      <c r="B105" s="90" t="s">
        <v>11</v>
      </c>
      <c r="C105" s="7" t="s">
        <v>29</v>
      </c>
      <c r="D105" s="8" t="s">
        <v>30</v>
      </c>
      <c r="E105" s="8" t="s">
        <v>31</v>
      </c>
      <c r="F105" s="91" t="s">
        <v>15</v>
      </c>
      <c r="G105" s="91" t="s">
        <v>16</v>
      </c>
      <c r="H105" s="32"/>
      <c r="I105" s="32"/>
      <c r="J105" s="31">
        <v>2</v>
      </c>
    </row>
    <row r="106" spans="1:10" ht="96" x14ac:dyDescent="0.25">
      <c r="A106" s="90" t="s">
        <v>259</v>
      </c>
      <c r="B106" s="90" t="s">
        <v>11</v>
      </c>
      <c r="C106" s="7" t="s">
        <v>32</v>
      </c>
      <c r="D106" s="8" t="s">
        <v>33</v>
      </c>
      <c r="E106" s="8" t="s">
        <v>34</v>
      </c>
      <c r="F106" s="91" t="s">
        <v>15</v>
      </c>
      <c r="G106" s="91" t="s">
        <v>16</v>
      </c>
      <c r="H106" s="32"/>
      <c r="I106" s="32"/>
      <c r="J106" s="31">
        <v>2</v>
      </c>
    </row>
    <row r="107" spans="1:10" ht="180" x14ac:dyDescent="0.25">
      <c r="A107" s="90" t="s">
        <v>259</v>
      </c>
      <c r="B107" s="90" t="s">
        <v>35</v>
      </c>
      <c r="C107" s="7" t="s">
        <v>36</v>
      </c>
      <c r="D107" s="8" t="s">
        <v>37</v>
      </c>
      <c r="E107" s="8" t="s">
        <v>38</v>
      </c>
      <c r="F107" s="8" t="s">
        <v>39</v>
      </c>
      <c r="G107" s="8" t="s">
        <v>40</v>
      </c>
      <c r="H107" s="32"/>
      <c r="I107" s="31">
        <v>1</v>
      </c>
      <c r="J107" s="32"/>
    </row>
    <row r="108" spans="1:10" ht="108" x14ac:dyDescent="0.25">
      <c r="A108" s="90" t="s">
        <v>259</v>
      </c>
      <c r="B108" s="90" t="s">
        <v>35</v>
      </c>
      <c r="C108" s="7" t="s">
        <v>41</v>
      </c>
      <c r="D108" s="8" t="s">
        <v>42</v>
      </c>
      <c r="E108" s="8" t="s">
        <v>43</v>
      </c>
      <c r="F108" s="8" t="s">
        <v>44</v>
      </c>
      <c r="G108" s="8" t="s">
        <v>40</v>
      </c>
      <c r="H108" s="32"/>
      <c r="I108" s="32"/>
      <c r="J108" s="31">
        <v>2</v>
      </c>
    </row>
    <row r="109" spans="1:10" ht="108" x14ac:dyDescent="0.25">
      <c r="A109" s="90" t="s">
        <v>259</v>
      </c>
      <c r="B109" s="90" t="s">
        <v>35</v>
      </c>
      <c r="C109" s="7" t="s">
        <v>45</v>
      </c>
      <c r="D109" s="8" t="s">
        <v>46</v>
      </c>
      <c r="E109" s="8" t="s">
        <v>47</v>
      </c>
      <c r="F109" s="8" t="s">
        <v>48</v>
      </c>
      <c r="G109" s="8" t="s">
        <v>40</v>
      </c>
      <c r="H109" s="32"/>
      <c r="I109" s="31">
        <v>1</v>
      </c>
      <c r="J109" s="32"/>
    </row>
    <row r="110" spans="1:10" ht="108" x14ac:dyDescent="0.25">
      <c r="A110" s="90" t="s">
        <v>259</v>
      </c>
      <c r="B110" s="90" t="s">
        <v>35</v>
      </c>
      <c r="C110" s="7" t="s">
        <v>49</v>
      </c>
      <c r="D110" s="8" t="s">
        <v>50</v>
      </c>
      <c r="E110" s="8" t="s">
        <v>51</v>
      </c>
      <c r="F110" s="8" t="s">
        <v>52</v>
      </c>
      <c r="G110" s="8" t="s">
        <v>40</v>
      </c>
      <c r="H110" s="32"/>
      <c r="I110" s="32"/>
      <c r="J110" s="31">
        <v>2</v>
      </c>
    </row>
    <row r="111" spans="1:10" ht="96" x14ac:dyDescent="0.25">
      <c r="A111" s="90" t="s">
        <v>259</v>
      </c>
      <c r="B111" s="9" t="s">
        <v>53</v>
      </c>
      <c r="C111" s="7" t="s">
        <v>54</v>
      </c>
      <c r="D111" s="8" t="s">
        <v>55</v>
      </c>
      <c r="E111" s="11" t="s">
        <v>56</v>
      </c>
      <c r="F111" s="8" t="s">
        <v>57</v>
      </c>
      <c r="G111" s="8" t="s">
        <v>58</v>
      </c>
      <c r="H111" s="32"/>
      <c r="I111" s="31">
        <v>1</v>
      </c>
      <c r="J111" s="32"/>
    </row>
    <row r="112" spans="1:10" ht="108" x14ac:dyDescent="0.25">
      <c r="A112" s="90" t="s">
        <v>259</v>
      </c>
      <c r="B112" s="90" t="s">
        <v>257</v>
      </c>
      <c r="C112" s="7" t="s">
        <v>60</v>
      </c>
      <c r="D112" s="8" t="s">
        <v>61</v>
      </c>
      <c r="E112" s="8" t="s">
        <v>62</v>
      </c>
      <c r="F112" s="8" t="s">
        <v>63</v>
      </c>
      <c r="G112" s="8" t="s">
        <v>58</v>
      </c>
      <c r="H112" s="32"/>
      <c r="I112" s="32"/>
      <c r="J112" s="31">
        <v>2</v>
      </c>
    </row>
    <row r="113" spans="1:10" ht="108" x14ac:dyDescent="0.25">
      <c r="A113" s="90" t="s">
        <v>259</v>
      </c>
      <c r="B113" s="90" t="s">
        <v>257</v>
      </c>
      <c r="C113" s="7" t="s">
        <v>64</v>
      </c>
      <c r="D113" s="8" t="s">
        <v>65</v>
      </c>
      <c r="E113" s="8" t="s">
        <v>66</v>
      </c>
      <c r="F113" s="8" t="s">
        <v>67</v>
      </c>
      <c r="G113" s="8" t="s">
        <v>40</v>
      </c>
      <c r="H113" s="32"/>
      <c r="I113" s="32"/>
      <c r="J113" s="31">
        <v>2</v>
      </c>
    </row>
    <row r="114" spans="1:10" ht="72" x14ac:dyDescent="0.25">
      <c r="A114" s="90" t="s">
        <v>260</v>
      </c>
      <c r="B114" s="90" t="s">
        <v>11</v>
      </c>
      <c r="C114" s="7" t="s">
        <v>12</v>
      </c>
      <c r="D114" s="8" t="s">
        <v>13</v>
      </c>
      <c r="E114" s="8" t="s">
        <v>14</v>
      </c>
      <c r="F114" s="91" t="s">
        <v>15</v>
      </c>
      <c r="G114" s="91" t="s">
        <v>16</v>
      </c>
      <c r="H114" s="32"/>
      <c r="I114" s="31">
        <v>1</v>
      </c>
      <c r="J114" s="32"/>
    </row>
    <row r="115" spans="1:10" ht="72" x14ac:dyDescent="0.25">
      <c r="A115" s="90" t="s">
        <v>260</v>
      </c>
      <c r="B115" s="90" t="s">
        <v>11</v>
      </c>
      <c r="C115" s="7" t="s">
        <v>17</v>
      </c>
      <c r="D115" s="8" t="s">
        <v>18</v>
      </c>
      <c r="E115" s="8" t="s">
        <v>19</v>
      </c>
      <c r="F115" s="91" t="s">
        <v>15</v>
      </c>
      <c r="G115" s="91" t="s">
        <v>16</v>
      </c>
      <c r="H115" s="32"/>
      <c r="I115" s="32"/>
      <c r="J115" s="31">
        <v>2</v>
      </c>
    </row>
    <row r="116" spans="1:10" ht="60" x14ac:dyDescent="0.25">
      <c r="A116" s="90" t="s">
        <v>260</v>
      </c>
      <c r="B116" s="90" t="s">
        <v>11</v>
      </c>
      <c r="C116" s="7" t="s">
        <v>20</v>
      </c>
      <c r="D116" s="8" t="s">
        <v>21</v>
      </c>
      <c r="E116" s="8" t="s">
        <v>22</v>
      </c>
      <c r="F116" s="91" t="s">
        <v>15</v>
      </c>
      <c r="G116" s="91" t="s">
        <v>16</v>
      </c>
      <c r="H116" s="31">
        <v>0</v>
      </c>
      <c r="I116" s="32"/>
      <c r="J116" s="32"/>
    </row>
    <row r="117" spans="1:10" ht="72" x14ac:dyDescent="0.25">
      <c r="A117" s="90" t="s">
        <v>260</v>
      </c>
      <c r="B117" s="90" t="s">
        <v>11</v>
      </c>
      <c r="C117" s="7" t="s">
        <v>23</v>
      </c>
      <c r="D117" s="8" t="s">
        <v>24</v>
      </c>
      <c r="E117" s="8" t="s">
        <v>25</v>
      </c>
      <c r="F117" s="91" t="s">
        <v>15</v>
      </c>
      <c r="G117" s="91" t="s">
        <v>16</v>
      </c>
      <c r="H117" s="32"/>
      <c r="I117" s="32"/>
      <c r="J117" s="31">
        <v>2</v>
      </c>
    </row>
    <row r="118" spans="1:10" ht="60" x14ac:dyDescent="0.25">
      <c r="A118" s="90" t="s">
        <v>260</v>
      </c>
      <c r="B118" s="90" t="s">
        <v>11</v>
      </c>
      <c r="C118" s="7" t="s">
        <v>26</v>
      </c>
      <c r="D118" s="8" t="s">
        <v>27</v>
      </c>
      <c r="E118" s="8" t="s">
        <v>28</v>
      </c>
      <c r="F118" s="91" t="s">
        <v>15</v>
      </c>
      <c r="G118" s="91" t="s">
        <v>16</v>
      </c>
      <c r="H118" s="32"/>
      <c r="I118" s="31">
        <v>1</v>
      </c>
      <c r="J118" s="32"/>
    </row>
    <row r="119" spans="1:10" ht="60" x14ac:dyDescent="0.25">
      <c r="A119" s="90" t="s">
        <v>260</v>
      </c>
      <c r="B119" s="90" t="s">
        <v>11</v>
      </c>
      <c r="C119" s="7" t="s">
        <v>29</v>
      </c>
      <c r="D119" s="8" t="s">
        <v>30</v>
      </c>
      <c r="E119" s="8" t="s">
        <v>31</v>
      </c>
      <c r="F119" s="91" t="s">
        <v>15</v>
      </c>
      <c r="G119" s="91" t="s">
        <v>16</v>
      </c>
      <c r="H119" s="32"/>
      <c r="I119" s="31">
        <v>1</v>
      </c>
      <c r="J119" s="32"/>
    </row>
    <row r="120" spans="1:10" ht="96" x14ac:dyDescent="0.25">
      <c r="A120" s="90" t="s">
        <v>260</v>
      </c>
      <c r="B120" s="90" t="s">
        <v>11</v>
      </c>
      <c r="C120" s="7" t="s">
        <v>32</v>
      </c>
      <c r="D120" s="8" t="s">
        <v>33</v>
      </c>
      <c r="E120" s="8" t="s">
        <v>34</v>
      </c>
      <c r="F120" s="91" t="s">
        <v>15</v>
      </c>
      <c r="G120" s="91" t="s">
        <v>16</v>
      </c>
      <c r="H120" s="32"/>
      <c r="I120" s="31">
        <v>1</v>
      </c>
      <c r="J120" s="32"/>
    </row>
    <row r="121" spans="1:10" ht="180" x14ac:dyDescent="0.25">
      <c r="A121" s="90" t="s">
        <v>260</v>
      </c>
      <c r="B121" s="90" t="s">
        <v>35</v>
      </c>
      <c r="C121" s="7" t="s">
        <v>36</v>
      </c>
      <c r="D121" s="8" t="s">
        <v>37</v>
      </c>
      <c r="E121" s="8" t="s">
        <v>38</v>
      </c>
      <c r="F121" s="8" t="s">
        <v>39</v>
      </c>
      <c r="G121" s="8" t="s">
        <v>40</v>
      </c>
      <c r="H121" s="32"/>
      <c r="I121" s="31">
        <v>1</v>
      </c>
      <c r="J121" s="32"/>
    </row>
    <row r="122" spans="1:10" ht="108" x14ac:dyDescent="0.25">
      <c r="A122" s="90" t="s">
        <v>260</v>
      </c>
      <c r="B122" s="90" t="s">
        <v>35</v>
      </c>
      <c r="C122" s="7" t="s">
        <v>41</v>
      </c>
      <c r="D122" s="8" t="s">
        <v>42</v>
      </c>
      <c r="E122" s="8" t="s">
        <v>43</v>
      </c>
      <c r="F122" s="8" t="s">
        <v>44</v>
      </c>
      <c r="G122" s="8" t="s">
        <v>40</v>
      </c>
      <c r="H122" s="32"/>
      <c r="I122" s="32"/>
      <c r="J122" s="31">
        <v>2</v>
      </c>
    </row>
    <row r="123" spans="1:10" ht="108" x14ac:dyDescent="0.25">
      <c r="A123" s="90" t="s">
        <v>260</v>
      </c>
      <c r="B123" s="90" t="s">
        <v>35</v>
      </c>
      <c r="C123" s="7" t="s">
        <v>45</v>
      </c>
      <c r="D123" s="8" t="s">
        <v>46</v>
      </c>
      <c r="E123" s="8" t="s">
        <v>47</v>
      </c>
      <c r="F123" s="8" t="s">
        <v>48</v>
      </c>
      <c r="G123" s="8" t="s">
        <v>40</v>
      </c>
      <c r="H123" s="32"/>
      <c r="I123" s="31">
        <v>1</v>
      </c>
      <c r="J123" s="32"/>
    </row>
    <row r="124" spans="1:10" ht="108" x14ac:dyDescent="0.25">
      <c r="A124" s="90" t="s">
        <v>260</v>
      </c>
      <c r="B124" s="90" t="s">
        <v>35</v>
      </c>
      <c r="C124" s="7" t="s">
        <v>49</v>
      </c>
      <c r="D124" s="8" t="s">
        <v>50</v>
      </c>
      <c r="E124" s="8" t="s">
        <v>51</v>
      </c>
      <c r="F124" s="8" t="s">
        <v>52</v>
      </c>
      <c r="G124" s="8" t="s">
        <v>40</v>
      </c>
      <c r="H124" s="32"/>
      <c r="I124" s="31">
        <v>1</v>
      </c>
      <c r="J124" s="32"/>
    </row>
    <row r="125" spans="1:10" ht="96" x14ac:dyDescent="0.25">
      <c r="A125" s="90" t="s">
        <v>260</v>
      </c>
      <c r="B125" s="9" t="s">
        <v>53</v>
      </c>
      <c r="C125" s="7" t="s">
        <v>54</v>
      </c>
      <c r="D125" s="8" t="s">
        <v>55</v>
      </c>
      <c r="E125" s="11" t="s">
        <v>56</v>
      </c>
      <c r="F125" s="8" t="s">
        <v>57</v>
      </c>
      <c r="G125" s="8" t="s">
        <v>58</v>
      </c>
      <c r="H125" s="32"/>
      <c r="I125" s="31">
        <v>1</v>
      </c>
      <c r="J125" s="32"/>
    </row>
    <row r="126" spans="1:10" ht="108" x14ac:dyDescent="0.25">
      <c r="A126" s="90" t="s">
        <v>260</v>
      </c>
      <c r="B126" s="90" t="s">
        <v>257</v>
      </c>
      <c r="C126" s="7" t="s">
        <v>60</v>
      </c>
      <c r="D126" s="8" t="s">
        <v>61</v>
      </c>
      <c r="E126" s="8" t="s">
        <v>62</v>
      </c>
      <c r="F126" s="8" t="s">
        <v>63</v>
      </c>
      <c r="G126" s="8" t="s">
        <v>58</v>
      </c>
      <c r="H126" s="32"/>
      <c r="I126" s="32"/>
      <c r="J126" s="31">
        <v>2</v>
      </c>
    </row>
    <row r="127" spans="1:10" ht="108" x14ac:dyDescent="0.25">
      <c r="A127" s="90" t="s">
        <v>260</v>
      </c>
      <c r="B127" s="90" t="s">
        <v>257</v>
      </c>
      <c r="C127" s="7" t="s">
        <v>64</v>
      </c>
      <c r="D127" s="8" t="s">
        <v>65</v>
      </c>
      <c r="E127" s="8" t="s">
        <v>66</v>
      </c>
      <c r="F127" s="8" t="s">
        <v>67</v>
      </c>
      <c r="G127" s="8" t="s">
        <v>40</v>
      </c>
      <c r="H127" s="32"/>
      <c r="I127" s="31">
        <v>1</v>
      </c>
      <c r="J127" s="32"/>
    </row>
    <row r="128" spans="1:10" ht="72" x14ac:dyDescent="0.25">
      <c r="A128" s="90" t="s">
        <v>261</v>
      </c>
      <c r="B128" s="90" t="s">
        <v>11</v>
      </c>
      <c r="C128" s="7" t="s">
        <v>12</v>
      </c>
      <c r="D128" s="8" t="s">
        <v>13</v>
      </c>
      <c r="E128" s="8" t="s">
        <v>14</v>
      </c>
      <c r="F128" s="91" t="s">
        <v>15</v>
      </c>
      <c r="G128" s="91" t="s">
        <v>16</v>
      </c>
      <c r="H128" s="31">
        <v>0</v>
      </c>
      <c r="I128" s="32"/>
      <c r="J128" s="32"/>
    </row>
    <row r="129" spans="1:10" ht="72" x14ac:dyDescent="0.25">
      <c r="A129" s="90" t="s">
        <v>261</v>
      </c>
      <c r="B129" s="90" t="s">
        <v>11</v>
      </c>
      <c r="C129" s="7" t="s">
        <v>17</v>
      </c>
      <c r="D129" s="8" t="s">
        <v>18</v>
      </c>
      <c r="E129" s="8" t="s">
        <v>19</v>
      </c>
      <c r="F129" s="91" t="s">
        <v>15</v>
      </c>
      <c r="G129" s="91" t="s">
        <v>16</v>
      </c>
      <c r="H129" s="32"/>
      <c r="I129" s="32"/>
      <c r="J129" s="31">
        <v>2</v>
      </c>
    </row>
    <row r="130" spans="1:10" ht="60" x14ac:dyDescent="0.25">
      <c r="A130" s="90" t="s">
        <v>261</v>
      </c>
      <c r="B130" s="90" t="s">
        <v>11</v>
      </c>
      <c r="C130" s="7" t="s">
        <v>20</v>
      </c>
      <c r="D130" s="8" t="s">
        <v>21</v>
      </c>
      <c r="E130" s="8" t="s">
        <v>22</v>
      </c>
      <c r="F130" s="91" t="s">
        <v>15</v>
      </c>
      <c r="G130" s="91" t="s">
        <v>16</v>
      </c>
      <c r="H130" s="32"/>
      <c r="I130" s="32"/>
      <c r="J130" s="31">
        <v>2</v>
      </c>
    </row>
    <row r="131" spans="1:10" ht="72" x14ac:dyDescent="0.25">
      <c r="A131" s="90" t="s">
        <v>261</v>
      </c>
      <c r="B131" s="90" t="s">
        <v>11</v>
      </c>
      <c r="C131" s="7" t="s">
        <v>23</v>
      </c>
      <c r="D131" s="8" t="s">
        <v>24</v>
      </c>
      <c r="E131" s="8" t="s">
        <v>25</v>
      </c>
      <c r="F131" s="91" t="s">
        <v>15</v>
      </c>
      <c r="G131" s="91" t="s">
        <v>16</v>
      </c>
      <c r="H131" s="32"/>
      <c r="I131" s="32"/>
      <c r="J131" s="31">
        <v>2</v>
      </c>
    </row>
    <row r="132" spans="1:10" ht="60" x14ac:dyDescent="0.25">
      <c r="A132" s="90" t="s">
        <v>261</v>
      </c>
      <c r="B132" s="90" t="s">
        <v>11</v>
      </c>
      <c r="C132" s="7" t="s">
        <v>26</v>
      </c>
      <c r="D132" s="8" t="s">
        <v>27</v>
      </c>
      <c r="E132" s="8" t="s">
        <v>28</v>
      </c>
      <c r="F132" s="91" t="s">
        <v>15</v>
      </c>
      <c r="G132" s="91" t="s">
        <v>16</v>
      </c>
      <c r="H132" s="32"/>
      <c r="I132" s="31">
        <v>1</v>
      </c>
      <c r="J132" s="32"/>
    </row>
    <row r="133" spans="1:10" ht="60" x14ac:dyDescent="0.25">
      <c r="A133" s="90" t="s">
        <v>261</v>
      </c>
      <c r="B133" s="90" t="s">
        <v>11</v>
      </c>
      <c r="C133" s="7" t="s">
        <v>29</v>
      </c>
      <c r="D133" s="8" t="s">
        <v>30</v>
      </c>
      <c r="E133" s="8" t="s">
        <v>31</v>
      </c>
      <c r="F133" s="91" t="s">
        <v>15</v>
      </c>
      <c r="G133" s="91" t="s">
        <v>16</v>
      </c>
      <c r="H133" s="32"/>
      <c r="I133" s="31">
        <v>1</v>
      </c>
      <c r="J133" s="32"/>
    </row>
    <row r="134" spans="1:10" ht="96" x14ac:dyDescent="0.25">
      <c r="A134" s="90" t="s">
        <v>261</v>
      </c>
      <c r="B134" s="90" t="s">
        <v>11</v>
      </c>
      <c r="C134" s="7" t="s">
        <v>32</v>
      </c>
      <c r="D134" s="8" t="s">
        <v>33</v>
      </c>
      <c r="E134" s="8" t="s">
        <v>34</v>
      </c>
      <c r="F134" s="91" t="s">
        <v>15</v>
      </c>
      <c r="G134" s="91" t="s">
        <v>16</v>
      </c>
      <c r="H134" s="31">
        <v>0</v>
      </c>
      <c r="I134" s="32"/>
      <c r="J134" s="32"/>
    </row>
    <row r="135" spans="1:10" ht="180" x14ac:dyDescent="0.25">
      <c r="A135" s="90" t="s">
        <v>261</v>
      </c>
      <c r="B135" s="90" t="s">
        <v>35</v>
      </c>
      <c r="C135" s="7" t="s">
        <v>36</v>
      </c>
      <c r="D135" s="8" t="s">
        <v>37</v>
      </c>
      <c r="E135" s="8" t="s">
        <v>38</v>
      </c>
      <c r="F135" s="8" t="s">
        <v>39</v>
      </c>
      <c r="G135" s="8" t="s">
        <v>40</v>
      </c>
      <c r="H135" s="31">
        <v>0</v>
      </c>
      <c r="I135" s="32"/>
      <c r="J135" s="32"/>
    </row>
    <row r="136" spans="1:10" ht="108" x14ac:dyDescent="0.25">
      <c r="A136" s="90" t="s">
        <v>261</v>
      </c>
      <c r="B136" s="90" t="s">
        <v>35</v>
      </c>
      <c r="C136" s="7" t="s">
        <v>41</v>
      </c>
      <c r="D136" s="8" t="s">
        <v>42</v>
      </c>
      <c r="E136" s="8" t="s">
        <v>43</v>
      </c>
      <c r="F136" s="8" t="s">
        <v>44</v>
      </c>
      <c r="G136" s="8" t="s">
        <v>40</v>
      </c>
      <c r="H136" s="32"/>
      <c r="I136" s="32"/>
      <c r="J136" s="31">
        <v>2</v>
      </c>
    </row>
    <row r="137" spans="1:10" ht="108" x14ac:dyDescent="0.25">
      <c r="A137" s="90" t="s">
        <v>261</v>
      </c>
      <c r="B137" s="90" t="s">
        <v>35</v>
      </c>
      <c r="C137" s="7" t="s">
        <v>45</v>
      </c>
      <c r="D137" s="8" t="s">
        <v>46</v>
      </c>
      <c r="E137" s="8" t="s">
        <v>47</v>
      </c>
      <c r="F137" s="8" t="s">
        <v>48</v>
      </c>
      <c r="G137" s="8" t="s">
        <v>40</v>
      </c>
      <c r="H137" s="32"/>
      <c r="I137" s="31">
        <v>1</v>
      </c>
      <c r="J137" s="32"/>
    </row>
    <row r="138" spans="1:10" ht="108" x14ac:dyDescent="0.25">
      <c r="A138" s="90" t="s">
        <v>261</v>
      </c>
      <c r="B138" s="90" t="s">
        <v>35</v>
      </c>
      <c r="C138" s="7" t="s">
        <v>49</v>
      </c>
      <c r="D138" s="8" t="s">
        <v>50</v>
      </c>
      <c r="E138" s="8" t="s">
        <v>51</v>
      </c>
      <c r="F138" s="8" t="s">
        <v>52</v>
      </c>
      <c r="G138" s="8" t="s">
        <v>40</v>
      </c>
      <c r="H138" s="32"/>
      <c r="I138" s="32"/>
      <c r="J138" s="31">
        <v>2</v>
      </c>
    </row>
    <row r="139" spans="1:10" ht="96" x14ac:dyDescent="0.25">
      <c r="A139" s="90" t="s">
        <v>261</v>
      </c>
      <c r="B139" s="9" t="s">
        <v>53</v>
      </c>
      <c r="C139" s="7" t="s">
        <v>54</v>
      </c>
      <c r="D139" s="8" t="s">
        <v>55</v>
      </c>
      <c r="E139" s="11" t="s">
        <v>56</v>
      </c>
      <c r="F139" s="8" t="s">
        <v>57</v>
      </c>
      <c r="G139" s="8" t="s">
        <v>58</v>
      </c>
      <c r="H139" s="31">
        <v>0</v>
      </c>
      <c r="I139" s="32"/>
      <c r="J139" s="32"/>
    </row>
    <row r="140" spans="1:10" ht="108" x14ac:dyDescent="0.25">
      <c r="A140" s="90" t="s">
        <v>261</v>
      </c>
      <c r="B140" s="90" t="s">
        <v>257</v>
      </c>
      <c r="C140" s="7" t="s">
        <v>60</v>
      </c>
      <c r="D140" s="8" t="s">
        <v>61</v>
      </c>
      <c r="E140" s="8" t="s">
        <v>62</v>
      </c>
      <c r="F140" s="8" t="s">
        <v>63</v>
      </c>
      <c r="G140" s="8" t="s">
        <v>58</v>
      </c>
      <c r="H140" s="32"/>
      <c r="I140" s="32"/>
      <c r="J140" s="31">
        <v>2</v>
      </c>
    </row>
    <row r="141" spans="1:10" ht="108" x14ac:dyDescent="0.25">
      <c r="A141" s="90" t="s">
        <v>261</v>
      </c>
      <c r="B141" s="90" t="s">
        <v>257</v>
      </c>
      <c r="C141" s="7" t="s">
        <v>64</v>
      </c>
      <c r="D141" s="8" t="s">
        <v>65</v>
      </c>
      <c r="E141" s="8" t="s">
        <v>66</v>
      </c>
      <c r="F141" s="8" t="s">
        <v>67</v>
      </c>
      <c r="G141" s="8" t="s">
        <v>40</v>
      </c>
      <c r="H141" s="32"/>
      <c r="I141" s="32"/>
      <c r="J141" s="31">
        <v>2</v>
      </c>
    </row>
    <row r="142" spans="1:10" ht="72" x14ac:dyDescent="0.25">
      <c r="A142" s="90" t="s">
        <v>283</v>
      </c>
      <c r="B142" s="90" t="s">
        <v>11</v>
      </c>
      <c r="C142" s="7" t="s">
        <v>12</v>
      </c>
      <c r="D142" s="8" t="s">
        <v>13</v>
      </c>
      <c r="E142" s="8" t="s">
        <v>14</v>
      </c>
      <c r="F142" s="91" t="s">
        <v>15</v>
      </c>
      <c r="G142" s="91" t="s">
        <v>16</v>
      </c>
      <c r="H142" s="31">
        <v>0</v>
      </c>
      <c r="I142" s="32"/>
      <c r="J142" s="32"/>
    </row>
    <row r="143" spans="1:10" ht="72" x14ac:dyDescent="0.25">
      <c r="A143" s="90" t="s">
        <v>283</v>
      </c>
      <c r="B143" s="90" t="s">
        <v>11</v>
      </c>
      <c r="C143" s="7" t="s">
        <v>17</v>
      </c>
      <c r="D143" s="8" t="s">
        <v>18</v>
      </c>
      <c r="E143" s="8" t="s">
        <v>19</v>
      </c>
      <c r="F143" s="91" t="s">
        <v>15</v>
      </c>
      <c r="G143" s="91" t="s">
        <v>16</v>
      </c>
      <c r="H143" s="32"/>
      <c r="I143" s="32"/>
      <c r="J143" s="32"/>
    </row>
    <row r="144" spans="1:10" ht="60" x14ac:dyDescent="0.25">
      <c r="A144" s="90" t="s">
        <v>283</v>
      </c>
      <c r="B144" s="90" t="s">
        <v>11</v>
      </c>
      <c r="C144" s="7" t="s">
        <v>20</v>
      </c>
      <c r="D144" s="8" t="s">
        <v>21</v>
      </c>
      <c r="E144" s="8" t="s">
        <v>22</v>
      </c>
      <c r="F144" s="91" t="s">
        <v>15</v>
      </c>
      <c r="G144" s="91" t="s">
        <v>16</v>
      </c>
      <c r="H144" s="32"/>
      <c r="I144" s="31">
        <v>1</v>
      </c>
      <c r="J144" s="32"/>
    </row>
    <row r="145" spans="1:10" ht="72" x14ac:dyDescent="0.25">
      <c r="A145" s="90" t="s">
        <v>283</v>
      </c>
      <c r="B145" s="90" t="s">
        <v>11</v>
      </c>
      <c r="C145" s="7" t="s">
        <v>23</v>
      </c>
      <c r="D145" s="8" t="s">
        <v>24</v>
      </c>
      <c r="E145" s="8" t="s">
        <v>25</v>
      </c>
      <c r="F145" s="91" t="s">
        <v>15</v>
      </c>
      <c r="G145" s="91" t="s">
        <v>16</v>
      </c>
      <c r="H145" s="32"/>
      <c r="I145" s="32"/>
      <c r="J145" s="31">
        <v>2</v>
      </c>
    </row>
    <row r="146" spans="1:10" ht="60" x14ac:dyDescent="0.25">
      <c r="A146" s="90" t="s">
        <v>283</v>
      </c>
      <c r="B146" s="90" t="s">
        <v>11</v>
      </c>
      <c r="C146" s="7" t="s">
        <v>26</v>
      </c>
      <c r="D146" s="8" t="s">
        <v>27</v>
      </c>
      <c r="E146" s="8" t="s">
        <v>28</v>
      </c>
      <c r="F146" s="91" t="s">
        <v>15</v>
      </c>
      <c r="G146" s="91" t="s">
        <v>16</v>
      </c>
      <c r="H146" s="32"/>
      <c r="I146" s="32"/>
      <c r="J146" s="31">
        <v>2</v>
      </c>
    </row>
    <row r="147" spans="1:10" ht="60" x14ac:dyDescent="0.25">
      <c r="A147" s="90" t="s">
        <v>283</v>
      </c>
      <c r="B147" s="90" t="s">
        <v>11</v>
      </c>
      <c r="C147" s="7" t="s">
        <v>29</v>
      </c>
      <c r="D147" s="8" t="s">
        <v>30</v>
      </c>
      <c r="E147" s="8" t="s">
        <v>31</v>
      </c>
      <c r="F147" s="91" t="s">
        <v>15</v>
      </c>
      <c r="G147" s="91" t="s">
        <v>16</v>
      </c>
      <c r="H147" s="32"/>
      <c r="I147" s="31">
        <v>1</v>
      </c>
      <c r="J147" s="32"/>
    </row>
    <row r="148" spans="1:10" ht="96" x14ac:dyDescent="0.25">
      <c r="A148" s="90" t="s">
        <v>283</v>
      </c>
      <c r="B148" s="90" t="s">
        <v>11</v>
      </c>
      <c r="C148" s="7" t="s">
        <v>32</v>
      </c>
      <c r="D148" s="8" t="s">
        <v>33</v>
      </c>
      <c r="E148" s="8" t="s">
        <v>34</v>
      </c>
      <c r="F148" s="91" t="s">
        <v>15</v>
      </c>
      <c r="G148" s="91" t="s">
        <v>16</v>
      </c>
      <c r="H148" s="32"/>
      <c r="I148" s="31">
        <v>1</v>
      </c>
      <c r="J148" s="32"/>
    </row>
    <row r="149" spans="1:10" ht="180" x14ac:dyDescent="0.25">
      <c r="A149" s="90" t="s">
        <v>283</v>
      </c>
      <c r="B149" s="90" t="s">
        <v>35</v>
      </c>
      <c r="C149" s="7" t="s">
        <v>36</v>
      </c>
      <c r="D149" s="8" t="s">
        <v>37</v>
      </c>
      <c r="E149" s="8" t="s">
        <v>38</v>
      </c>
      <c r="F149" s="8" t="s">
        <v>39</v>
      </c>
      <c r="G149" s="8" t="s">
        <v>40</v>
      </c>
      <c r="H149" s="32"/>
      <c r="I149" s="31">
        <v>1</v>
      </c>
      <c r="J149" s="32"/>
    </row>
    <row r="150" spans="1:10" ht="108" x14ac:dyDescent="0.25">
      <c r="A150" s="90" t="s">
        <v>283</v>
      </c>
      <c r="B150" s="90" t="s">
        <v>35</v>
      </c>
      <c r="C150" s="7" t="s">
        <v>41</v>
      </c>
      <c r="D150" s="8" t="s">
        <v>42</v>
      </c>
      <c r="E150" s="8" t="s">
        <v>43</v>
      </c>
      <c r="F150" s="8" t="s">
        <v>44</v>
      </c>
      <c r="G150" s="8" t="s">
        <v>40</v>
      </c>
      <c r="H150" s="32"/>
      <c r="I150" s="32"/>
      <c r="J150" s="31">
        <v>2</v>
      </c>
    </row>
    <row r="151" spans="1:10" ht="108" x14ac:dyDescent="0.25">
      <c r="A151" s="90" t="s">
        <v>283</v>
      </c>
      <c r="B151" s="90" t="s">
        <v>35</v>
      </c>
      <c r="C151" s="7" t="s">
        <v>45</v>
      </c>
      <c r="D151" s="8" t="s">
        <v>46</v>
      </c>
      <c r="E151" s="8" t="s">
        <v>47</v>
      </c>
      <c r="F151" s="8" t="s">
        <v>48</v>
      </c>
      <c r="G151" s="8" t="s">
        <v>40</v>
      </c>
      <c r="H151" s="32"/>
      <c r="I151" s="31">
        <v>1</v>
      </c>
      <c r="J151" s="32"/>
    </row>
    <row r="152" spans="1:10" ht="108" x14ac:dyDescent="0.25">
      <c r="A152" s="90" t="s">
        <v>283</v>
      </c>
      <c r="B152" s="90" t="s">
        <v>35</v>
      </c>
      <c r="C152" s="7" t="s">
        <v>49</v>
      </c>
      <c r="D152" s="8" t="s">
        <v>50</v>
      </c>
      <c r="E152" s="8" t="s">
        <v>51</v>
      </c>
      <c r="F152" s="8" t="s">
        <v>52</v>
      </c>
      <c r="G152" s="8" t="s">
        <v>40</v>
      </c>
      <c r="H152" s="32"/>
      <c r="I152" s="32"/>
      <c r="J152" s="31">
        <v>2</v>
      </c>
    </row>
    <row r="153" spans="1:10" ht="96" x14ac:dyDescent="0.25">
      <c r="A153" s="90" t="s">
        <v>283</v>
      </c>
      <c r="B153" s="9" t="s">
        <v>53</v>
      </c>
      <c r="C153" s="7" t="s">
        <v>54</v>
      </c>
      <c r="D153" s="8" t="s">
        <v>55</v>
      </c>
      <c r="E153" s="11" t="s">
        <v>56</v>
      </c>
      <c r="F153" s="8" t="s">
        <v>57</v>
      </c>
      <c r="G153" s="8" t="s">
        <v>58</v>
      </c>
      <c r="H153" s="32"/>
      <c r="I153" s="31">
        <v>1</v>
      </c>
      <c r="J153" s="32"/>
    </row>
    <row r="154" spans="1:10" ht="108" x14ac:dyDescent="0.25">
      <c r="A154" s="90" t="s">
        <v>283</v>
      </c>
      <c r="B154" s="90" t="s">
        <v>257</v>
      </c>
      <c r="C154" s="7" t="s">
        <v>60</v>
      </c>
      <c r="D154" s="8" t="s">
        <v>61</v>
      </c>
      <c r="E154" s="8" t="s">
        <v>62</v>
      </c>
      <c r="F154" s="8" t="s">
        <v>63</v>
      </c>
      <c r="G154" s="8" t="s">
        <v>58</v>
      </c>
      <c r="H154" s="32"/>
      <c r="I154" s="31">
        <v>1</v>
      </c>
      <c r="J154" s="32"/>
    </row>
    <row r="155" spans="1:10" ht="108" x14ac:dyDescent="0.25">
      <c r="A155" s="90" t="s">
        <v>283</v>
      </c>
      <c r="B155" s="90" t="s">
        <v>257</v>
      </c>
      <c r="C155" s="7" t="s">
        <v>64</v>
      </c>
      <c r="D155" s="8" t="s">
        <v>65</v>
      </c>
      <c r="E155" s="8" t="s">
        <v>66</v>
      </c>
      <c r="F155" s="8" t="s">
        <v>67</v>
      </c>
      <c r="G155" s="8" t="s">
        <v>40</v>
      </c>
      <c r="H155" s="32"/>
      <c r="I155" s="31">
        <v>1</v>
      </c>
      <c r="J155" s="32"/>
    </row>
    <row r="156" spans="1:10" ht="72" x14ac:dyDescent="0.25">
      <c r="A156" s="90" t="s">
        <v>262</v>
      </c>
      <c r="B156" s="90" t="s">
        <v>11</v>
      </c>
      <c r="C156" s="7" t="s">
        <v>12</v>
      </c>
      <c r="D156" s="8" t="s">
        <v>13</v>
      </c>
      <c r="E156" s="8" t="s">
        <v>14</v>
      </c>
      <c r="F156" s="91" t="s">
        <v>15</v>
      </c>
      <c r="G156" s="91" t="s">
        <v>16</v>
      </c>
      <c r="H156" s="32"/>
      <c r="I156" s="31">
        <v>1</v>
      </c>
      <c r="J156" s="32"/>
    </row>
    <row r="157" spans="1:10" ht="72" x14ac:dyDescent="0.25">
      <c r="A157" s="90" t="s">
        <v>262</v>
      </c>
      <c r="B157" s="90" t="s">
        <v>11</v>
      </c>
      <c r="C157" s="7" t="s">
        <v>17</v>
      </c>
      <c r="D157" s="8" t="s">
        <v>18</v>
      </c>
      <c r="E157" s="8" t="s">
        <v>19</v>
      </c>
      <c r="F157" s="91" t="s">
        <v>15</v>
      </c>
      <c r="G157" s="91" t="s">
        <v>16</v>
      </c>
      <c r="H157" s="32"/>
      <c r="I157" s="32"/>
      <c r="J157" s="31">
        <v>2</v>
      </c>
    </row>
    <row r="158" spans="1:10" ht="60" x14ac:dyDescent="0.25">
      <c r="A158" s="90" t="s">
        <v>262</v>
      </c>
      <c r="B158" s="90" t="s">
        <v>11</v>
      </c>
      <c r="C158" s="7" t="s">
        <v>20</v>
      </c>
      <c r="D158" s="8" t="s">
        <v>21</v>
      </c>
      <c r="E158" s="8" t="s">
        <v>22</v>
      </c>
      <c r="F158" s="91" t="s">
        <v>15</v>
      </c>
      <c r="G158" s="91" t="s">
        <v>16</v>
      </c>
      <c r="H158" s="32"/>
      <c r="I158" s="32"/>
      <c r="J158" s="31">
        <v>2</v>
      </c>
    </row>
    <row r="159" spans="1:10" ht="72" x14ac:dyDescent="0.25">
      <c r="A159" s="90" t="s">
        <v>262</v>
      </c>
      <c r="B159" s="90" t="s">
        <v>11</v>
      </c>
      <c r="C159" s="7" t="s">
        <v>23</v>
      </c>
      <c r="D159" s="8" t="s">
        <v>24</v>
      </c>
      <c r="E159" s="8" t="s">
        <v>25</v>
      </c>
      <c r="F159" s="91" t="s">
        <v>15</v>
      </c>
      <c r="G159" s="91" t="s">
        <v>16</v>
      </c>
      <c r="H159" s="32"/>
      <c r="I159" s="32"/>
      <c r="J159" s="31">
        <v>2</v>
      </c>
    </row>
    <row r="160" spans="1:10" ht="60" x14ac:dyDescent="0.25">
      <c r="A160" s="90" t="s">
        <v>262</v>
      </c>
      <c r="B160" s="90" t="s">
        <v>11</v>
      </c>
      <c r="C160" s="7" t="s">
        <v>26</v>
      </c>
      <c r="D160" s="8" t="s">
        <v>27</v>
      </c>
      <c r="E160" s="8" t="s">
        <v>28</v>
      </c>
      <c r="F160" s="91" t="s">
        <v>15</v>
      </c>
      <c r="G160" s="91" t="s">
        <v>16</v>
      </c>
      <c r="H160" s="32"/>
      <c r="I160" s="32"/>
      <c r="J160" s="31">
        <v>2</v>
      </c>
    </row>
    <row r="161" spans="1:10" ht="60" x14ac:dyDescent="0.25">
      <c r="A161" s="90" t="s">
        <v>262</v>
      </c>
      <c r="B161" s="90" t="s">
        <v>11</v>
      </c>
      <c r="C161" s="7" t="s">
        <v>29</v>
      </c>
      <c r="D161" s="8" t="s">
        <v>30</v>
      </c>
      <c r="E161" s="8" t="s">
        <v>31</v>
      </c>
      <c r="F161" s="91" t="s">
        <v>15</v>
      </c>
      <c r="G161" s="91" t="s">
        <v>16</v>
      </c>
      <c r="H161" s="32"/>
      <c r="I161" s="32"/>
      <c r="J161" s="31">
        <v>2</v>
      </c>
    </row>
    <row r="162" spans="1:10" ht="96" x14ac:dyDescent="0.25">
      <c r="A162" s="90" t="s">
        <v>262</v>
      </c>
      <c r="B162" s="90" t="s">
        <v>11</v>
      </c>
      <c r="C162" s="7" t="s">
        <v>32</v>
      </c>
      <c r="D162" s="8" t="s">
        <v>33</v>
      </c>
      <c r="E162" s="8" t="s">
        <v>34</v>
      </c>
      <c r="F162" s="91" t="s">
        <v>15</v>
      </c>
      <c r="G162" s="91" t="s">
        <v>16</v>
      </c>
      <c r="H162" s="32"/>
      <c r="I162" s="31">
        <v>1</v>
      </c>
      <c r="J162" s="32"/>
    </row>
    <row r="163" spans="1:10" ht="180" x14ac:dyDescent="0.25">
      <c r="A163" s="90" t="s">
        <v>262</v>
      </c>
      <c r="B163" s="90" t="s">
        <v>35</v>
      </c>
      <c r="C163" s="7" t="s">
        <v>36</v>
      </c>
      <c r="D163" s="8" t="s">
        <v>37</v>
      </c>
      <c r="E163" s="8" t="s">
        <v>38</v>
      </c>
      <c r="F163" s="8" t="s">
        <v>39</v>
      </c>
      <c r="G163" s="8" t="s">
        <v>40</v>
      </c>
      <c r="H163" s="32"/>
      <c r="I163" s="31">
        <v>1</v>
      </c>
      <c r="J163" s="32"/>
    </row>
    <row r="164" spans="1:10" ht="108" x14ac:dyDescent="0.25">
      <c r="A164" s="90" t="s">
        <v>262</v>
      </c>
      <c r="B164" s="90" t="s">
        <v>35</v>
      </c>
      <c r="C164" s="7" t="s">
        <v>41</v>
      </c>
      <c r="D164" s="8" t="s">
        <v>42</v>
      </c>
      <c r="E164" s="8" t="s">
        <v>43</v>
      </c>
      <c r="F164" s="8" t="s">
        <v>44</v>
      </c>
      <c r="G164" s="8" t="s">
        <v>40</v>
      </c>
      <c r="H164" s="32"/>
      <c r="I164" s="31">
        <v>1</v>
      </c>
      <c r="J164" s="32"/>
    </row>
    <row r="165" spans="1:10" ht="108" x14ac:dyDescent="0.25">
      <c r="A165" s="90" t="s">
        <v>262</v>
      </c>
      <c r="B165" s="90" t="s">
        <v>35</v>
      </c>
      <c r="C165" s="7" t="s">
        <v>45</v>
      </c>
      <c r="D165" s="8" t="s">
        <v>46</v>
      </c>
      <c r="E165" s="8" t="s">
        <v>47</v>
      </c>
      <c r="F165" s="8" t="s">
        <v>48</v>
      </c>
      <c r="G165" s="8" t="s">
        <v>40</v>
      </c>
      <c r="H165" s="32"/>
      <c r="I165" s="31">
        <v>1</v>
      </c>
      <c r="J165" s="32"/>
    </row>
    <row r="166" spans="1:10" ht="108" x14ac:dyDescent="0.25">
      <c r="A166" s="90" t="s">
        <v>262</v>
      </c>
      <c r="B166" s="90" t="s">
        <v>35</v>
      </c>
      <c r="C166" s="7" t="s">
        <v>49</v>
      </c>
      <c r="D166" s="8" t="s">
        <v>50</v>
      </c>
      <c r="E166" s="8" t="s">
        <v>51</v>
      </c>
      <c r="F166" s="8" t="s">
        <v>52</v>
      </c>
      <c r="G166" s="8" t="s">
        <v>40</v>
      </c>
      <c r="H166" s="32"/>
      <c r="I166" s="31">
        <v>1</v>
      </c>
      <c r="J166" s="32"/>
    </row>
    <row r="167" spans="1:10" ht="96" x14ac:dyDescent="0.25">
      <c r="A167" s="90" t="s">
        <v>262</v>
      </c>
      <c r="B167" s="9" t="s">
        <v>53</v>
      </c>
      <c r="C167" s="7" t="s">
        <v>54</v>
      </c>
      <c r="D167" s="8" t="s">
        <v>55</v>
      </c>
      <c r="E167" s="11" t="s">
        <v>56</v>
      </c>
      <c r="F167" s="8" t="s">
        <v>57</v>
      </c>
      <c r="G167" s="8" t="s">
        <v>58</v>
      </c>
      <c r="H167" s="32"/>
      <c r="I167" s="31">
        <v>1</v>
      </c>
      <c r="J167" s="32"/>
    </row>
    <row r="168" spans="1:10" ht="108" x14ac:dyDescent="0.25">
      <c r="A168" s="90" t="s">
        <v>262</v>
      </c>
      <c r="B168" s="90" t="s">
        <v>257</v>
      </c>
      <c r="C168" s="7" t="s">
        <v>60</v>
      </c>
      <c r="D168" s="8" t="s">
        <v>61</v>
      </c>
      <c r="E168" s="8" t="s">
        <v>62</v>
      </c>
      <c r="F168" s="8" t="s">
        <v>63</v>
      </c>
      <c r="G168" s="8" t="s">
        <v>58</v>
      </c>
      <c r="H168" s="32"/>
      <c r="I168" s="32"/>
      <c r="J168" s="31">
        <v>2</v>
      </c>
    </row>
    <row r="169" spans="1:10" ht="108" x14ac:dyDescent="0.25">
      <c r="A169" s="90" t="s">
        <v>262</v>
      </c>
      <c r="B169" s="90" t="s">
        <v>257</v>
      </c>
      <c r="C169" s="7" t="s">
        <v>64</v>
      </c>
      <c r="D169" s="8" t="s">
        <v>65</v>
      </c>
      <c r="E169" s="8" t="s">
        <v>66</v>
      </c>
      <c r="F169" s="8" t="s">
        <v>67</v>
      </c>
      <c r="G169" s="8" t="s">
        <v>40</v>
      </c>
      <c r="H169" s="32"/>
      <c r="I169" s="32"/>
      <c r="J169" s="31">
        <v>2</v>
      </c>
    </row>
    <row r="170" spans="1:10" ht="72" x14ac:dyDescent="0.25">
      <c r="A170" s="90" t="s">
        <v>263</v>
      </c>
      <c r="B170" s="90" t="s">
        <v>11</v>
      </c>
      <c r="C170" s="7" t="s">
        <v>12</v>
      </c>
      <c r="D170" s="8" t="s">
        <v>13</v>
      </c>
      <c r="E170" s="8" t="s">
        <v>14</v>
      </c>
      <c r="F170" s="91" t="s">
        <v>15</v>
      </c>
      <c r="G170" s="91" t="s">
        <v>16</v>
      </c>
      <c r="H170" s="32"/>
      <c r="I170" s="31">
        <v>1</v>
      </c>
      <c r="J170" s="32"/>
    </row>
    <row r="171" spans="1:10" ht="72" x14ac:dyDescent="0.25">
      <c r="A171" s="90" t="s">
        <v>263</v>
      </c>
      <c r="B171" s="90" t="s">
        <v>11</v>
      </c>
      <c r="C171" s="7" t="s">
        <v>17</v>
      </c>
      <c r="D171" s="8" t="s">
        <v>18</v>
      </c>
      <c r="E171" s="8" t="s">
        <v>19</v>
      </c>
      <c r="F171" s="91" t="s">
        <v>15</v>
      </c>
      <c r="G171" s="91" t="s">
        <v>16</v>
      </c>
      <c r="H171" s="32"/>
      <c r="I171" s="31">
        <v>1</v>
      </c>
      <c r="J171" s="32"/>
    </row>
    <row r="172" spans="1:10" ht="60" x14ac:dyDescent="0.25">
      <c r="A172" s="90" t="s">
        <v>263</v>
      </c>
      <c r="B172" s="90" t="s">
        <v>11</v>
      </c>
      <c r="C172" s="7" t="s">
        <v>20</v>
      </c>
      <c r="D172" s="8" t="s">
        <v>21</v>
      </c>
      <c r="E172" s="8" t="s">
        <v>22</v>
      </c>
      <c r="F172" s="91" t="s">
        <v>15</v>
      </c>
      <c r="G172" s="91" t="s">
        <v>16</v>
      </c>
      <c r="H172" s="32"/>
      <c r="I172" s="31">
        <v>1</v>
      </c>
      <c r="J172" s="32"/>
    </row>
    <row r="173" spans="1:10" ht="72" x14ac:dyDescent="0.25">
      <c r="A173" s="90" t="s">
        <v>263</v>
      </c>
      <c r="B173" s="90" t="s">
        <v>11</v>
      </c>
      <c r="C173" s="7" t="s">
        <v>23</v>
      </c>
      <c r="D173" s="8" t="s">
        <v>24</v>
      </c>
      <c r="E173" s="8" t="s">
        <v>25</v>
      </c>
      <c r="F173" s="91" t="s">
        <v>15</v>
      </c>
      <c r="G173" s="91" t="s">
        <v>16</v>
      </c>
      <c r="H173" s="32"/>
      <c r="I173" s="32"/>
      <c r="J173" s="31">
        <v>2</v>
      </c>
    </row>
    <row r="174" spans="1:10" ht="60" x14ac:dyDescent="0.25">
      <c r="A174" s="90" t="s">
        <v>263</v>
      </c>
      <c r="B174" s="90" t="s">
        <v>11</v>
      </c>
      <c r="C174" s="7" t="s">
        <v>26</v>
      </c>
      <c r="D174" s="8" t="s">
        <v>27</v>
      </c>
      <c r="E174" s="8" t="s">
        <v>28</v>
      </c>
      <c r="F174" s="91" t="s">
        <v>15</v>
      </c>
      <c r="G174" s="91" t="s">
        <v>16</v>
      </c>
      <c r="H174" s="32"/>
      <c r="I174" s="31">
        <v>1</v>
      </c>
      <c r="J174" s="32"/>
    </row>
    <row r="175" spans="1:10" ht="60" x14ac:dyDescent="0.25">
      <c r="A175" s="90" t="s">
        <v>263</v>
      </c>
      <c r="B175" s="90" t="s">
        <v>11</v>
      </c>
      <c r="C175" s="7" t="s">
        <v>29</v>
      </c>
      <c r="D175" s="8" t="s">
        <v>30</v>
      </c>
      <c r="E175" s="8" t="s">
        <v>31</v>
      </c>
      <c r="F175" s="91" t="s">
        <v>15</v>
      </c>
      <c r="G175" s="91" t="s">
        <v>16</v>
      </c>
      <c r="H175" s="32"/>
      <c r="I175" s="31">
        <v>1</v>
      </c>
      <c r="J175" s="32"/>
    </row>
    <row r="176" spans="1:10" ht="96" x14ac:dyDescent="0.25">
      <c r="A176" s="90" t="s">
        <v>263</v>
      </c>
      <c r="B176" s="90" t="s">
        <v>11</v>
      </c>
      <c r="C176" s="7" t="s">
        <v>32</v>
      </c>
      <c r="D176" s="8" t="s">
        <v>33</v>
      </c>
      <c r="E176" s="8" t="s">
        <v>34</v>
      </c>
      <c r="F176" s="91" t="s">
        <v>15</v>
      </c>
      <c r="G176" s="91" t="s">
        <v>16</v>
      </c>
      <c r="H176" s="32"/>
      <c r="I176" s="32"/>
      <c r="J176" s="31">
        <v>2</v>
      </c>
    </row>
    <row r="177" spans="1:10" ht="180" x14ac:dyDescent="0.25">
      <c r="A177" s="90" t="s">
        <v>263</v>
      </c>
      <c r="B177" s="90" t="s">
        <v>35</v>
      </c>
      <c r="C177" s="7" t="s">
        <v>36</v>
      </c>
      <c r="D177" s="8" t="s">
        <v>37</v>
      </c>
      <c r="E177" s="8" t="s">
        <v>38</v>
      </c>
      <c r="F177" s="8" t="s">
        <v>39</v>
      </c>
      <c r="G177" s="8" t="s">
        <v>40</v>
      </c>
      <c r="H177" s="32"/>
      <c r="I177" s="31">
        <v>1</v>
      </c>
      <c r="J177" s="32"/>
    </row>
    <row r="178" spans="1:10" ht="108" x14ac:dyDescent="0.25">
      <c r="A178" s="90" t="s">
        <v>263</v>
      </c>
      <c r="B178" s="90" t="s">
        <v>35</v>
      </c>
      <c r="C178" s="7" t="s">
        <v>41</v>
      </c>
      <c r="D178" s="8" t="s">
        <v>42</v>
      </c>
      <c r="E178" s="8" t="s">
        <v>43</v>
      </c>
      <c r="F178" s="8" t="s">
        <v>44</v>
      </c>
      <c r="G178" s="8" t="s">
        <v>40</v>
      </c>
      <c r="H178" s="32"/>
      <c r="I178" s="32"/>
      <c r="J178" s="31">
        <v>2</v>
      </c>
    </row>
    <row r="179" spans="1:10" ht="108" x14ac:dyDescent="0.25">
      <c r="A179" s="90" t="s">
        <v>263</v>
      </c>
      <c r="B179" s="90" t="s">
        <v>35</v>
      </c>
      <c r="C179" s="7" t="s">
        <v>45</v>
      </c>
      <c r="D179" s="8" t="s">
        <v>46</v>
      </c>
      <c r="E179" s="8" t="s">
        <v>47</v>
      </c>
      <c r="F179" s="8" t="s">
        <v>48</v>
      </c>
      <c r="G179" s="8" t="s">
        <v>40</v>
      </c>
      <c r="H179" s="32"/>
      <c r="I179" s="31">
        <v>1</v>
      </c>
      <c r="J179" s="32"/>
    </row>
    <row r="180" spans="1:10" ht="108" x14ac:dyDescent="0.25">
      <c r="A180" s="90" t="s">
        <v>263</v>
      </c>
      <c r="B180" s="90" t="s">
        <v>35</v>
      </c>
      <c r="C180" s="7" t="s">
        <v>49</v>
      </c>
      <c r="D180" s="8" t="s">
        <v>50</v>
      </c>
      <c r="E180" s="8" t="s">
        <v>51</v>
      </c>
      <c r="F180" s="8" t="s">
        <v>52</v>
      </c>
      <c r="G180" s="8" t="s">
        <v>40</v>
      </c>
      <c r="H180" s="32"/>
      <c r="I180" s="32"/>
      <c r="J180" s="31">
        <v>2</v>
      </c>
    </row>
    <row r="181" spans="1:10" ht="96" x14ac:dyDescent="0.25">
      <c r="A181" s="90" t="s">
        <v>263</v>
      </c>
      <c r="B181" s="9" t="s">
        <v>53</v>
      </c>
      <c r="C181" s="7" t="s">
        <v>54</v>
      </c>
      <c r="D181" s="8" t="s">
        <v>55</v>
      </c>
      <c r="E181" s="11" t="s">
        <v>56</v>
      </c>
      <c r="F181" s="8" t="s">
        <v>57</v>
      </c>
      <c r="G181" s="8" t="s">
        <v>58</v>
      </c>
      <c r="H181" s="32"/>
      <c r="I181" s="31">
        <v>1</v>
      </c>
      <c r="J181" s="32"/>
    </row>
    <row r="182" spans="1:10" ht="108" x14ac:dyDescent="0.25">
      <c r="A182" s="90" t="s">
        <v>263</v>
      </c>
      <c r="B182" s="90" t="s">
        <v>257</v>
      </c>
      <c r="C182" s="7" t="s">
        <v>60</v>
      </c>
      <c r="D182" s="8" t="s">
        <v>61</v>
      </c>
      <c r="E182" s="8" t="s">
        <v>62</v>
      </c>
      <c r="F182" s="8" t="s">
        <v>63</v>
      </c>
      <c r="G182" s="8" t="s">
        <v>58</v>
      </c>
      <c r="H182" s="32"/>
      <c r="I182" s="32"/>
      <c r="J182" s="31">
        <v>2</v>
      </c>
    </row>
    <row r="183" spans="1:10" ht="108" x14ac:dyDescent="0.25">
      <c r="A183" s="90" t="s">
        <v>263</v>
      </c>
      <c r="B183" s="90" t="s">
        <v>257</v>
      </c>
      <c r="C183" s="7" t="s">
        <v>64</v>
      </c>
      <c r="D183" s="8" t="s">
        <v>65</v>
      </c>
      <c r="E183" s="8" t="s">
        <v>66</v>
      </c>
      <c r="F183" s="8" t="s">
        <v>67</v>
      </c>
      <c r="G183" s="8" t="s">
        <v>40</v>
      </c>
      <c r="H183" s="32"/>
      <c r="I183" s="32"/>
      <c r="J183" s="31">
        <v>2</v>
      </c>
    </row>
    <row r="184" spans="1:10" ht="72" x14ac:dyDescent="0.25">
      <c r="A184" s="90" t="s">
        <v>264</v>
      </c>
      <c r="B184" s="90" t="s">
        <v>11</v>
      </c>
      <c r="C184" s="7" t="s">
        <v>12</v>
      </c>
      <c r="D184" s="8" t="s">
        <v>13</v>
      </c>
      <c r="E184" s="8" t="s">
        <v>14</v>
      </c>
      <c r="F184" s="91" t="s">
        <v>15</v>
      </c>
      <c r="G184" s="91" t="s">
        <v>16</v>
      </c>
      <c r="H184" s="92"/>
      <c r="I184" s="92"/>
      <c r="J184" s="92"/>
    </row>
    <row r="185" spans="1:10" ht="72" x14ac:dyDescent="0.25">
      <c r="A185" s="90" t="s">
        <v>264</v>
      </c>
      <c r="B185" s="90" t="s">
        <v>11</v>
      </c>
      <c r="C185" s="7" t="s">
        <v>17</v>
      </c>
      <c r="D185" s="8" t="s">
        <v>18</v>
      </c>
      <c r="E185" s="8" t="s">
        <v>19</v>
      </c>
      <c r="F185" s="91" t="s">
        <v>15</v>
      </c>
      <c r="G185" s="91" t="s">
        <v>16</v>
      </c>
      <c r="H185" s="92"/>
      <c r="I185" s="92"/>
      <c r="J185" s="92"/>
    </row>
    <row r="186" spans="1:10" ht="60" x14ac:dyDescent="0.25">
      <c r="A186" s="90" t="s">
        <v>264</v>
      </c>
      <c r="B186" s="90" t="s">
        <v>11</v>
      </c>
      <c r="C186" s="7" t="s">
        <v>20</v>
      </c>
      <c r="D186" s="8" t="s">
        <v>21</v>
      </c>
      <c r="E186" s="8" t="s">
        <v>22</v>
      </c>
      <c r="F186" s="91" t="s">
        <v>15</v>
      </c>
      <c r="G186" s="91" t="s">
        <v>16</v>
      </c>
      <c r="H186" s="32"/>
      <c r="I186" s="31">
        <v>1</v>
      </c>
      <c r="J186" s="32"/>
    </row>
    <row r="187" spans="1:10" ht="72" x14ac:dyDescent="0.25">
      <c r="A187" s="90" t="s">
        <v>264</v>
      </c>
      <c r="B187" s="90" t="s">
        <v>11</v>
      </c>
      <c r="C187" s="7" t="s">
        <v>23</v>
      </c>
      <c r="D187" s="8" t="s">
        <v>24</v>
      </c>
      <c r="E187" s="8" t="s">
        <v>25</v>
      </c>
      <c r="F187" s="91" t="s">
        <v>15</v>
      </c>
      <c r="G187" s="91" t="s">
        <v>16</v>
      </c>
      <c r="H187" s="92"/>
      <c r="I187" s="92"/>
      <c r="J187" s="92"/>
    </row>
    <row r="188" spans="1:10" ht="60" x14ac:dyDescent="0.25">
      <c r="A188" s="90" t="s">
        <v>264</v>
      </c>
      <c r="B188" s="90" t="s">
        <v>11</v>
      </c>
      <c r="C188" s="7" t="s">
        <v>26</v>
      </c>
      <c r="D188" s="8" t="s">
        <v>27</v>
      </c>
      <c r="E188" s="8" t="s">
        <v>28</v>
      </c>
      <c r="F188" s="91" t="s">
        <v>15</v>
      </c>
      <c r="G188" s="91" t="s">
        <v>16</v>
      </c>
      <c r="H188" s="32"/>
      <c r="I188" s="31">
        <v>1</v>
      </c>
      <c r="J188" s="32"/>
    </row>
    <row r="189" spans="1:10" ht="60" x14ac:dyDescent="0.25">
      <c r="A189" s="90" t="s">
        <v>264</v>
      </c>
      <c r="B189" s="90" t="s">
        <v>11</v>
      </c>
      <c r="C189" s="7" t="s">
        <v>29</v>
      </c>
      <c r="D189" s="8" t="s">
        <v>30</v>
      </c>
      <c r="E189" s="8" t="s">
        <v>31</v>
      </c>
      <c r="F189" s="91" t="s">
        <v>15</v>
      </c>
      <c r="G189" s="91" t="s">
        <v>16</v>
      </c>
      <c r="H189" s="92"/>
      <c r="I189" s="92"/>
      <c r="J189" s="92"/>
    </row>
    <row r="190" spans="1:10" ht="96" x14ac:dyDescent="0.25">
      <c r="A190" s="90" t="s">
        <v>264</v>
      </c>
      <c r="B190" s="90" t="s">
        <v>11</v>
      </c>
      <c r="C190" s="7" t="s">
        <v>32</v>
      </c>
      <c r="D190" s="8" t="s">
        <v>33</v>
      </c>
      <c r="E190" s="8" t="s">
        <v>34</v>
      </c>
      <c r="F190" s="91" t="s">
        <v>15</v>
      </c>
      <c r="G190" s="91" t="s">
        <v>16</v>
      </c>
      <c r="H190" s="32"/>
      <c r="I190" s="32"/>
      <c r="J190" s="31">
        <v>2</v>
      </c>
    </row>
    <row r="191" spans="1:10" ht="180" x14ac:dyDescent="0.25">
      <c r="A191" s="90" t="s">
        <v>264</v>
      </c>
      <c r="B191" s="90" t="s">
        <v>35</v>
      </c>
      <c r="C191" s="7" t="s">
        <v>36</v>
      </c>
      <c r="D191" s="8" t="s">
        <v>37</v>
      </c>
      <c r="E191" s="8" t="s">
        <v>38</v>
      </c>
      <c r="F191" s="8" t="s">
        <v>39</v>
      </c>
      <c r="G191" s="8" t="s">
        <v>40</v>
      </c>
      <c r="H191" s="92"/>
      <c r="I191" s="92"/>
      <c r="J191" s="92"/>
    </row>
    <row r="192" spans="1:10" ht="108" x14ac:dyDescent="0.25">
      <c r="A192" s="90" t="s">
        <v>264</v>
      </c>
      <c r="B192" s="90" t="s">
        <v>35</v>
      </c>
      <c r="C192" s="7" t="s">
        <v>41</v>
      </c>
      <c r="D192" s="8" t="s">
        <v>42</v>
      </c>
      <c r="E192" s="8" t="s">
        <v>43</v>
      </c>
      <c r="F192" s="8" t="s">
        <v>44</v>
      </c>
      <c r="G192" s="8" t="s">
        <v>40</v>
      </c>
      <c r="H192" s="32"/>
      <c r="I192" s="31">
        <v>1</v>
      </c>
      <c r="J192" s="32"/>
    </row>
    <row r="193" spans="1:10" ht="108" x14ac:dyDescent="0.25">
      <c r="A193" s="90" t="s">
        <v>264</v>
      </c>
      <c r="B193" s="90" t="s">
        <v>35</v>
      </c>
      <c r="C193" s="7" t="s">
        <v>45</v>
      </c>
      <c r="D193" s="8" t="s">
        <v>46</v>
      </c>
      <c r="E193" s="8" t="s">
        <v>47</v>
      </c>
      <c r="F193" s="8" t="s">
        <v>48</v>
      </c>
      <c r="G193" s="8" t="s">
        <v>40</v>
      </c>
      <c r="H193" s="92"/>
      <c r="I193" s="92"/>
      <c r="J193" s="92"/>
    </row>
    <row r="194" spans="1:10" ht="108" x14ac:dyDescent="0.25">
      <c r="A194" s="90" t="s">
        <v>264</v>
      </c>
      <c r="B194" s="90" t="s">
        <v>35</v>
      </c>
      <c r="C194" s="7" t="s">
        <v>49</v>
      </c>
      <c r="D194" s="8" t="s">
        <v>50</v>
      </c>
      <c r="E194" s="8" t="s">
        <v>51</v>
      </c>
      <c r="F194" s="8" t="s">
        <v>52</v>
      </c>
      <c r="G194" s="8" t="s">
        <v>40</v>
      </c>
      <c r="H194" s="92"/>
      <c r="I194" s="92"/>
      <c r="J194" s="92"/>
    </row>
    <row r="195" spans="1:10" ht="96" x14ac:dyDescent="0.25">
      <c r="A195" s="90" t="s">
        <v>264</v>
      </c>
      <c r="B195" s="9" t="s">
        <v>53</v>
      </c>
      <c r="C195" s="7" t="s">
        <v>54</v>
      </c>
      <c r="D195" s="8" t="s">
        <v>55</v>
      </c>
      <c r="E195" s="11" t="s">
        <v>56</v>
      </c>
      <c r="F195" s="8" t="s">
        <v>57</v>
      </c>
      <c r="G195" s="8" t="s">
        <v>58</v>
      </c>
      <c r="H195" s="92"/>
      <c r="I195" s="92"/>
      <c r="J195" s="92"/>
    </row>
    <row r="196" spans="1:10" ht="108" x14ac:dyDescent="0.25">
      <c r="A196" s="90" t="s">
        <v>264</v>
      </c>
      <c r="B196" s="90" t="s">
        <v>257</v>
      </c>
      <c r="C196" s="7" t="s">
        <v>60</v>
      </c>
      <c r="D196" s="8" t="s">
        <v>61</v>
      </c>
      <c r="E196" s="8" t="s">
        <v>62</v>
      </c>
      <c r="F196" s="8" t="s">
        <v>63</v>
      </c>
      <c r="G196" s="8" t="s">
        <v>58</v>
      </c>
      <c r="H196" s="92"/>
      <c r="I196" s="92"/>
      <c r="J196" s="92"/>
    </row>
    <row r="197" spans="1:10" ht="108" x14ac:dyDescent="0.25">
      <c r="A197" s="90" t="s">
        <v>264</v>
      </c>
      <c r="B197" s="90" t="s">
        <v>257</v>
      </c>
      <c r="C197" s="7" t="s">
        <v>64</v>
      </c>
      <c r="D197" s="8" t="s">
        <v>65</v>
      </c>
      <c r="E197" s="8" t="s">
        <v>66</v>
      </c>
      <c r="F197" s="8" t="s">
        <v>67</v>
      </c>
      <c r="G197" s="8" t="s">
        <v>40</v>
      </c>
      <c r="H197" s="92"/>
      <c r="I197" s="92"/>
      <c r="J197" s="92"/>
    </row>
    <row r="198" spans="1:10" ht="72" x14ac:dyDescent="0.25">
      <c r="A198" s="90" t="s">
        <v>265</v>
      </c>
      <c r="B198" s="90" t="s">
        <v>11</v>
      </c>
      <c r="C198" s="7" t="s">
        <v>12</v>
      </c>
      <c r="D198" s="8" t="s">
        <v>13</v>
      </c>
      <c r="E198" s="8" t="s">
        <v>14</v>
      </c>
      <c r="F198" s="91" t="s">
        <v>15</v>
      </c>
      <c r="G198" s="91" t="s">
        <v>16</v>
      </c>
      <c r="H198" s="32"/>
      <c r="I198" s="31">
        <v>1</v>
      </c>
      <c r="J198" s="32"/>
    </row>
    <row r="199" spans="1:10" ht="72" x14ac:dyDescent="0.25">
      <c r="A199" s="90" t="s">
        <v>265</v>
      </c>
      <c r="B199" s="90" t="s">
        <v>11</v>
      </c>
      <c r="C199" s="7" t="s">
        <v>17</v>
      </c>
      <c r="D199" s="8" t="s">
        <v>18</v>
      </c>
      <c r="E199" s="8" t="s">
        <v>19</v>
      </c>
      <c r="F199" s="91" t="s">
        <v>15</v>
      </c>
      <c r="G199" s="91" t="s">
        <v>16</v>
      </c>
      <c r="H199" s="32"/>
      <c r="I199" s="32"/>
      <c r="J199" s="31">
        <v>2</v>
      </c>
    </row>
    <row r="200" spans="1:10" ht="60" x14ac:dyDescent="0.25">
      <c r="A200" s="90" t="s">
        <v>265</v>
      </c>
      <c r="B200" s="90" t="s">
        <v>11</v>
      </c>
      <c r="C200" s="7" t="s">
        <v>20</v>
      </c>
      <c r="D200" s="8" t="s">
        <v>21</v>
      </c>
      <c r="E200" s="8" t="s">
        <v>22</v>
      </c>
      <c r="F200" s="91" t="s">
        <v>15</v>
      </c>
      <c r="G200" s="91" t="s">
        <v>16</v>
      </c>
      <c r="H200" s="32"/>
      <c r="I200" s="31">
        <v>1</v>
      </c>
      <c r="J200" s="32"/>
    </row>
    <row r="201" spans="1:10" ht="72" x14ac:dyDescent="0.25">
      <c r="A201" s="90" t="s">
        <v>265</v>
      </c>
      <c r="B201" s="90" t="s">
        <v>11</v>
      </c>
      <c r="C201" s="7" t="s">
        <v>23</v>
      </c>
      <c r="D201" s="8" t="s">
        <v>24</v>
      </c>
      <c r="E201" s="8" t="s">
        <v>25</v>
      </c>
      <c r="F201" s="91" t="s">
        <v>15</v>
      </c>
      <c r="G201" s="91" t="s">
        <v>16</v>
      </c>
      <c r="H201" s="32"/>
      <c r="I201" s="31">
        <v>1</v>
      </c>
      <c r="J201" s="32"/>
    </row>
    <row r="202" spans="1:10" ht="60" x14ac:dyDescent="0.25">
      <c r="A202" s="90" t="s">
        <v>265</v>
      </c>
      <c r="B202" s="90" t="s">
        <v>11</v>
      </c>
      <c r="C202" s="7" t="s">
        <v>26</v>
      </c>
      <c r="D202" s="8" t="s">
        <v>27</v>
      </c>
      <c r="E202" s="8" t="s">
        <v>28</v>
      </c>
      <c r="F202" s="91" t="s">
        <v>15</v>
      </c>
      <c r="G202" s="91" t="s">
        <v>16</v>
      </c>
      <c r="H202" s="32"/>
      <c r="I202" s="31">
        <v>1</v>
      </c>
      <c r="J202" s="32"/>
    </row>
    <row r="203" spans="1:10" ht="60" x14ac:dyDescent="0.25">
      <c r="A203" s="90" t="s">
        <v>265</v>
      </c>
      <c r="B203" s="90" t="s">
        <v>11</v>
      </c>
      <c r="C203" s="7" t="s">
        <v>29</v>
      </c>
      <c r="D203" s="8" t="s">
        <v>30</v>
      </c>
      <c r="E203" s="8" t="s">
        <v>31</v>
      </c>
      <c r="F203" s="91" t="s">
        <v>15</v>
      </c>
      <c r="G203" s="91" t="s">
        <v>16</v>
      </c>
      <c r="H203" s="32"/>
      <c r="I203" s="32"/>
      <c r="J203" s="31">
        <v>2</v>
      </c>
    </row>
    <row r="204" spans="1:10" ht="96" x14ac:dyDescent="0.25">
      <c r="A204" s="90" t="s">
        <v>265</v>
      </c>
      <c r="B204" s="90" t="s">
        <v>11</v>
      </c>
      <c r="C204" s="7" t="s">
        <v>32</v>
      </c>
      <c r="D204" s="8" t="s">
        <v>33</v>
      </c>
      <c r="E204" s="8" t="s">
        <v>34</v>
      </c>
      <c r="F204" s="91" t="s">
        <v>15</v>
      </c>
      <c r="G204" s="91" t="s">
        <v>16</v>
      </c>
      <c r="H204" s="32"/>
      <c r="I204" s="31">
        <v>1</v>
      </c>
      <c r="J204" s="32"/>
    </row>
    <row r="205" spans="1:10" ht="180" x14ac:dyDescent="0.25">
      <c r="A205" s="90" t="s">
        <v>265</v>
      </c>
      <c r="B205" s="90" t="s">
        <v>35</v>
      </c>
      <c r="C205" s="7" t="s">
        <v>36</v>
      </c>
      <c r="D205" s="8" t="s">
        <v>37</v>
      </c>
      <c r="E205" s="8" t="s">
        <v>38</v>
      </c>
      <c r="F205" s="8" t="s">
        <v>39</v>
      </c>
      <c r="G205" s="8" t="s">
        <v>40</v>
      </c>
      <c r="H205" s="31">
        <v>0</v>
      </c>
      <c r="I205" s="32"/>
      <c r="J205" s="32"/>
    </row>
    <row r="206" spans="1:10" ht="108" x14ac:dyDescent="0.25">
      <c r="A206" s="90" t="s">
        <v>265</v>
      </c>
      <c r="B206" s="90" t="s">
        <v>35</v>
      </c>
      <c r="C206" s="7" t="s">
        <v>41</v>
      </c>
      <c r="D206" s="8" t="s">
        <v>42</v>
      </c>
      <c r="E206" s="8" t="s">
        <v>43</v>
      </c>
      <c r="F206" s="8" t="s">
        <v>44</v>
      </c>
      <c r="G206" s="8" t="s">
        <v>40</v>
      </c>
      <c r="H206" s="32"/>
      <c r="I206" s="31">
        <v>1</v>
      </c>
      <c r="J206" s="32"/>
    </row>
    <row r="207" spans="1:10" ht="108" x14ac:dyDescent="0.25">
      <c r="A207" s="90" t="s">
        <v>265</v>
      </c>
      <c r="B207" s="90" t="s">
        <v>35</v>
      </c>
      <c r="C207" s="7" t="s">
        <v>45</v>
      </c>
      <c r="D207" s="8" t="s">
        <v>46</v>
      </c>
      <c r="E207" s="8" t="s">
        <v>47</v>
      </c>
      <c r="F207" s="8" t="s">
        <v>48</v>
      </c>
      <c r="G207" s="8" t="s">
        <v>40</v>
      </c>
      <c r="H207" s="31">
        <v>0</v>
      </c>
      <c r="I207" s="32"/>
      <c r="J207" s="32"/>
    </row>
    <row r="208" spans="1:10" ht="108" x14ac:dyDescent="0.25">
      <c r="A208" s="90" t="s">
        <v>265</v>
      </c>
      <c r="B208" s="90" t="s">
        <v>35</v>
      </c>
      <c r="C208" s="7" t="s">
        <v>49</v>
      </c>
      <c r="D208" s="8" t="s">
        <v>50</v>
      </c>
      <c r="E208" s="8" t="s">
        <v>51</v>
      </c>
      <c r="F208" s="8" t="s">
        <v>52</v>
      </c>
      <c r="G208" s="8" t="s">
        <v>40</v>
      </c>
      <c r="H208" s="32"/>
      <c r="I208" s="32"/>
      <c r="J208" s="31">
        <v>2</v>
      </c>
    </row>
    <row r="209" spans="1:10" ht="96" x14ac:dyDescent="0.25">
      <c r="A209" s="90" t="s">
        <v>265</v>
      </c>
      <c r="B209" s="9" t="s">
        <v>53</v>
      </c>
      <c r="C209" s="7" t="s">
        <v>54</v>
      </c>
      <c r="D209" s="8" t="s">
        <v>55</v>
      </c>
      <c r="E209" s="11" t="s">
        <v>56</v>
      </c>
      <c r="F209" s="8" t="s">
        <v>57</v>
      </c>
      <c r="G209" s="8" t="s">
        <v>58</v>
      </c>
      <c r="H209" s="32"/>
      <c r="I209" s="31">
        <v>1</v>
      </c>
      <c r="J209" s="32"/>
    </row>
    <row r="210" spans="1:10" ht="108" x14ac:dyDescent="0.25">
      <c r="A210" s="90" t="s">
        <v>265</v>
      </c>
      <c r="B210" s="90" t="s">
        <v>257</v>
      </c>
      <c r="C210" s="7" t="s">
        <v>60</v>
      </c>
      <c r="D210" s="8" t="s">
        <v>61</v>
      </c>
      <c r="E210" s="8" t="s">
        <v>62</v>
      </c>
      <c r="F210" s="8" t="s">
        <v>63</v>
      </c>
      <c r="G210" s="8" t="s">
        <v>58</v>
      </c>
      <c r="H210" s="32"/>
      <c r="I210" s="32"/>
      <c r="J210" s="31">
        <v>2</v>
      </c>
    </row>
    <row r="211" spans="1:10" ht="108" x14ac:dyDescent="0.25">
      <c r="A211" s="90" t="s">
        <v>265</v>
      </c>
      <c r="B211" s="90" t="s">
        <v>257</v>
      </c>
      <c r="C211" s="7" t="s">
        <v>64</v>
      </c>
      <c r="D211" s="8" t="s">
        <v>65</v>
      </c>
      <c r="E211" s="8" t="s">
        <v>66</v>
      </c>
      <c r="F211" s="8" t="s">
        <v>67</v>
      </c>
      <c r="G211" s="8" t="s">
        <v>40</v>
      </c>
      <c r="H211" s="32"/>
      <c r="I211" s="32"/>
      <c r="J211" s="31">
        <v>2</v>
      </c>
    </row>
    <row r="212" spans="1:10" ht="72" x14ac:dyDescent="0.25">
      <c r="A212" s="90" t="s">
        <v>266</v>
      </c>
      <c r="B212" s="90" t="s">
        <v>11</v>
      </c>
      <c r="C212" s="7" t="s">
        <v>12</v>
      </c>
      <c r="D212" s="8" t="s">
        <v>13</v>
      </c>
      <c r="E212" s="8" t="s">
        <v>14</v>
      </c>
      <c r="F212" s="91" t="s">
        <v>15</v>
      </c>
      <c r="G212" s="91" t="s">
        <v>16</v>
      </c>
      <c r="H212" s="32"/>
      <c r="I212" s="31">
        <v>1</v>
      </c>
      <c r="J212" s="32"/>
    </row>
    <row r="213" spans="1:10" ht="72" x14ac:dyDescent="0.25">
      <c r="A213" s="90" t="s">
        <v>266</v>
      </c>
      <c r="B213" s="90" t="s">
        <v>11</v>
      </c>
      <c r="C213" s="7" t="s">
        <v>17</v>
      </c>
      <c r="D213" s="8" t="s">
        <v>18</v>
      </c>
      <c r="E213" s="8" t="s">
        <v>19</v>
      </c>
      <c r="F213" s="91" t="s">
        <v>15</v>
      </c>
      <c r="G213" s="91" t="s">
        <v>16</v>
      </c>
      <c r="H213" s="32"/>
      <c r="I213" s="32"/>
      <c r="J213" s="31">
        <v>2</v>
      </c>
    </row>
    <row r="214" spans="1:10" ht="60" x14ac:dyDescent="0.25">
      <c r="A214" s="90" t="s">
        <v>266</v>
      </c>
      <c r="B214" s="90" t="s">
        <v>11</v>
      </c>
      <c r="C214" s="7" t="s">
        <v>20</v>
      </c>
      <c r="D214" s="8" t="s">
        <v>21</v>
      </c>
      <c r="E214" s="8" t="s">
        <v>22</v>
      </c>
      <c r="F214" s="91" t="s">
        <v>15</v>
      </c>
      <c r="G214" s="91" t="s">
        <v>16</v>
      </c>
      <c r="H214" s="32"/>
      <c r="I214" s="31">
        <v>1</v>
      </c>
      <c r="J214" s="32"/>
    </row>
    <row r="215" spans="1:10" ht="72" x14ac:dyDescent="0.25">
      <c r="A215" s="90" t="s">
        <v>266</v>
      </c>
      <c r="B215" s="90" t="s">
        <v>11</v>
      </c>
      <c r="C215" s="7" t="s">
        <v>23</v>
      </c>
      <c r="D215" s="8" t="s">
        <v>24</v>
      </c>
      <c r="E215" s="8" t="s">
        <v>25</v>
      </c>
      <c r="F215" s="91" t="s">
        <v>15</v>
      </c>
      <c r="G215" s="91" t="s">
        <v>16</v>
      </c>
      <c r="H215" s="32"/>
      <c r="I215" s="32"/>
      <c r="J215" s="31">
        <v>2</v>
      </c>
    </row>
    <row r="216" spans="1:10" ht="60" x14ac:dyDescent="0.25">
      <c r="A216" s="90" t="s">
        <v>266</v>
      </c>
      <c r="B216" s="90" t="s">
        <v>11</v>
      </c>
      <c r="C216" s="7" t="s">
        <v>26</v>
      </c>
      <c r="D216" s="8" t="s">
        <v>27</v>
      </c>
      <c r="E216" s="8" t="s">
        <v>28</v>
      </c>
      <c r="F216" s="91" t="s">
        <v>15</v>
      </c>
      <c r="G216" s="91" t="s">
        <v>16</v>
      </c>
      <c r="H216" s="32"/>
      <c r="I216" s="32"/>
      <c r="J216" s="31">
        <v>2</v>
      </c>
    </row>
    <row r="217" spans="1:10" ht="60" x14ac:dyDescent="0.25">
      <c r="A217" s="90" t="s">
        <v>266</v>
      </c>
      <c r="B217" s="90" t="s">
        <v>11</v>
      </c>
      <c r="C217" s="7" t="s">
        <v>29</v>
      </c>
      <c r="D217" s="8" t="s">
        <v>30</v>
      </c>
      <c r="E217" s="8" t="s">
        <v>31</v>
      </c>
      <c r="F217" s="91" t="s">
        <v>15</v>
      </c>
      <c r="G217" s="91" t="s">
        <v>16</v>
      </c>
      <c r="H217" s="32"/>
      <c r="I217" s="32"/>
      <c r="J217" s="31">
        <v>2</v>
      </c>
    </row>
    <row r="218" spans="1:10" ht="96" x14ac:dyDescent="0.25">
      <c r="A218" s="90" t="s">
        <v>266</v>
      </c>
      <c r="B218" s="90" t="s">
        <v>11</v>
      </c>
      <c r="C218" s="7" t="s">
        <v>32</v>
      </c>
      <c r="D218" s="8" t="s">
        <v>33</v>
      </c>
      <c r="E218" s="8" t="s">
        <v>34</v>
      </c>
      <c r="F218" s="91" t="s">
        <v>15</v>
      </c>
      <c r="G218" s="91" t="s">
        <v>16</v>
      </c>
      <c r="H218" s="32"/>
      <c r="I218" s="31">
        <v>1</v>
      </c>
      <c r="J218" s="32"/>
    </row>
    <row r="219" spans="1:10" ht="180" x14ac:dyDescent="0.25">
      <c r="A219" s="90" t="s">
        <v>266</v>
      </c>
      <c r="B219" s="90" t="s">
        <v>35</v>
      </c>
      <c r="C219" s="7" t="s">
        <v>36</v>
      </c>
      <c r="D219" s="8" t="s">
        <v>37</v>
      </c>
      <c r="E219" s="8" t="s">
        <v>38</v>
      </c>
      <c r="F219" s="8" t="s">
        <v>39</v>
      </c>
      <c r="G219" s="8" t="s">
        <v>40</v>
      </c>
      <c r="H219" s="32"/>
      <c r="I219" s="31">
        <v>1</v>
      </c>
      <c r="J219" s="32"/>
    </row>
    <row r="220" spans="1:10" ht="108" x14ac:dyDescent="0.25">
      <c r="A220" s="90" t="s">
        <v>266</v>
      </c>
      <c r="B220" s="90" t="s">
        <v>35</v>
      </c>
      <c r="C220" s="7" t="s">
        <v>41</v>
      </c>
      <c r="D220" s="8" t="s">
        <v>42</v>
      </c>
      <c r="E220" s="8" t="s">
        <v>43</v>
      </c>
      <c r="F220" s="8" t="s">
        <v>44</v>
      </c>
      <c r="G220" s="8" t="s">
        <v>40</v>
      </c>
      <c r="H220" s="32"/>
      <c r="I220" s="32"/>
      <c r="J220" s="31">
        <v>2</v>
      </c>
    </row>
    <row r="221" spans="1:10" ht="108" x14ac:dyDescent="0.25">
      <c r="A221" s="90" t="s">
        <v>266</v>
      </c>
      <c r="B221" s="90" t="s">
        <v>35</v>
      </c>
      <c r="C221" s="7" t="s">
        <v>45</v>
      </c>
      <c r="D221" s="8" t="s">
        <v>46</v>
      </c>
      <c r="E221" s="8" t="s">
        <v>47</v>
      </c>
      <c r="F221" s="8" t="s">
        <v>48</v>
      </c>
      <c r="G221" s="8" t="s">
        <v>40</v>
      </c>
      <c r="H221" s="31">
        <v>0</v>
      </c>
      <c r="I221" s="32"/>
      <c r="J221" s="32"/>
    </row>
    <row r="222" spans="1:10" ht="108" x14ac:dyDescent="0.25">
      <c r="A222" s="90" t="s">
        <v>266</v>
      </c>
      <c r="B222" s="90" t="s">
        <v>35</v>
      </c>
      <c r="C222" s="7" t="s">
        <v>49</v>
      </c>
      <c r="D222" s="8" t="s">
        <v>50</v>
      </c>
      <c r="E222" s="8" t="s">
        <v>51</v>
      </c>
      <c r="F222" s="8" t="s">
        <v>52</v>
      </c>
      <c r="G222" s="8" t="s">
        <v>40</v>
      </c>
      <c r="H222" s="32"/>
      <c r="I222" s="31">
        <v>1</v>
      </c>
      <c r="J222" s="32"/>
    </row>
    <row r="223" spans="1:10" ht="96" x14ac:dyDescent="0.25">
      <c r="A223" s="90" t="s">
        <v>266</v>
      </c>
      <c r="B223" s="9" t="s">
        <v>53</v>
      </c>
      <c r="C223" s="7" t="s">
        <v>54</v>
      </c>
      <c r="D223" s="8" t="s">
        <v>55</v>
      </c>
      <c r="E223" s="11" t="s">
        <v>56</v>
      </c>
      <c r="F223" s="8" t="s">
        <v>57</v>
      </c>
      <c r="G223" s="8" t="s">
        <v>58</v>
      </c>
      <c r="H223" s="32"/>
      <c r="I223" s="31">
        <v>1</v>
      </c>
      <c r="J223" s="32"/>
    </row>
    <row r="224" spans="1:10" ht="108" x14ac:dyDescent="0.25">
      <c r="A224" s="90" t="s">
        <v>266</v>
      </c>
      <c r="B224" s="90" t="s">
        <v>257</v>
      </c>
      <c r="C224" s="7" t="s">
        <v>60</v>
      </c>
      <c r="D224" s="8" t="s">
        <v>61</v>
      </c>
      <c r="E224" s="8" t="s">
        <v>62</v>
      </c>
      <c r="F224" s="8" t="s">
        <v>63</v>
      </c>
      <c r="G224" s="8" t="s">
        <v>58</v>
      </c>
      <c r="H224" s="32"/>
      <c r="I224" s="31">
        <v>1</v>
      </c>
      <c r="J224" s="32"/>
    </row>
    <row r="225" spans="1:10" ht="108" x14ac:dyDescent="0.25">
      <c r="A225" s="90" t="s">
        <v>266</v>
      </c>
      <c r="B225" s="90" t="s">
        <v>257</v>
      </c>
      <c r="C225" s="7" t="s">
        <v>64</v>
      </c>
      <c r="D225" s="8" t="s">
        <v>65</v>
      </c>
      <c r="E225" s="8" t="s">
        <v>66</v>
      </c>
      <c r="F225" s="8" t="s">
        <v>67</v>
      </c>
      <c r="G225" s="8" t="s">
        <v>40</v>
      </c>
      <c r="H225" s="32"/>
      <c r="I225" s="31">
        <v>1</v>
      </c>
      <c r="J225" s="32"/>
    </row>
    <row r="226" spans="1:10" ht="72" x14ac:dyDescent="0.25">
      <c r="A226" s="90" t="s">
        <v>267</v>
      </c>
      <c r="B226" s="90" t="s">
        <v>11</v>
      </c>
      <c r="C226" s="7" t="s">
        <v>12</v>
      </c>
      <c r="D226" s="8" t="s">
        <v>13</v>
      </c>
      <c r="E226" s="8" t="s">
        <v>14</v>
      </c>
      <c r="F226" s="91" t="s">
        <v>15</v>
      </c>
      <c r="G226" s="91" t="s">
        <v>16</v>
      </c>
      <c r="H226" s="32"/>
      <c r="I226" s="31">
        <v>1</v>
      </c>
      <c r="J226" s="32"/>
    </row>
    <row r="227" spans="1:10" ht="72" x14ac:dyDescent="0.25">
      <c r="A227" s="90" t="s">
        <v>267</v>
      </c>
      <c r="B227" s="90" t="s">
        <v>11</v>
      </c>
      <c r="C227" s="7" t="s">
        <v>17</v>
      </c>
      <c r="D227" s="8" t="s">
        <v>18</v>
      </c>
      <c r="E227" s="8" t="s">
        <v>19</v>
      </c>
      <c r="F227" s="91" t="s">
        <v>15</v>
      </c>
      <c r="G227" s="91" t="s">
        <v>16</v>
      </c>
      <c r="H227" s="32"/>
      <c r="I227" s="31">
        <v>1</v>
      </c>
      <c r="J227" s="32"/>
    </row>
    <row r="228" spans="1:10" ht="60" x14ac:dyDescent="0.25">
      <c r="A228" s="90" t="s">
        <v>267</v>
      </c>
      <c r="B228" s="90" t="s">
        <v>11</v>
      </c>
      <c r="C228" s="7" t="s">
        <v>20</v>
      </c>
      <c r="D228" s="8" t="s">
        <v>21</v>
      </c>
      <c r="E228" s="8" t="s">
        <v>22</v>
      </c>
      <c r="F228" s="91" t="s">
        <v>15</v>
      </c>
      <c r="G228" s="91" t="s">
        <v>16</v>
      </c>
      <c r="H228" s="32"/>
      <c r="I228" s="31">
        <v>1</v>
      </c>
      <c r="J228" s="32"/>
    </row>
    <row r="229" spans="1:10" ht="72" x14ac:dyDescent="0.25">
      <c r="A229" s="90" t="s">
        <v>267</v>
      </c>
      <c r="B229" s="90" t="s">
        <v>11</v>
      </c>
      <c r="C229" s="7" t="s">
        <v>23</v>
      </c>
      <c r="D229" s="8" t="s">
        <v>24</v>
      </c>
      <c r="E229" s="8" t="s">
        <v>25</v>
      </c>
      <c r="F229" s="91" t="s">
        <v>15</v>
      </c>
      <c r="G229" s="91" t="s">
        <v>16</v>
      </c>
      <c r="H229" s="32"/>
      <c r="I229" s="32"/>
      <c r="J229" s="31">
        <v>2</v>
      </c>
    </row>
    <row r="230" spans="1:10" ht="60" x14ac:dyDescent="0.25">
      <c r="A230" s="90" t="s">
        <v>267</v>
      </c>
      <c r="B230" s="90" t="s">
        <v>11</v>
      </c>
      <c r="C230" s="7" t="s">
        <v>26</v>
      </c>
      <c r="D230" s="8" t="s">
        <v>27</v>
      </c>
      <c r="E230" s="8" t="s">
        <v>28</v>
      </c>
      <c r="F230" s="91" t="s">
        <v>15</v>
      </c>
      <c r="G230" s="91" t="s">
        <v>16</v>
      </c>
      <c r="H230" s="32"/>
      <c r="I230" s="31">
        <v>1</v>
      </c>
      <c r="J230" s="32"/>
    </row>
    <row r="231" spans="1:10" ht="60" x14ac:dyDescent="0.25">
      <c r="A231" s="90" t="s">
        <v>267</v>
      </c>
      <c r="B231" s="90" t="s">
        <v>11</v>
      </c>
      <c r="C231" s="7" t="s">
        <v>29</v>
      </c>
      <c r="D231" s="8" t="s">
        <v>30</v>
      </c>
      <c r="E231" s="8" t="s">
        <v>31</v>
      </c>
      <c r="F231" s="91" t="s">
        <v>15</v>
      </c>
      <c r="G231" s="91" t="s">
        <v>16</v>
      </c>
      <c r="H231" s="32"/>
      <c r="I231" s="32"/>
      <c r="J231" s="31">
        <v>2</v>
      </c>
    </row>
    <row r="232" spans="1:10" ht="96" x14ac:dyDescent="0.25">
      <c r="A232" s="90" t="s">
        <v>267</v>
      </c>
      <c r="B232" s="90" t="s">
        <v>11</v>
      </c>
      <c r="C232" s="7" t="s">
        <v>32</v>
      </c>
      <c r="D232" s="8" t="s">
        <v>33</v>
      </c>
      <c r="E232" s="8" t="s">
        <v>34</v>
      </c>
      <c r="F232" s="91" t="s">
        <v>15</v>
      </c>
      <c r="G232" s="91" t="s">
        <v>16</v>
      </c>
      <c r="H232" s="32"/>
      <c r="I232" s="31">
        <v>1</v>
      </c>
      <c r="J232" s="32"/>
    </row>
    <row r="233" spans="1:10" ht="180" x14ac:dyDescent="0.25">
      <c r="A233" s="90" t="s">
        <v>267</v>
      </c>
      <c r="B233" s="90" t="s">
        <v>35</v>
      </c>
      <c r="C233" s="7" t="s">
        <v>36</v>
      </c>
      <c r="D233" s="8" t="s">
        <v>37</v>
      </c>
      <c r="E233" s="8" t="s">
        <v>38</v>
      </c>
      <c r="F233" s="8" t="s">
        <v>39</v>
      </c>
      <c r="G233" s="8" t="s">
        <v>40</v>
      </c>
      <c r="H233" s="31">
        <v>0</v>
      </c>
      <c r="I233" s="32"/>
      <c r="J233" s="32"/>
    </row>
    <row r="234" spans="1:10" ht="108" x14ac:dyDescent="0.25">
      <c r="A234" s="90" t="s">
        <v>267</v>
      </c>
      <c r="B234" s="90" t="s">
        <v>35</v>
      </c>
      <c r="C234" s="7" t="s">
        <v>41</v>
      </c>
      <c r="D234" s="8" t="s">
        <v>42</v>
      </c>
      <c r="E234" s="8" t="s">
        <v>43</v>
      </c>
      <c r="F234" s="8" t="s">
        <v>44</v>
      </c>
      <c r="G234" s="8" t="s">
        <v>40</v>
      </c>
      <c r="H234" s="32"/>
      <c r="I234" s="32"/>
      <c r="J234" s="31">
        <v>2</v>
      </c>
    </row>
    <row r="235" spans="1:10" ht="108" x14ac:dyDescent="0.25">
      <c r="A235" s="90" t="s">
        <v>267</v>
      </c>
      <c r="B235" s="90" t="s">
        <v>35</v>
      </c>
      <c r="C235" s="7" t="s">
        <v>45</v>
      </c>
      <c r="D235" s="8" t="s">
        <v>46</v>
      </c>
      <c r="E235" s="8" t="s">
        <v>47</v>
      </c>
      <c r="F235" s="8" t="s">
        <v>48</v>
      </c>
      <c r="G235" s="8" t="s">
        <v>40</v>
      </c>
      <c r="H235" s="31">
        <v>0</v>
      </c>
      <c r="I235" s="32"/>
      <c r="J235" s="32"/>
    </row>
    <row r="236" spans="1:10" ht="108" x14ac:dyDescent="0.25">
      <c r="A236" s="90" t="s">
        <v>267</v>
      </c>
      <c r="B236" s="90" t="s">
        <v>35</v>
      </c>
      <c r="C236" s="7" t="s">
        <v>49</v>
      </c>
      <c r="D236" s="8" t="s">
        <v>50</v>
      </c>
      <c r="E236" s="8" t="s">
        <v>51</v>
      </c>
      <c r="F236" s="8" t="s">
        <v>52</v>
      </c>
      <c r="G236" s="8" t="s">
        <v>40</v>
      </c>
      <c r="H236" s="32"/>
      <c r="I236" s="32"/>
      <c r="J236" s="31">
        <v>2</v>
      </c>
    </row>
    <row r="237" spans="1:10" ht="96" x14ac:dyDescent="0.25">
      <c r="A237" s="90" t="s">
        <v>267</v>
      </c>
      <c r="B237" s="9" t="s">
        <v>53</v>
      </c>
      <c r="C237" s="7" t="s">
        <v>54</v>
      </c>
      <c r="D237" s="8" t="s">
        <v>55</v>
      </c>
      <c r="E237" s="11" t="s">
        <v>56</v>
      </c>
      <c r="F237" s="8" t="s">
        <v>57</v>
      </c>
      <c r="G237" s="8" t="s">
        <v>58</v>
      </c>
      <c r="H237" s="32"/>
      <c r="I237" s="31">
        <v>1</v>
      </c>
      <c r="J237" s="32"/>
    </row>
    <row r="238" spans="1:10" ht="108" x14ac:dyDescent="0.25">
      <c r="A238" s="90" t="s">
        <v>267</v>
      </c>
      <c r="B238" s="90" t="s">
        <v>257</v>
      </c>
      <c r="C238" s="7" t="s">
        <v>60</v>
      </c>
      <c r="D238" s="8" t="s">
        <v>61</v>
      </c>
      <c r="E238" s="8" t="s">
        <v>62</v>
      </c>
      <c r="F238" s="8" t="s">
        <v>63</v>
      </c>
      <c r="G238" s="8" t="s">
        <v>58</v>
      </c>
      <c r="H238" s="32"/>
      <c r="I238" s="32"/>
      <c r="J238" s="31">
        <v>2</v>
      </c>
    </row>
    <row r="239" spans="1:10" ht="108" x14ac:dyDescent="0.25">
      <c r="A239" s="90" t="s">
        <v>267</v>
      </c>
      <c r="B239" s="90" t="s">
        <v>257</v>
      </c>
      <c r="C239" s="7" t="s">
        <v>64</v>
      </c>
      <c r="D239" s="8" t="s">
        <v>65</v>
      </c>
      <c r="E239" s="8" t="s">
        <v>66</v>
      </c>
      <c r="F239" s="8" t="s">
        <v>67</v>
      </c>
      <c r="G239" s="8" t="s">
        <v>40</v>
      </c>
      <c r="H239" s="32"/>
      <c r="I239" s="32"/>
      <c r="J239" s="31">
        <v>2</v>
      </c>
    </row>
    <row r="240" spans="1:10" ht="72" x14ac:dyDescent="0.25">
      <c r="A240" s="90" t="s">
        <v>268</v>
      </c>
      <c r="B240" s="90" t="s">
        <v>11</v>
      </c>
      <c r="C240" s="7" t="s">
        <v>12</v>
      </c>
      <c r="D240" s="8" t="s">
        <v>13</v>
      </c>
      <c r="E240" s="8" t="s">
        <v>14</v>
      </c>
      <c r="F240" s="91" t="s">
        <v>15</v>
      </c>
      <c r="G240" s="91" t="s">
        <v>16</v>
      </c>
      <c r="H240" s="32"/>
      <c r="I240" s="31">
        <v>1</v>
      </c>
      <c r="J240" s="32"/>
    </row>
    <row r="241" spans="1:10" ht="72" x14ac:dyDescent="0.25">
      <c r="A241" s="90" t="s">
        <v>268</v>
      </c>
      <c r="B241" s="90" t="s">
        <v>11</v>
      </c>
      <c r="C241" s="7" t="s">
        <v>17</v>
      </c>
      <c r="D241" s="8" t="s">
        <v>18</v>
      </c>
      <c r="E241" s="8" t="s">
        <v>19</v>
      </c>
      <c r="F241" s="91" t="s">
        <v>15</v>
      </c>
      <c r="G241" s="91" t="s">
        <v>16</v>
      </c>
      <c r="H241" s="32"/>
      <c r="I241" s="32"/>
      <c r="J241" s="32">
        <v>2</v>
      </c>
    </row>
    <row r="242" spans="1:10" ht="60" x14ac:dyDescent="0.25">
      <c r="A242" s="90" t="s">
        <v>268</v>
      </c>
      <c r="B242" s="90" t="s">
        <v>11</v>
      </c>
      <c r="C242" s="7" t="s">
        <v>20</v>
      </c>
      <c r="D242" s="8" t="s">
        <v>21</v>
      </c>
      <c r="E242" s="8" t="s">
        <v>22</v>
      </c>
      <c r="F242" s="91" t="s">
        <v>15</v>
      </c>
      <c r="G242" s="91" t="s">
        <v>16</v>
      </c>
      <c r="H242" s="32"/>
      <c r="I242" s="32"/>
      <c r="J242" s="32">
        <v>2</v>
      </c>
    </row>
    <row r="243" spans="1:10" ht="72" x14ac:dyDescent="0.25">
      <c r="A243" s="90" t="s">
        <v>268</v>
      </c>
      <c r="B243" s="90" t="s">
        <v>11</v>
      </c>
      <c r="C243" s="7" t="s">
        <v>23</v>
      </c>
      <c r="D243" s="8" t="s">
        <v>24</v>
      </c>
      <c r="E243" s="8" t="s">
        <v>25</v>
      </c>
      <c r="F243" s="91" t="s">
        <v>15</v>
      </c>
      <c r="G243" s="91" t="s">
        <v>16</v>
      </c>
      <c r="H243" s="32"/>
      <c r="I243" s="32"/>
      <c r="J243" s="31">
        <v>2</v>
      </c>
    </row>
    <row r="244" spans="1:10" ht="60" x14ac:dyDescent="0.25">
      <c r="A244" s="90" t="s">
        <v>268</v>
      </c>
      <c r="B244" s="90" t="s">
        <v>11</v>
      </c>
      <c r="C244" s="7" t="s">
        <v>26</v>
      </c>
      <c r="D244" s="8" t="s">
        <v>27</v>
      </c>
      <c r="E244" s="8" t="s">
        <v>28</v>
      </c>
      <c r="F244" s="91" t="s">
        <v>15</v>
      </c>
      <c r="G244" s="91" t="s">
        <v>16</v>
      </c>
      <c r="H244" s="32"/>
      <c r="I244" s="32"/>
      <c r="J244" s="31">
        <v>2</v>
      </c>
    </row>
    <row r="245" spans="1:10" ht="60" x14ac:dyDescent="0.25">
      <c r="A245" s="90" t="s">
        <v>268</v>
      </c>
      <c r="B245" s="90" t="s">
        <v>11</v>
      </c>
      <c r="C245" s="7" t="s">
        <v>29</v>
      </c>
      <c r="D245" s="8" t="s">
        <v>30</v>
      </c>
      <c r="E245" s="8" t="s">
        <v>31</v>
      </c>
      <c r="F245" s="91" t="s">
        <v>15</v>
      </c>
      <c r="G245" s="91" t="s">
        <v>16</v>
      </c>
      <c r="H245" s="32"/>
      <c r="I245" s="32"/>
      <c r="J245" s="31">
        <v>2</v>
      </c>
    </row>
    <row r="246" spans="1:10" ht="96" x14ac:dyDescent="0.25">
      <c r="A246" s="90" t="s">
        <v>268</v>
      </c>
      <c r="B246" s="90" t="s">
        <v>11</v>
      </c>
      <c r="C246" s="7" t="s">
        <v>32</v>
      </c>
      <c r="D246" s="8" t="s">
        <v>33</v>
      </c>
      <c r="E246" s="8" t="s">
        <v>34</v>
      </c>
      <c r="F246" s="91" t="s">
        <v>15</v>
      </c>
      <c r="G246" s="91" t="s">
        <v>16</v>
      </c>
      <c r="H246" s="32"/>
      <c r="I246" s="32"/>
      <c r="J246" s="31">
        <v>2</v>
      </c>
    </row>
    <row r="247" spans="1:10" ht="180" x14ac:dyDescent="0.25">
      <c r="A247" s="90" t="s">
        <v>268</v>
      </c>
      <c r="B247" s="90" t="s">
        <v>35</v>
      </c>
      <c r="C247" s="7" t="s">
        <v>36</v>
      </c>
      <c r="D247" s="8" t="s">
        <v>37</v>
      </c>
      <c r="E247" s="8" t="s">
        <v>38</v>
      </c>
      <c r="F247" s="8" t="s">
        <v>39</v>
      </c>
      <c r="G247" s="8" t="s">
        <v>40</v>
      </c>
      <c r="H247" s="31">
        <v>0</v>
      </c>
      <c r="I247" s="32"/>
      <c r="J247" s="32"/>
    </row>
    <row r="248" spans="1:10" ht="108" x14ac:dyDescent="0.25">
      <c r="A248" s="90" t="s">
        <v>268</v>
      </c>
      <c r="B248" s="90" t="s">
        <v>35</v>
      </c>
      <c r="C248" s="7" t="s">
        <v>41</v>
      </c>
      <c r="D248" s="8" t="s">
        <v>42</v>
      </c>
      <c r="E248" s="8" t="s">
        <v>43</v>
      </c>
      <c r="F248" s="8" t="s">
        <v>44</v>
      </c>
      <c r="G248" s="8" t="s">
        <v>40</v>
      </c>
      <c r="H248" s="32"/>
      <c r="I248" s="32"/>
      <c r="J248" s="31">
        <v>2</v>
      </c>
    </row>
    <row r="249" spans="1:10" ht="108" x14ac:dyDescent="0.25">
      <c r="A249" s="90" t="s">
        <v>268</v>
      </c>
      <c r="B249" s="90" t="s">
        <v>35</v>
      </c>
      <c r="C249" s="7" t="s">
        <v>45</v>
      </c>
      <c r="D249" s="8" t="s">
        <v>46</v>
      </c>
      <c r="E249" s="8" t="s">
        <v>47</v>
      </c>
      <c r="F249" s="8" t="s">
        <v>48</v>
      </c>
      <c r="G249" s="8" t="s">
        <v>40</v>
      </c>
      <c r="H249" s="32"/>
      <c r="I249" s="31">
        <v>1</v>
      </c>
      <c r="J249" s="32"/>
    </row>
    <row r="250" spans="1:10" ht="108" x14ac:dyDescent="0.25">
      <c r="A250" s="90" t="s">
        <v>268</v>
      </c>
      <c r="B250" s="90" t="s">
        <v>35</v>
      </c>
      <c r="C250" s="7" t="s">
        <v>49</v>
      </c>
      <c r="D250" s="8" t="s">
        <v>50</v>
      </c>
      <c r="E250" s="8" t="s">
        <v>51</v>
      </c>
      <c r="F250" s="8" t="s">
        <v>52</v>
      </c>
      <c r="G250" s="8" t="s">
        <v>40</v>
      </c>
      <c r="H250" s="32"/>
      <c r="I250" s="32"/>
      <c r="J250" s="31">
        <v>2</v>
      </c>
    </row>
    <row r="251" spans="1:10" ht="96" x14ac:dyDescent="0.25">
      <c r="A251" s="90" t="s">
        <v>268</v>
      </c>
      <c r="B251" s="9" t="s">
        <v>53</v>
      </c>
      <c r="C251" s="7" t="s">
        <v>54</v>
      </c>
      <c r="D251" s="8" t="s">
        <v>55</v>
      </c>
      <c r="E251" s="11" t="s">
        <v>56</v>
      </c>
      <c r="F251" s="8" t="s">
        <v>57</v>
      </c>
      <c r="G251" s="8" t="s">
        <v>58</v>
      </c>
      <c r="H251" s="32"/>
      <c r="I251" s="31">
        <v>1</v>
      </c>
      <c r="J251" s="32"/>
    </row>
    <row r="252" spans="1:10" ht="108" x14ac:dyDescent="0.25">
      <c r="A252" s="90" t="s">
        <v>268</v>
      </c>
      <c r="B252" s="90" t="s">
        <v>257</v>
      </c>
      <c r="C252" s="7" t="s">
        <v>60</v>
      </c>
      <c r="D252" s="8" t="s">
        <v>61</v>
      </c>
      <c r="E252" s="8" t="s">
        <v>62</v>
      </c>
      <c r="F252" s="8" t="s">
        <v>63</v>
      </c>
      <c r="G252" s="8" t="s">
        <v>58</v>
      </c>
      <c r="H252" s="32"/>
      <c r="I252" s="32"/>
      <c r="J252" s="31">
        <v>2</v>
      </c>
    </row>
    <row r="253" spans="1:10" ht="108" x14ac:dyDescent="0.25">
      <c r="A253" s="90" t="s">
        <v>268</v>
      </c>
      <c r="B253" s="90" t="s">
        <v>257</v>
      </c>
      <c r="C253" s="7" t="s">
        <v>64</v>
      </c>
      <c r="D253" s="8" t="s">
        <v>65</v>
      </c>
      <c r="E253" s="8" t="s">
        <v>66</v>
      </c>
      <c r="F253" s="8" t="s">
        <v>67</v>
      </c>
      <c r="G253" s="8" t="s">
        <v>40</v>
      </c>
      <c r="H253" s="32"/>
      <c r="I253" s="32"/>
      <c r="J253" s="31">
        <v>2</v>
      </c>
    </row>
    <row r="254" spans="1:10" ht="72" x14ac:dyDescent="0.25">
      <c r="A254" s="90" t="s">
        <v>282</v>
      </c>
      <c r="B254" s="90" t="s">
        <v>11</v>
      </c>
      <c r="C254" s="7" t="s">
        <v>12</v>
      </c>
      <c r="D254" s="8" t="s">
        <v>13</v>
      </c>
      <c r="E254" s="8" t="s">
        <v>14</v>
      </c>
      <c r="F254" s="91" t="s">
        <v>15</v>
      </c>
      <c r="G254" s="93" t="s">
        <v>88</v>
      </c>
      <c r="H254" s="32"/>
      <c r="I254" s="31">
        <v>1</v>
      </c>
      <c r="J254" s="32"/>
    </row>
    <row r="255" spans="1:10" ht="72" x14ac:dyDescent="0.25">
      <c r="A255" s="90" t="s">
        <v>282</v>
      </c>
      <c r="B255" s="90" t="s">
        <v>11</v>
      </c>
      <c r="C255" s="7" t="s">
        <v>17</v>
      </c>
      <c r="D255" s="8" t="s">
        <v>18</v>
      </c>
      <c r="E255" s="8" t="s">
        <v>19</v>
      </c>
      <c r="F255" s="91" t="s">
        <v>15</v>
      </c>
      <c r="G255" s="93" t="s">
        <v>269</v>
      </c>
      <c r="H255" s="32"/>
      <c r="I255" s="32"/>
      <c r="J255" s="31">
        <v>2</v>
      </c>
    </row>
    <row r="256" spans="1:10" ht="60" x14ac:dyDescent="0.25">
      <c r="A256" s="90" t="s">
        <v>282</v>
      </c>
      <c r="B256" s="90" t="s">
        <v>11</v>
      </c>
      <c r="C256" s="7" t="s">
        <v>20</v>
      </c>
      <c r="D256" s="8" t="s">
        <v>21</v>
      </c>
      <c r="E256" s="8" t="s">
        <v>22</v>
      </c>
      <c r="F256" s="91" t="s">
        <v>15</v>
      </c>
      <c r="G256" s="93" t="s">
        <v>270</v>
      </c>
      <c r="H256" s="32"/>
      <c r="I256" s="32"/>
      <c r="J256" s="31">
        <v>2</v>
      </c>
    </row>
    <row r="257" spans="1:10" ht="72" x14ac:dyDescent="0.25">
      <c r="A257" s="90" t="s">
        <v>282</v>
      </c>
      <c r="B257" s="90" t="s">
        <v>11</v>
      </c>
      <c r="C257" s="7" t="s">
        <v>23</v>
      </c>
      <c r="D257" s="8" t="s">
        <v>24</v>
      </c>
      <c r="E257" s="8" t="s">
        <v>25</v>
      </c>
      <c r="F257" s="91" t="s">
        <v>15</v>
      </c>
      <c r="G257" s="93" t="s">
        <v>271</v>
      </c>
      <c r="H257" s="32"/>
      <c r="I257" s="32"/>
      <c r="J257" s="31">
        <v>2</v>
      </c>
    </row>
    <row r="258" spans="1:10" ht="60" x14ac:dyDescent="0.25">
      <c r="A258" s="90" t="s">
        <v>282</v>
      </c>
      <c r="B258" s="90" t="s">
        <v>11</v>
      </c>
      <c r="C258" s="7" t="s">
        <v>26</v>
      </c>
      <c r="D258" s="8" t="s">
        <v>27</v>
      </c>
      <c r="E258" s="8" t="s">
        <v>28</v>
      </c>
      <c r="F258" s="91" t="s">
        <v>15</v>
      </c>
      <c r="G258" s="93" t="s">
        <v>272</v>
      </c>
      <c r="H258" s="32"/>
      <c r="I258" s="32"/>
      <c r="J258" s="31">
        <v>2</v>
      </c>
    </row>
    <row r="259" spans="1:10" ht="60" x14ac:dyDescent="0.25">
      <c r="A259" s="90" t="s">
        <v>282</v>
      </c>
      <c r="B259" s="90" t="s">
        <v>11</v>
      </c>
      <c r="C259" s="7" t="s">
        <v>29</v>
      </c>
      <c r="D259" s="8" t="s">
        <v>30</v>
      </c>
      <c r="E259" s="8" t="s">
        <v>31</v>
      </c>
      <c r="F259" s="91" t="s">
        <v>15</v>
      </c>
      <c r="G259" s="93" t="s">
        <v>273</v>
      </c>
      <c r="H259" s="32"/>
      <c r="I259" s="32"/>
      <c r="J259" s="31">
        <v>2</v>
      </c>
    </row>
    <row r="260" spans="1:10" ht="96" x14ac:dyDescent="0.25">
      <c r="A260" s="90" t="s">
        <v>282</v>
      </c>
      <c r="B260" s="90" t="s">
        <v>11</v>
      </c>
      <c r="C260" s="7" t="s">
        <v>32</v>
      </c>
      <c r="D260" s="8" t="s">
        <v>33</v>
      </c>
      <c r="E260" s="8" t="s">
        <v>34</v>
      </c>
      <c r="F260" s="91" t="s">
        <v>15</v>
      </c>
      <c r="G260" s="93" t="s">
        <v>274</v>
      </c>
      <c r="H260" s="32"/>
      <c r="I260" s="32"/>
      <c r="J260" s="31">
        <v>2</v>
      </c>
    </row>
    <row r="261" spans="1:10" ht="180" x14ac:dyDescent="0.25">
      <c r="A261" s="90" t="s">
        <v>282</v>
      </c>
      <c r="B261" s="90" t="s">
        <v>35</v>
      </c>
      <c r="C261" s="7" t="s">
        <v>36</v>
      </c>
      <c r="D261" s="8" t="s">
        <v>37</v>
      </c>
      <c r="E261" s="8" t="s">
        <v>38</v>
      </c>
      <c r="F261" s="8" t="s">
        <v>39</v>
      </c>
      <c r="G261" s="93" t="s">
        <v>275</v>
      </c>
      <c r="H261" s="31">
        <v>0</v>
      </c>
      <c r="I261" s="32"/>
      <c r="J261" s="32"/>
    </row>
    <row r="262" spans="1:10" ht="108" x14ac:dyDescent="0.25">
      <c r="A262" s="90" t="s">
        <v>282</v>
      </c>
      <c r="B262" s="90" t="s">
        <v>35</v>
      </c>
      <c r="C262" s="7" t="s">
        <v>41</v>
      </c>
      <c r="D262" s="8" t="s">
        <v>42</v>
      </c>
      <c r="E262" s="8" t="s">
        <v>43</v>
      </c>
      <c r="F262" s="8" t="s">
        <v>44</v>
      </c>
      <c r="G262" s="93" t="s">
        <v>276</v>
      </c>
      <c r="H262" s="32"/>
      <c r="I262" s="32"/>
      <c r="J262" s="31">
        <v>2</v>
      </c>
    </row>
    <row r="263" spans="1:10" ht="108" x14ac:dyDescent="0.25">
      <c r="A263" s="90" t="s">
        <v>282</v>
      </c>
      <c r="B263" s="90" t="s">
        <v>35</v>
      </c>
      <c r="C263" s="7" t="s">
        <v>45</v>
      </c>
      <c r="D263" s="8" t="s">
        <v>46</v>
      </c>
      <c r="E263" s="8" t="s">
        <v>47</v>
      </c>
      <c r="F263" s="8" t="s">
        <v>48</v>
      </c>
      <c r="G263" s="93" t="s">
        <v>277</v>
      </c>
      <c r="H263" s="31">
        <v>0</v>
      </c>
      <c r="I263" s="32"/>
      <c r="J263" s="32"/>
    </row>
    <row r="264" spans="1:10" ht="108" x14ac:dyDescent="0.25">
      <c r="A264" s="90" t="s">
        <v>282</v>
      </c>
      <c r="B264" s="90" t="s">
        <v>35</v>
      </c>
      <c r="C264" s="7" t="s">
        <v>49</v>
      </c>
      <c r="D264" s="8" t="s">
        <v>50</v>
      </c>
      <c r="E264" s="8" t="s">
        <v>51</v>
      </c>
      <c r="F264" s="8" t="s">
        <v>52</v>
      </c>
      <c r="G264" s="93" t="s">
        <v>278</v>
      </c>
      <c r="H264" s="32"/>
      <c r="I264" s="32"/>
      <c r="J264" s="31">
        <v>2</v>
      </c>
    </row>
    <row r="265" spans="1:10" ht="96" x14ac:dyDescent="0.25">
      <c r="A265" s="90" t="s">
        <v>282</v>
      </c>
      <c r="B265" s="9" t="s">
        <v>53</v>
      </c>
      <c r="C265" s="7" t="s">
        <v>54</v>
      </c>
      <c r="D265" s="8" t="s">
        <v>55</v>
      </c>
      <c r="E265" s="11" t="s">
        <v>56</v>
      </c>
      <c r="F265" s="8" t="s">
        <v>57</v>
      </c>
      <c r="G265" s="93" t="s">
        <v>279</v>
      </c>
      <c r="H265" s="32"/>
      <c r="I265" s="32"/>
      <c r="J265" s="31">
        <v>2</v>
      </c>
    </row>
    <row r="266" spans="1:10" ht="108" x14ac:dyDescent="0.25">
      <c r="A266" s="90" t="s">
        <v>282</v>
      </c>
      <c r="B266" s="90" t="s">
        <v>257</v>
      </c>
      <c r="C266" s="7" t="s">
        <v>60</v>
      </c>
      <c r="D266" s="8" t="s">
        <v>61</v>
      </c>
      <c r="E266" s="8" t="s">
        <v>62</v>
      </c>
      <c r="F266" s="8" t="s">
        <v>63</v>
      </c>
      <c r="G266" s="93" t="s">
        <v>280</v>
      </c>
      <c r="H266" s="32"/>
      <c r="I266" s="32"/>
      <c r="J266" s="31">
        <v>2</v>
      </c>
    </row>
    <row r="267" spans="1:10" ht="108" x14ac:dyDescent="0.25">
      <c r="A267" s="90" t="s">
        <v>282</v>
      </c>
      <c r="B267" s="90" t="s">
        <v>257</v>
      </c>
      <c r="C267" s="7" t="s">
        <v>64</v>
      </c>
      <c r="D267" s="8" t="s">
        <v>65</v>
      </c>
      <c r="E267" s="8" t="s">
        <v>66</v>
      </c>
      <c r="F267" s="8" t="s">
        <v>67</v>
      </c>
      <c r="G267" s="93" t="s">
        <v>281</v>
      </c>
      <c r="H267" s="32"/>
      <c r="I267" s="32"/>
      <c r="J267" s="31">
        <v>2</v>
      </c>
    </row>
  </sheetData>
  <pageMargins left="0.511811024" right="0.511811024" top="0.78740157499999996" bottom="0.78740157499999996" header="0.31496062000000002" footer="0.3149606200000000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B8BFF-DB4C-428D-9F5F-98F7EDF3A578}">
  <dimension ref="A1:F126"/>
  <sheetViews>
    <sheetView topLeftCell="A104" workbookViewId="0">
      <selection activeCell="B60" sqref="B60"/>
    </sheetView>
  </sheetViews>
  <sheetFormatPr defaultRowHeight="15" x14ac:dyDescent="0.25"/>
  <cols>
    <col min="1" max="1" width="40" customWidth="1"/>
    <col min="2" max="2" width="11.7109375" customWidth="1"/>
    <col min="5" max="5" width="39.7109375" customWidth="1"/>
    <col min="6" max="6" width="15.28515625" customWidth="1"/>
  </cols>
  <sheetData>
    <row r="1" spans="1:6" x14ac:dyDescent="0.25">
      <c r="A1" t="s">
        <v>218</v>
      </c>
      <c r="B1" t="s">
        <v>219</v>
      </c>
      <c r="E1" t="s">
        <v>218</v>
      </c>
      <c r="F1" t="s">
        <v>220</v>
      </c>
    </row>
    <row r="2" spans="1:6" x14ac:dyDescent="0.25">
      <c r="A2" s="73" t="s">
        <v>89</v>
      </c>
      <c r="B2" s="75" t="s">
        <v>221</v>
      </c>
      <c r="E2" s="73" t="s">
        <v>92</v>
      </c>
      <c r="F2" t="s">
        <v>222</v>
      </c>
    </row>
    <row r="3" spans="1:6" x14ac:dyDescent="0.25">
      <c r="A3" s="73" t="s">
        <v>90</v>
      </c>
      <c r="B3" s="75">
        <v>2022</v>
      </c>
      <c r="E3" s="73" t="s">
        <v>93</v>
      </c>
      <c r="F3" t="s">
        <v>223</v>
      </c>
    </row>
    <row r="4" spans="1:6" x14ac:dyDescent="0.25">
      <c r="A4" s="73" t="s">
        <v>91</v>
      </c>
      <c r="B4" s="75">
        <v>2022</v>
      </c>
      <c r="E4" s="73" t="s">
        <v>95</v>
      </c>
      <c r="F4" t="s">
        <v>222</v>
      </c>
    </row>
    <row r="5" spans="1:6" x14ac:dyDescent="0.25">
      <c r="A5" s="73" t="s">
        <v>92</v>
      </c>
      <c r="B5" s="75" t="s">
        <v>224</v>
      </c>
      <c r="E5" s="73" t="s">
        <v>96</v>
      </c>
      <c r="F5" t="s">
        <v>225</v>
      </c>
    </row>
    <row r="6" spans="1:6" x14ac:dyDescent="0.25">
      <c r="A6" s="73" t="s">
        <v>93</v>
      </c>
      <c r="B6" s="75" t="s">
        <v>224</v>
      </c>
      <c r="E6" s="73" t="s">
        <v>100</v>
      </c>
      <c r="F6" t="s">
        <v>222</v>
      </c>
    </row>
    <row r="7" spans="1:6" x14ac:dyDescent="0.25">
      <c r="A7" s="73" t="s">
        <v>94</v>
      </c>
      <c r="B7" s="75" t="s">
        <v>221</v>
      </c>
      <c r="E7" s="73" t="s">
        <v>102</v>
      </c>
      <c r="F7" t="s">
        <v>225</v>
      </c>
    </row>
    <row r="8" spans="1:6" x14ac:dyDescent="0.25">
      <c r="A8" s="73" t="s">
        <v>95</v>
      </c>
      <c r="B8" s="75" t="s">
        <v>224</v>
      </c>
      <c r="E8" s="73" t="s">
        <v>105</v>
      </c>
      <c r="F8" t="s">
        <v>223</v>
      </c>
    </row>
    <row r="9" spans="1:6" x14ac:dyDescent="0.25">
      <c r="A9" s="73" t="s">
        <v>96</v>
      </c>
      <c r="B9" s="75" t="s">
        <v>225</v>
      </c>
      <c r="E9" s="73" t="s">
        <v>106</v>
      </c>
      <c r="F9" t="s">
        <v>223</v>
      </c>
    </row>
    <row r="10" spans="1:6" x14ac:dyDescent="0.25">
      <c r="A10" s="73" t="s">
        <v>97</v>
      </c>
      <c r="B10" s="75" t="s">
        <v>221</v>
      </c>
      <c r="E10" s="73" t="s">
        <v>107</v>
      </c>
      <c r="F10" t="s">
        <v>225</v>
      </c>
    </row>
    <row r="11" spans="1:6" x14ac:dyDescent="0.25">
      <c r="A11" s="73" t="s">
        <v>98</v>
      </c>
      <c r="B11" s="75">
        <v>2022</v>
      </c>
      <c r="E11" s="73" t="s">
        <v>108</v>
      </c>
      <c r="F11" t="s">
        <v>222</v>
      </c>
    </row>
    <row r="12" spans="1:6" x14ac:dyDescent="0.25">
      <c r="A12" s="73" t="s">
        <v>99</v>
      </c>
      <c r="B12" s="75" t="s">
        <v>221</v>
      </c>
      <c r="E12" s="73" t="s">
        <v>109</v>
      </c>
      <c r="F12" t="s">
        <v>222</v>
      </c>
    </row>
    <row r="13" spans="1:6" x14ac:dyDescent="0.25">
      <c r="A13" s="73" t="s">
        <v>100</v>
      </c>
      <c r="B13" s="75" t="s">
        <v>224</v>
      </c>
      <c r="E13" s="73" t="s">
        <v>110</v>
      </c>
      <c r="F13" t="s">
        <v>222</v>
      </c>
    </row>
    <row r="14" spans="1:6" x14ac:dyDescent="0.25">
      <c r="A14" s="73" t="s">
        <v>101</v>
      </c>
      <c r="B14" s="75">
        <v>2022</v>
      </c>
      <c r="E14" s="73" t="s">
        <v>111</v>
      </c>
      <c r="F14" t="s">
        <v>223</v>
      </c>
    </row>
    <row r="15" spans="1:6" x14ac:dyDescent="0.25">
      <c r="A15" s="73" t="s">
        <v>102</v>
      </c>
      <c r="B15" s="75" t="s">
        <v>225</v>
      </c>
      <c r="E15" s="73" t="s">
        <v>112</v>
      </c>
      <c r="F15" t="s">
        <v>222</v>
      </c>
    </row>
    <row r="16" spans="1:6" x14ac:dyDescent="0.25">
      <c r="A16" s="73" t="s">
        <v>103</v>
      </c>
      <c r="B16" s="75">
        <v>2022</v>
      </c>
      <c r="E16" s="73" t="s">
        <v>113</v>
      </c>
      <c r="F16" t="s">
        <v>226</v>
      </c>
    </row>
    <row r="17" spans="1:6" x14ac:dyDescent="0.25">
      <c r="A17" s="73" t="s">
        <v>104</v>
      </c>
      <c r="B17" s="75" t="s">
        <v>221</v>
      </c>
      <c r="E17" s="73" t="s">
        <v>116</v>
      </c>
      <c r="F17" t="s">
        <v>222</v>
      </c>
    </row>
    <row r="18" spans="1:6" x14ac:dyDescent="0.25">
      <c r="A18" s="73" t="s">
        <v>105</v>
      </c>
      <c r="B18" s="75" t="s">
        <v>224</v>
      </c>
      <c r="E18" s="73" t="s">
        <v>118</v>
      </c>
      <c r="F18" t="s">
        <v>222</v>
      </c>
    </row>
    <row r="19" spans="1:6" x14ac:dyDescent="0.25">
      <c r="A19" s="73" t="s">
        <v>106</v>
      </c>
      <c r="B19" s="75" t="s">
        <v>224</v>
      </c>
      <c r="E19" s="73" t="s">
        <v>119</v>
      </c>
      <c r="F19" t="s">
        <v>222</v>
      </c>
    </row>
    <row r="20" spans="1:6" x14ac:dyDescent="0.25">
      <c r="A20" s="73" t="s">
        <v>107</v>
      </c>
      <c r="B20" s="75" t="s">
        <v>225</v>
      </c>
      <c r="E20" s="73" t="s">
        <v>120</v>
      </c>
      <c r="F20" t="s">
        <v>223</v>
      </c>
    </row>
    <row r="21" spans="1:6" x14ac:dyDescent="0.25">
      <c r="A21" s="73" t="s">
        <v>108</v>
      </c>
      <c r="B21" s="75" t="s">
        <v>224</v>
      </c>
      <c r="E21" s="73" t="s">
        <v>121</v>
      </c>
      <c r="F21" t="s">
        <v>222</v>
      </c>
    </row>
    <row r="22" spans="1:6" x14ac:dyDescent="0.25">
      <c r="A22" s="73" t="s">
        <v>109</v>
      </c>
      <c r="B22" s="75" t="s">
        <v>224</v>
      </c>
      <c r="E22" s="73"/>
    </row>
    <row r="23" spans="1:6" x14ac:dyDescent="0.25">
      <c r="A23" s="73" t="s">
        <v>110</v>
      </c>
      <c r="B23" s="75" t="s">
        <v>224</v>
      </c>
      <c r="E23" s="73"/>
    </row>
    <row r="24" spans="1:6" x14ac:dyDescent="0.25">
      <c r="A24" s="73" t="s">
        <v>111</v>
      </c>
      <c r="B24" s="75" t="s">
        <v>224</v>
      </c>
      <c r="E24" s="73"/>
    </row>
    <row r="25" spans="1:6" x14ac:dyDescent="0.25">
      <c r="A25" s="73" t="s">
        <v>112</v>
      </c>
      <c r="B25" s="75" t="s">
        <v>224</v>
      </c>
      <c r="E25" s="73"/>
    </row>
    <row r="26" spans="1:6" x14ac:dyDescent="0.25">
      <c r="A26" s="73" t="s">
        <v>113</v>
      </c>
      <c r="B26" s="75" t="s">
        <v>224</v>
      </c>
      <c r="E26" s="73"/>
    </row>
    <row r="27" spans="1:6" x14ac:dyDescent="0.25">
      <c r="A27" s="73" t="s">
        <v>114</v>
      </c>
      <c r="B27" s="75" t="s">
        <v>221</v>
      </c>
      <c r="E27" s="73"/>
    </row>
    <row r="28" spans="1:6" x14ac:dyDescent="0.25">
      <c r="A28" s="73" t="s">
        <v>115</v>
      </c>
      <c r="B28" s="76" t="s">
        <v>221</v>
      </c>
      <c r="E28" s="73"/>
      <c r="F28" s="74"/>
    </row>
    <row r="29" spans="1:6" x14ac:dyDescent="0.25">
      <c r="A29" s="73" t="s">
        <v>116</v>
      </c>
      <c r="B29" s="75" t="s">
        <v>224</v>
      </c>
      <c r="E29" s="73"/>
    </row>
    <row r="30" spans="1:6" x14ac:dyDescent="0.25">
      <c r="A30" s="73" t="s">
        <v>117</v>
      </c>
      <c r="B30" s="75" t="s">
        <v>221</v>
      </c>
      <c r="E30" s="73"/>
    </row>
    <row r="31" spans="1:6" x14ac:dyDescent="0.25">
      <c r="A31" s="73" t="s">
        <v>118</v>
      </c>
      <c r="B31" s="75" t="s">
        <v>224</v>
      </c>
      <c r="E31" s="73"/>
    </row>
    <row r="32" spans="1:6" x14ac:dyDescent="0.25">
      <c r="A32" s="73" t="s">
        <v>119</v>
      </c>
      <c r="B32" s="75" t="s">
        <v>224</v>
      </c>
      <c r="E32" s="73"/>
    </row>
    <row r="33" spans="1:5" x14ac:dyDescent="0.25">
      <c r="A33" s="73" t="s">
        <v>120</v>
      </c>
      <c r="B33" s="75" t="s">
        <v>224</v>
      </c>
      <c r="E33" s="73"/>
    </row>
    <row r="34" spans="1:5" x14ac:dyDescent="0.25">
      <c r="A34" s="73" t="s">
        <v>121</v>
      </c>
      <c r="B34" s="75" t="s">
        <v>224</v>
      </c>
      <c r="E34" s="73"/>
    </row>
    <row r="37" spans="1:5" x14ac:dyDescent="0.25">
      <c r="A37" t="s">
        <v>218</v>
      </c>
      <c r="B37" t="s">
        <v>227</v>
      </c>
    </row>
    <row r="38" spans="1:5" hidden="1" x14ac:dyDescent="0.25">
      <c r="A38" s="73" t="s">
        <v>92</v>
      </c>
      <c r="B38" t="s">
        <v>223</v>
      </c>
    </row>
    <row r="39" spans="1:5" hidden="1" x14ac:dyDescent="0.25">
      <c r="A39" s="73" t="s">
        <v>93</v>
      </c>
      <c r="B39" t="s">
        <v>223</v>
      </c>
    </row>
    <row r="40" spans="1:5" hidden="1" x14ac:dyDescent="0.25">
      <c r="A40" s="73" t="s">
        <v>95</v>
      </c>
      <c r="B40" t="s">
        <v>223</v>
      </c>
    </row>
    <row r="41" spans="1:5" hidden="1" x14ac:dyDescent="0.25">
      <c r="A41" s="73" t="s">
        <v>96</v>
      </c>
      <c r="B41" t="s">
        <v>225</v>
      </c>
    </row>
    <row r="42" spans="1:5" hidden="1" x14ac:dyDescent="0.25">
      <c r="A42" s="73" t="s">
        <v>100</v>
      </c>
      <c r="B42" t="s">
        <v>223</v>
      </c>
    </row>
    <row r="43" spans="1:5" hidden="1" x14ac:dyDescent="0.25">
      <c r="A43" s="73" t="s">
        <v>102</v>
      </c>
      <c r="B43" t="s">
        <v>225</v>
      </c>
    </row>
    <row r="44" spans="1:5" hidden="1" x14ac:dyDescent="0.25">
      <c r="A44" s="73" t="s">
        <v>105</v>
      </c>
      <c r="B44" t="s">
        <v>223</v>
      </c>
    </row>
    <row r="45" spans="1:5" x14ac:dyDescent="0.25">
      <c r="A45" s="73" t="s">
        <v>106</v>
      </c>
      <c r="B45" t="s">
        <v>222</v>
      </c>
    </row>
    <row r="46" spans="1:5" hidden="1" x14ac:dyDescent="0.25">
      <c r="A46" s="73" t="s">
        <v>107</v>
      </c>
      <c r="B46" t="s">
        <v>225</v>
      </c>
    </row>
    <row r="47" spans="1:5" hidden="1" x14ac:dyDescent="0.25">
      <c r="A47" s="73" t="s">
        <v>108</v>
      </c>
      <c r="B47" t="s">
        <v>223</v>
      </c>
    </row>
    <row r="48" spans="1:5" hidden="1" x14ac:dyDescent="0.25">
      <c r="A48" s="73" t="s">
        <v>109</v>
      </c>
      <c r="B48" t="s">
        <v>223</v>
      </c>
    </row>
    <row r="49" spans="1:4" hidden="1" x14ac:dyDescent="0.25">
      <c r="A49" s="73" t="s">
        <v>110</v>
      </c>
      <c r="B49" t="s">
        <v>223</v>
      </c>
    </row>
    <row r="50" spans="1:4" hidden="1" x14ac:dyDescent="0.25">
      <c r="A50" s="73" t="s">
        <v>111</v>
      </c>
      <c r="B50" t="s">
        <v>223</v>
      </c>
    </row>
    <row r="51" spans="1:4" x14ac:dyDescent="0.25">
      <c r="A51" s="73" t="s">
        <v>112</v>
      </c>
      <c r="B51" t="s">
        <v>222</v>
      </c>
    </row>
    <row r="52" spans="1:4" hidden="1" x14ac:dyDescent="0.25">
      <c r="A52" s="73" t="s">
        <v>113</v>
      </c>
      <c r="B52" t="s">
        <v>226</v>
      </c>
    </row>
    <row r="53" spans="1:4" hidden="1" x14ac:dyDescent="0.25">
      <c r="A53" s="73" t="s">
        <v>116</v>
      </c>
      <c r="B53" t="s">
        <v>223</v>
      </c>
    </row>
    <row r="54" spans="1:4" x14ac:dyDescent="0.25">
      <c r="A54" s="73" t="s">
        <v>118</v>
      </c>
      <c r="B54" t="s">
        <v>222</v>
      </c>
    </row>
    <row r="55" spans="1:4" x14ac:dyDescent="0.25">
      <c r="A55" s="73" t="s">
        <v>119</v>
      </c>
      <c r="B55" t="s">
        <v>222</v>
      </c>
    </row>
    <row r="56" spans="1:4" hidden="1" x14ac:dyDescent="0.25">
      <c r="A56" s="73" t="s">
        <v>120</v>
      </c>
      <c r="B56" t="s">
        <v>223</v>
      </c>
    </row>
    <row r="57" spans="1:4" hidden="1" x14ac:dyDescent="0.25">
      <c r="A57" s="73" t="s">
        <v>121</v>
      </c>
      <c r="B57" t="s">
        <v>223</v>
      </c>
    </row>
    <row r="60" spans="1:4" x14ac:dyDescent="0.25">
      <c r="A60" t="s">
        <v>218</v>
      </c>
      <c r="B60" t="s">
        <v>228</v>
      </c>
    </row>
    <row r="61" spans="1:4" x14ac:dyDescent="0.25">
      <c r="A61" s="73" t="s">
        <v>92</v>
      </c>
      <c r="B61" s="78" t="s">
        <v>223</v>
      </c>
    </row>
    <row r="62" spans="1:4" x14ac:dyDescent="0.25">
      <c r="A62" s="73" t="s">
        <v>93</v>
      </c>
      <c r="B62" s="79" t="s">
        <v>226</v>
      </c>
    </row>
    <row r="63" spans="1:4" x14ac:dyDescent="0.25">
      <c r="A63" s="73" t="s">
        <v>95</v>
      </c>
      <c r="B63" t="s">
        <v>222</v>
      </c>
    </row>
    <row r="64" spans="1:4" x14ac:dyDescent="0.25">
      <c r="A64" s="73" t="s">
        <v>96</v>
      </c>
      <c r="B64" t="s">
        <v>225</v>
      </c>
      <c r="D64" t="s">
        <v>229</v>
      </c>
    </row>
    <row r="65" spans="1:4" x14ac:dyDescent="0.25">
      <c r="A65" s="73" t="s">
        <v>100</v>
      </c>
      <c r="B65" t="s">
        <v>223</v>
      </c>
      <c r="D65" t="s">
        <v>230</v>
      </c>
    </row>
    <row r="66" spans="1:4" x14ac:dyDescent="0.25">
      <c r="A66" s="73" t="s">
        <v>102</v>
      </c>
      <c r="B66" t="s">
        <v>222</v>
      </c>
    </row>
    <row r="67" spans="1:4" x14ac:dyDescent="0.25">
      <c r="A67" s="73" t="s">
        <v>105</v>
      </c>
      <c r="B67" t="s">
        <v>223</v>
      </c>
    </row>
    <row r="68" spans="1:4" x14ac:dyDescent="0.25">
      <c r="A68" s="73" t="s">
        <v>106</v>
      </c>
      <c r="B68" t="s">
        <v>222</v>
      </c>
    </row>
    <row r="69" spans="1:4" x14ac:dyDescent="0.25">
      <c r="A69" s="73" t="s">
        <v>107</v>
      </c>
      <c r="B69" t="s">
        <v>222</v>
      </c>
    </row>
    <row r="70" spans="1:4" x14ac:dyDescent="0.25">
      <c r="A70" s="73" t="s">
        <v>108</v>
      </c>
      <c r="B70" t="s">
        <v>222</v>
      </c>
    </row>
    <row r="71" spans="1:4" x14ac:dyDescent="0.25">
      <c r="A71" s="73" t="s">
        <v>109</v>
      </c>
      <c r="B71" t="s">
        <v>222</v>
      </c>
    </row>
    <row r="72" spans="1:4" x14ac:dyDescent="0.25">
      <c r="A72" s="73" t="s">
        <v>110</v>
      </c>
      <c r="B72" s="78" t="s">
        <v>223</v>
      </c>
    </row>
    <row r="73" spans="1:4" x14ac:dyDescent="0.25">
      <c r="A73" s="73" t="s">
        <v>111</v>
      </c>
      <c r="B73" s="78" t="s">
        <v>223</v>
      </c>
    </row>
    <row r="74" spans="1:4" x14ac:dyDescent="0.25">
      <c r="A74" s="73" t="s">
        <v>112</v>
      </c>
      <c r="B74" t="s">
        <v>222</v>
      </c>
    </row>
    <row r="75" spans="1:4" x14ac:dyDescent="0.25">
      <c r="A75" s="73" t="s">
        <v>113</v>
      </c>
      <c r="B75" s="78" t="s">
        <v>223</v>
      </c>
    </row>
    <row r="76" spans="1:4" x14ac:dyDescent="0.25">
      <c r="A76" s="73" t="s">
        <v>116</v>
      </c>
      <c r="B76" t="s">
        <v>223</v>
      </c>
    </row>
    <row r="77" spans="1:4" x14ac:dyDescent="0.25">
      <c r="A77" s="73" t="s">
        <v>118</v>
      </c>
      <c r="B77" t="s">
        <v>222</v>
      </c>
    </row>
    <row r="78" spans="1:4" x14ac:dyDescent="0.25">
      <c r="A78" s="73" t="s">
        <v>119</v>
      </c>
      <c r="B78" t="s">
        <v>222</v>
      </c>
    </row>
    <row r="79" spans="1:4" x14ac:dyDescent="0.25">
      <c r="A79" s="73" t="s">
        <v>120</v>
      </c>
      <c r="B79" s="78" t="s">
        <v>223</v>
      </c>
    </row>
    <row r="80" spans="1:4" x14ac:dyDescent="0.25">
      <c r="A80" s="73" t="s">
        <v>121</v>
      </c>
      <c r="B80" t="s">
        <v>222</v>
      </c>
    </row>
    <row r="83" spans="1:4" x14ac:dyDescent="0.25">
      <c r="A83" t="s">
        <v>218</v>
      </c>
      <c r="B83" t="s">
        <v>231</v>
      </c>
    </row>
    <row r="84" spans="1:4" x14ac:dyDescent="0.25">
      <c r="A84" s="73" t="s">
        <v>92</v>
      </c>
      <c r="B84" s="73" t="s">
        <v>223</v>
      </c>
    </row>
    <row r="85" spans="1:4" x14ac:dyDescent="0.25">
      <c r="A85" s="73" t="s">
        <v>93</v>
      </c>
      <c r="B85" s="73" t="s">
        <v>226</v>
      </c>
    </row>
    <row r="86" spans="1:4" x14ac:dyDescent="0.25">
      <c r="A86" s="73" t="s">
        <v>95</v>
      </c>
      <c r="B86" t="s">
        <v>223</v>
      </c>
      <c r="D86" t="s">
        <v>232</v>
      </c>
    </row>
    <row r="87" spans="1:4" x14ac:dyDescent="0.25">
      <c r="A87" s="73" t="s">
        <v>96</v>
      </c>
      <c r="B87" t="s">
        <v>225</v>
      </c>
      <c r="D87" t="s">
        <v>233</v>
      </c>
    </row>
    <row r="88" spans="1:4" x14ac:dyDescent="0.25">
      <c r="A88" s="73" t="s">
        <v>100</v>
      </c>
      <c r="B88" t="s">
        <v>226</v>
      </c>
    </row>
    <row r="89" spans="1:4" x14ac:dyDescent="0.25">
      <c r="A89" s="73" t="s">
        <v>102</v>
      </c>
      <c r="B89" t="s">
        <v>223</v>
      </c>
    </row>
    <row r="90" spans="1:4" x14ac:dyDescent="0.25">
      <c r="A90" s="73" t="s">
        <v>105</v>
      </c>
      <c r="B90" t="s">
        <v>223</v>
      </c>
    </row>
    <row r="91" spans="1:4" x14ac:dyDescent="0.25">
      <c r="A91" s="73" t="s">
        <v>106</v>
      </c>
      <c r="B91" t="s">
        <v>222</v>
      </c>
    </row>
    <row r="92" spans="1:4" x14ac:dyDescent="0.25">
      <c r="A92" s="73" t="s">
        <v>107</v>
      </c>
      <c r="B92" t="s">
        <v>223</v>
      </c>
    </row>
    <row r="93" spans="1:4" x14ac:dyDescent="0.25">
      <c r="A93" s="73" t="s">
        <v>108</v>
      </c>
      <c r="B93" t="s">
        <v>223</v>
      </c>
    </row>
    <row r="94" spans="1:4" x14ac:dyDescent="0.25">
      <c r="A94" s="73" t="s">
        <v>109</v>
      </c>
      <c r="B94" t="s">
        <v>223</v>
      </c>
    </row>
    <row r="95" spans="1:4" x14ac:dyDescent="0.25">
      <c r="A95" s="73" t="s">
        <v>110</v>
      </c>
      <c r="B95" s="73" t="s">
        <v>223</v>
      </c>
    </row>
    <row r="96" spans="1:4" x14ac:dyDescent="0.25">
      <c r="A96" s="73" t="s">
        <v>111</v>
      </c>
      <c r="B96" s="73" t="s">
        <v>223</v>
      </c>
    </row>
    <row r="97" spans="1:2" x14ac:dyDescent="0.25">
      <c r="A97" s="73" t="s">
        <v>112</v>
      </c>
      <c r="B97" t="s">
        <v>223</v>
      </c>
    </row>
    <row r="98" spans="1:2" x14ac:dyDescent="0.25">
      <c r="A98" s="73" t="s">
        <v>113</v>
      </c>
      <c r="B98" s="73" t="s">
        <v>226</v>
      </c>
    </row>
    <row r="99" spans="1:2" x14ac:dyDescent="0.25">
      <c r="A99" s="73" t="s">
        <v>116</v>
      </c>
      <c r="B99" t="s">
        <v>223</v>
      </c>
    </row>
    <row r="100" spans="1:2" x14ac:dyDescent="0.25">
      <c r="A100" s="73" t="s">
        <v>118</v>
      </c>
      <c r="B100" t="s">
        <v>222</v>
      </c>
    </row>
    <row r="101" spans="1:2" x14ac:dyDescent="0.25">
      <c r="A101" s="73" t="s">
        <v>119</v>
      </c>
      <c r="B101" t="s">
        <v>222</v>
      </c>
    </row>
    <row r="102" spans="1:2" x14ac:dyDescent="0.25">
      <c r="A102" s="73" t="s">
        <v>120</v>
      </c>
      <c r="B102" s="73" t="s">
        <v>223</v>
      </c>
    </row>
    <row r="103" spans="1:2" x14ac:dyDescent="0.25">
      <c r="A103" s="73" t="s">
        <v>121</v>
      </c>
      <c r="B103" t="s">
        <v>223</v>
      </c>
    </row>
    <row r="106" spans="1:2" x14ac:dyDescent="0.25">
      <c r="A106" t="s">
        <v>218</v>
      </c>
      <c r="B106" t="s">
        <v>234</v>
      </c>
    </row>
    <row r="107" spans="1:2" x14ac:dyDescent="0.25">
      <c r="A107" s="73" t="s">
        <v>92</v>
      </c>
      <c r="B107" s="73" t="s">
        <v>226</v>
      </c>
    </row>
    <row r="108" spans="1:2" x14ac:dyDescent="0.25">
      <c r="A108" s="73" t="s">
        <v>93</v>
      </c>
      <c r="B108" s="73" t="s">
        <v>223</v>
      </c>
    </row>
    <row r="109" spans="1:2" x14ac:dyDescent="0.25">
      <c r="A109" s="73" t="s">
        <v>95</v>
      </c>
      <c r="B109" t="s">
        <v>223</v>
      </c>
    </row>
    <row r="110" spans="1:2" x14ac:dyDescent="0.25">
      <c r="A110" s="73" t="s">
        <v>96</v>
      </c>
      <c r="B110" t="s">
        <v>225</v>
      </c>
    </row>
    <row r="111" spans="1:2" x14ac:dyDescent="0.25">
      <c r="A111" s="73" t="s">
        <v>100</v>
      </c>
      <c r="B111" t="s">
        <v>223</v>
      </c>
    </row>
    <row r="112" spans="1:2" x14ac:dyDescent="0.25">
      <c r="A112" s="73" t="s">
        <v>102</v>
      </c>
      <c r="B112" t="s">
        <v>223</v>
      </c>
    </row>
    <row r="113" spans="1:4" x14ac:dyDescent="0.25">
      <c r="A113" s="73" t="s">
        <v>105</v>
      </c>
      <c r="B113" t="s">
        <v>223</v>
      </c>
      <c r="D113" t="s">
        <v>235</v>
      </c>
    </row>
    <row r="114" spans="1:4" x14ac:dyDescent="0.25">
      <c r="A114" s="73" t="s">
        <v>106</v>
      </c>
      <c r="B114" t="s">
        <v>223</v>
      </c>
      <c r="D114" t="s">
        <v>236</v>
      </c>
    </row>
    <row r="115" spans="1:4" x14ac:dyDescent="0.25">
      <c r="A115" s="73" t="s">
        <v>107</v>
      </c>
      <c r="B115" t="s">
        <v>223</v>
      </c>
    </row>
    <row r="116" spans="1:4" x14ac:dyDescent="0.25">
      <c r="A116" s="73" t="s">
        <v>108</v>
      </c>
      <c r="B116" t="s">
        <v>223</v>
      </c>
    </row>
    <row r="117" spans="1:4" x14ac:dyDescent="0.25">
      <c r="A117" s="73" t="s">
        <v>109</v>
      </c>
      <c r="B117" t="s">
        <v>223</v>
      </c>
    </row>
    <row r="118" spans="1:4" x14ac:dyDescent="0.25">
      <c r="A118" s="73" t="s">
        <v>110</v>
      </c>
      <c r="B118" s="73" t="s">
        <v>223</v>
      </c>
    </row>
    <row r="119" spans="1:4" x14ac:dyDescent="0.25">
      <c r="A119" s="73" t="s">
        <v>111</v>
      </c>
      <c r="B119" s="73" t="s">
        <v>223</v>
      </c>
    </row>
    <row r="120" spans="1:4" x14ac:dyDescent="0.25">
      <c r="A120" s="73" t="s">
        <v>112</v>
      </c>
      <c r="B120" t="s">
        <v>223</v>
      </c>
    </row>
    <row r="121" spans="1:4" x14ac:dyDescent="0.25">
      <c r="A121" s="73" t="s">
        <v>113</v>
      </c>
      <c r="B121" s="73" t="s">
        <v>223</v>
      </c>
    </row>
    <row r="122" spans="1:4" x14ac:dyDescent="0.25">
      <c r="A122" s="73" t="s">
        <v>116</v>
      </c>
      <c r="B122" t="s">
        <v>223</v>
      </c>
    </row>
    <row r="123" spans="1:4" x14ac:dyDescent="0.25">
      <c r="A123" s="73" t="s">
        <v>118</v>
      </c>
      <c r="B123" t="s">
        <v>222</v>
      </c>
    </row>
    <row r="124" spans="1:4" x14ac:dyDescent="0.25">
      <c r="A124" s="73" t="s">
        <v>119</v>
      </c>
      <c r="B124" t="s">
        <v>222</v>
      </c>
    </row>
    <row r="125" spans="1:4" x14ac:dyDescent="0.25">
      <c r="A125" s="73" t="s">
        <v>120</v>
      </c>
      <c r="B125" s="73" t="s">
        <v>223</v>
      </c>
    </row>
    <row r="126" spans="1:4" x14ac:dyDescent="0.25">
      <c r="A126" s="73" t="s">
        <v>121</v>
      </c>
      <c r="B126" t="s">
        <v>226</v>
      </c>
    </row>
  </sheetData>
  <pageMargins left="0.511811024" right="0.511811024" top="0.78740157499999996" bottom="0.78740157499999996" header="0.31496062000000002" footer="0.31496062000000002"/>
  <tableParts count="6">
    <tablePart r:id="rId1"/>
    <tablePart r:id="rId2"/>
    <tablePart r:id="rId3"/>
    <tablePart r:id="rId4"/>
    <tablePart r:id="rId5"/>
    <tablePart r:id="rId6"/>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F7924-DFA5-4F52-9E10-A1EAE0CEB465}">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48</vt:i4>
      </vt:variant>
    </vt:vector>
  </HeadingPairs>
  <TitlesOfParts>
    <vt:vector size="48" baseType="lpstr">
      <vt:lpstr>UAD</vt:lpstr>
      <vt:lpstr>UBS J. São Paulo</vt:lpstr>
      <vt:lpstr>H. M.Urg. e Emerg.</vt:lpstr>
      <vt:lpstr>UPA D. Rosa</vt:lpstr>
      <vt:lpstr>Banco de Sangue</vt:lpstr>
      <vt:lpstr>UBS Parque Gramado</vt:lpstr>
      <vt:lpstr>ESF São José</vt:lpstr>
      <vt:lpstr>ESF Praia Azul</vt:lpstr>
      <vt:lpstr>ESF Jardim Brasil</vt:lpstr>
      <vt:lpstr>Caps Adulto</vt:lpstr>
      <vt:lpstr>UBS Mathiensen</vt:lpstr>
      <vt:lpstr>UBS São Vito</vt:lpstr>
      <vt:lpstr>Caps Infantil</vt:lpstr>
      <vt:lpstr>UBS Parque das Nações</vt:lpstr>
      <vt:lpstr>ESF Liberdade</vt:lpstr>
      <vt:lpstr>ESF Jaguari</vt:lpstr>
      <vt:lpstr>ESF Zanaga I</vt:lpstr>
      <vt:lpstr>ESF Zanaga II</vt:lpstr>
      <vt:lpstr>ADAM</vt:lpstr>
      <vt:lpstr>AEPHIVA</vt:lpstr>
      <vt:lpstr>UBS Cariobinha </vt:lpstr>
      <vt:lpstr>UNACON</vt:lpstr>
      <vt:lpstr>APAE</vt:lpstr>
      <vt:lpstr>UVISA</vt:lpstr>
      <vt:lpstr>SAE DST</vt:lpstr>
      <vt:lpstr>Clínica Jones</vt:lpstr>
      <vt:lpstr>UBS Vila Gallo</vt:lpstr>
      <vt:lpstr>CCZ </vt:lpstr>
      <vt:lpstr>CTA</vt:lpstr>
      <vt:lpstr>UBS Jardim Ipiranga</vt:lpstr>
      <vt:lpstr>CAPS Alcool e Drogas</vt:lpstr>
      <vt:lpstr>PA Zanaga</vt:lpstr>
      <vt:lpstr>UBS Dona Rosa</vt:lpstr>
      <vt:lpstr>UBS Jd Boer </vt:lpstr>
      <vt:lpstr>ESF Alvorada </vt:lpstr>
      <vt:lpstr>ESF Mário Covas</vt:lpstr>
      <vt:lpstr>Núcleo Especialidades </vt:lpstr>
      <vt:lpstr>UBS São Domingos </vt:lpstr>
      <vt:lpstr>UBS Guanabara </vt:lpstr>
      <vt:lpstr>UBS LIBERDADE</vt:lpstr>
      <vt:lpstr>Clínica Mod.  ZANAGA</vt:lpstr>
      <vt:lpstr>Farmácia Central (2)</vt:lpstr>
      <vt:lpstr>CEO</vt:lpstr>
      <vt:lpstr>Performance Unidades 2023</vt:lpstr>
      <vt:lpstr>DADOS</vt:lpstr>
      <vt:lpstr>Avaliação Global</vt:lpstr>
      <vt:lpstr>Planilha3</vt:lpstr>
      <vt:lpstr>Planilha2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Gisela Onuchic</dc:creator>
  <cp:keywords/>
  <dc:description/>
  <cp:lastModifiedBy>RICARDO MARTINS KESSAMIGUIEMON</cp:lastModifiedBy>
  <cp:revision/>
  <dcterms:created xsi:type="dcterms:W3CDTF">2024-01-29T18:31:36Z</dcterms:created>
  <dcterms:modified xsi:type="dcterms:W3CDTF">2026-09-22T21:48:04Z</dcterms:modified>
  <cp:category/>
  <cp:contentStatus/>
</cp:coreProperties>
</file>