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Painel" sheetId="2" state="visible" r:id="rId4"/>
    <sheet name="Dimensoes" sheetId="3" state="visible" r:id="rId5"/>
    <sheet name="Itens" sheetId="4" state="visible" r:id="rId6"/>
    <sheet name="Faixas" sheetId="5" state="visible" r:id="rId7"/>
    <sheet name="Unidades" sheetId="6" state="visible" r:id="rId8"/>
    <sheet name="Visitas" sheetId="7" state="visible" r:id="rId9"/>
    <sheet name="Avaliacoes" sheetId="8" state="visible" r:id="rId10"/>
    <sheet name="Resultados" sheetId="9" state="visible" r:id="rId11"/>
    <sheet name="Origem_Abas" sheetId="10" state="visible" r:id="rId12"/>
  </sheets>
  <definedNames>
    <definedName function="false" hidden="true" localSheetId="7" name="_xlnm._FilterDatabase" vbProcedure="false">Avaliacoes!$A$1:$H$729</definedName>
    <definedName function="false" hidden="true" localSheetId="1" name="_xlnm._FilterDatabase" vbProcedure="false">Painel!$A$5:$N$51</definedName>
    <definedName function="false" hidden="true" localSheetId="8" name="_xlnm._FilterDatabase" vbProcedure="false">Resultados!$A$1:$U$401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<sst xmlns="http://schemas.openxmlformats.org/spreadsheetml/2006/main" count="1644" uniqueCount="407">
  <si>
    <t xml:space="preserve">CONVISITA | Base de dados das visitas do COMSAÚDE Americana</t>
  </si>
  <si>
    <t xml:space="preserve">Versão em planilha do mesmo modelo de dados do sistema web (pasta convisita). Cada informação é registrada uma única vez e os resultados são calculados por fórmula.</t>
  </si>
  <si>
    <t xml:space="preserve">Abas de cadastro e lançamento (texto azul = dado digitado):</t>
  </si>
  <si>
    <t xml:space="preserve">Dimensoes: as quatro dimensões do instrumento, com peso (soma = 100%) e pontuação máxima por item.</t>
  </si>
  <si>
    <t xml:space="preserve">Itens: os 14 itens indicadores (I.1 a IV.2), com meta esperada e fonte de observação.</t>
  </si>
  <si>
    <t xml:space="preserve">Faixas: limites do farol (vermelho, amarelo, verde) usados na classificação.</t>
  </si>
  <si>
    <t xml:space="preserve">Unidades: cadastro único dos estabelecimentos, com tipo e periodicidade de visita em meses.</t>
  </si>
  <si>
    <t xml:space="preserve">Visitas: uma linha por visita (id, unidade, ciclo, data, situação).</t>
  </si>
  <si>
    <t xml:space="preserve">Avaliacoes: uma linha por item avaliado em cada visita (14 linhas por visita). Pontuação 0, 1 ou 2; NA = 1 quando o item não se aplica; pontuação vazia com NA = 0 significa item não avaliado.</t>
  </si>
  <si>
    <t xml:space="preserve">Abas calculadas (não digitar):</t>
  </si>
  <si>
    <t xml:space="preserve">Resultados: pontos, percentual por dimensão e nota final de cada visita. A nota final é a média ponderada das dimensões avaliadas; quando uma dimensão inteira não se aplica, seu peso é redistribuído entre as demais.</t>
  </si>
  <si>
    <t xml:space="preserve">Painel: última visita de cada unidade nos ciclos indicados nas células C3 e F3, variação entre ciclos, próxima visita prevista e situação da agenda.</t>
  </si>
  <si>
    <t xml:space="preserve">Origem_Abas: rastreabilidade das 43 abas da planilha original (importada ou não, e por quê).</t>
  </si>
  <si>
    <t xml:space="preserve">Como lançar uma nova visita:</t>
  </si>
  <si>
    <t xml:space="preserve">1. Em Visitas, acrescente uma linha com novo id (sequencial), nome da unidade exatamente como em Unidades, ciclo, data e situação (concluida, incompleta, rascunho).</t>
  </si>
  <si>
    <t xml:space="preserve">2. Em Avaliacoes, acrescente as 14 linhas da visita (mesmo id), uma por item, com a dimensão (I, II, III ou IV) e a pontuação.</t>
  </si>
  <si>
    <t xml:space="preserve">3. Resultados e Painel se atualizam automaticamente (Resultados está preparado para até 400 visitas).</t>
  </si>
  <si>
    <t xml:space="preserve">Painel de desempenho por unidade</t>
  </si>
  <si>
    <t xml:space="preserve">Última visita válida de cada unidade nos ciclos escolhidos (altere C3 e F3). Farol conforme aba Faixas.</t>
  </si>
  <si>
    <t xml:space="preserve">Ciclo base:</t>
  </si>
  <si>
    <t xml:space="preserve">2023</t>
  </si>
  <si>
    <t xml:space="preserve">Ciclo comparado:</t>
  </si>
  <si>
    <t xml:space="preserve">2026</t>
  </si>
  <si>
    <t xml:space="preserve">Data de referência:</t>
  </si>
  <si>
    <t xml:space="preserve">Unidade</t>
  </si>
  <si>
    <t xml:space="preserve">Tipo</t>
  </si>
  <si>
    <t xml:space="preserve">Data (base)</t>
  </si>
  <si>
    <t xml:space="preserve">Nota (base)</t>
  </si>
  <si>
    <t xml:space="preserve">Data (comparado)</t>
  </si>
  <si>
    <t xml:space="preserve">Nota (comparado)</t>
  </si>
  <si>
    <t xml:space="preserve">Variação (p.p.)</t>
  </si>
  <si>
    <t xml:space="preserve">Última visita</t>
  </si>
  <si>
    <t xml:space="preserve">Próxima prevista</t>
  </si>
  <si>
    <t xml:space="preserve">Situação da agenda</t>
  </si>
  <si>
    <t xml:space="preserve">% Infra. Física</t>
  </si>
  <si>
    <t xml:space="preserve">% Infra. Humana</t>
  </si>
  <si>
    <t xml:space="preserve">% Plano Municipal</t>
  </si>
  <si>
    <t xml:space="preserve">% Percepção Usuário</t>
  </si>
  <si>
    <t xml:space="preserve">Síntese do ciclo comparado</t>
  </si>
  <si>
    <t xml:space="preserve">Unidades visitadas</t>
  </si>
  <si>
    <t xml:space="preserve">Nota média</t>
  </si>
  <si>
    <t xml:space="preserve">Adequadas (verde)</t>
  </si>
  <si>
    <t xml:space="preserve">Atenção (amarelo)</t>
  </si>
  <si>
    <t xml:space="preserve">Críticas (vermelho)</t>
  </si>
  <si>
    <t xml:space="preserve">Visitas atrasadas</t>
  </si>
  <si>
    <t xml:space="preserve">Código</t>
  </si>
  <si>
    <t xml:space="preserve">Dimensão</t>
  </si>
  <si>
    <t xml:space="preserve">Peso</t>
  </si>
  <si>
    <t xml:space="preserve">Nº itens</t>
  </si>
  <si>
    <t xml:space="preserve">Pontuação máx. por item</t>
  </si>
  <si>
    <t xml:space="preserve">Pontos máx. da dimensão</t>
  </si>
  <si>
    <t xml:space="preserve">I</t>
  </si>
  <si>
    <t xml:space="preserve">Infraestrutura Física (prédios, equipamentos e insumos)</t>
  </si>
  <si>
    <t xml:space="preserve">II</t>
  </si>
  <si>
    <t xml:space="preserve">Infraestrutura Humana</t>
  </si>
  <si>
    <t xml:space="preserve">III</t>
  </si>
  <si>
    <t xml:space="preserve">Desempenho no Plano Municipal de Saúde</t>
  </si>
  <si>
    <t xml:space="preserve">IV</t>
  </si>
  <si>
    <t xml:space="preserve">Percepção do Usuário</t>
  </si>
  <si>
    <t xml:space="preserve">Total</t>
  </si>
  <si>
    <t xml:space="preserve">Item</t>
  </si>
  <si>
    <t xml:space="preserve">Nome do item indicador</t>
  </si>
  <si>
    <t xml:space="preserve">Meta esperada</t>
  </si>
  <si>
    <t xml:space="preserve">Fonte de observação</t>
  </si>
  <si>
    <t xml:space="preserve">Periodicidade</t>
  </si>
  <si>
    <t xml:space="preserve">I.1</t>
  </si>
  <si>
    <t xml:space="preserve">Infraestrutura civil</t>
  </si>
  <si>
    <t xml:space="preserve">Prédio novo ou reformado com paredes e tetos pintados, sem mofo, infiltrações ou goteiras</t>
  </si>
  <si>
    <t xml:space="preserve">Observações dos conselheiros e entrevista com o coordenador durante visita</t>
  </si>
  <si>
    <t xml:space="preserve">Semestral (exceto hospital - ver cronograma de visitas)</t>
  </si>
  <si>
    <t xml:space="preserve">I.2</t>
  </si>
  <si>
    <t xml:space="preserve">Infraestrutura elétrica</t>
  </si>
  <si>
    <t xml:space="preserve">Fiação elétrica em bom estado com equipamentos de manutenção de energia elétrica (no-break e/ou gerador)</t>
  </si>
  <si>
    <t xml:space="preserve">I.3</t>
  </si>
  <si>
    <t xml:space="preserve">Infraestrutura hidráulica</t>
  </si>
  <si>
    <t xml:space="preserve">Canos, calhas e esgotos sem entupimentos ou vazamentos</t>
  </si>
  <si>
    <t xml:space="preserve">I.4</t>
  </si>
  <si>
    <t xml:space="preserve">Infraestrutura de comunicação</t>
  </si>
  <si>
    <t xml:space="preserve">Disponibilidade de internet, telefones e computadores funcionantes e suficientes para todo o serviço</t>
  </si>
  <si>
    <t xml:space="preserve">I.5</t>
  </si>
  <si>
    <t xml:space="preserve">Equipamentos</t>
  </si>
  <si>
    <t xml:space="preserve">Número suficiente e condições adequadas de utilização dos equipamentos para prestação do serviço</t>
  </si>
  <si>
    <t xml:space="preserve">I.6</t>
  </si>
  <si>
    <t xml:space="preserve">Materiais, medicamentos e insumos</t>
  </si>
  <si>
    <t xml:space="preserve">Materiais e insumos em quantidade, reposição e condições de armazenamento adequadas</t>
  </si>
  <si>
    <t xml:space="preserve">I.7</t>
  </si>
  <si>
    <t xml:space="preserve">Conforto, limpeza e organização</t>
  </si>
  <si>
    <t xml:space="preserve">Ambiente agradável, organizado, sinalizado, com espaço para circulação, boa luminosidade e sem lixo espalhado pelo estabelecimento</t>
  </si>
  <si>
    <t xml:space="preserve">II.1</t>
  </si>
  <si>
    <t xml:space="preserve">Utilização de indicadores de gestão</t>
  </si>
  <si>
    <t xml:space="preserve">Disponibilidade de dados sobre número de atendimentos, capacidade de serviço, número de altas, número de pacientes cadastrados no serviço, principais queixas dos usuários, entre outros. Evidências sobre decisões da coordenação com base nesses dados.</t>
  </si>
  <si>
    <t xml:space="preserve">Apresentação de dados em fala do coordenador e existência de planilhas com os indicadores medidos na Unidade</t>
  </si>
  <si>
    <t xml:space="preserve">II.2</t>
  </si>
  <si>
    <t xml:space="preserve">Dimensionamento de equipe</t>
  </si>
  <si>
    <t xml:space="preserve">Presença de escalas de trabalho visíveis e obedecidas pelos funcionários da Unidade com cobertura de todos os horários de atendimento</t>
  </si>
  <si>
    <t xml:space="preserve">Apresentação, compatibilidade com o trabalho e adequação das escalas e horários de trabalho dos funcionários do estabelecimento de saúde</t>
  </si>
  <si>
    <t xml:space="preserve">II.3</t>
  </si>
  <si>
    <t xml:space="preserve">Execução do cronograma de capacitação da equipe de trabalho</t>
  </si>
  <si>
    <t xml:space="preserve">Mecanismos de Educação Permanente dos funcionários planejados e funcionantes</t>
  </si>
  <si>
    <t xml:space="preserve">Coordenador da Unidade tem disponível um cronograma de Educação Permanente dos funcionários planejado e realizado</t>
  </si>
  <si>
    <t xml:space="preserve">II.4</t>
  </si>
  <si>
    <t xml:space="preserve">Disponibilidade de agendamento de consultas, exames e procedimentos</t>
  </si>
  <si>
    <t xml:space="preserve">Disponibilização de vagas mensais de consultas, exames ou procedimentos compatíveis com a capacidade, a demanda e a pactuação com a SMS</t>
  </si>
  <si>
    <t xml:space="preserve">Há um relatório com comparação do número de vagas mensais ofertadas e utilizadas com as consultas, exames ou procedimentos de responsabilidade do estabelecimento</t>
  </si>
  <si>
    <t xml:space="preserve">III.1</t>
  </si>
  <si>
    <t xml:space="preserve">Atendimento aos indicadores do PMS</t>
  </si>
  <si>
    <t xml:space="preserve">O estabelecimento de saúde demonstra o cumprimento de todos os indicadores que assumiu para o ano no Plano Municipal de Saúde</t>
  </si>
  <si>
    <t xml:space="preserve">Porcentagem de respostas adequadas às questões formuladas para cada indicador do Plano Municipal de Saúde</t>
  </si>
  <si>
    <t xml:space="preserve">Semestral</t>
  </si>
  <si>
    <t xml:space="preserve">IV.1</t>
  </si>
  <si>
    <t xml:space="preserve">Registro de reclamações na Ouvidoria do COMSAUDE</t>
  </si>
  <si>
    <t xml:space="preserve">Ausência de registros de reclamações dos usuários sobre o serviço e/ou resolução adequada de eventuais demandas de pequena gravidade existentes</t>
  </si>
  <si>
    <t xml:space="preserve">Relatório com número de demandas apresentadas ao COMSAUDE pelos usuários e suas resoluções</t>
  </si>
  <si>
    <t xml:space="preserve">IV.2</t>
  </si>
  <si>
    <t xml:space="preserve">Satisfação dos usuários</t>
  </si>
  <si>
    <t xml:space="preserve">Estabelecimento de saúde com alto nível de satisfação do usuário (NPS &gt; 80%)</t>
  </si>
  <si>
    <t xml:space="preserve">Resultado de percepção do usuário  a partir de entrevistas realizadas durante as visitas do COMSAUDE ao estabelecimento de saúde</t>
  </si>
  <si>
    <t xml:space="preserve">Cor</t>
  </si>
  <si>
    <t xml:space="preserve">Rótulo</t>
  </si>
  <si>
    <t xml:space="preserve">Limite inferior (inclusive)</t>
  </si>
  <si>
    <t xml:space="preserve">vermelho</t>
  </si>
  <si>
    <t xml:space="preserve">Crítico</t>
  </si>
  <si>
    <t xml:space="preserve">amarelo</t>
  </si>
  <si>
    <t xml:space="preserve">Atenção</t>
  </si>
  <si>
    <t xml:space="preserve">verde</t>
  </si>
  <si>
    <t xml:space="preserve">Adequado</t>
  </si>
  <si>
    <t xml:space="preserve">A planilha original usava formatação condicional com intervalos 0 a 0,40 / 0,41 a 0,79 / 0,80 a 1, que deixavam lacunas sem cor (ex.: 79,5%). Aqui os limites são contínuos.</t>
  </si>
  <si>
    <t xml:space="preserve">id</t>
  </si>
  <si>
    <t xml:space="preserve">Aba na planilha original</t>
  </si>
  <si>
    <t xml:space="preserve">Situação</t>
  </si>
  <si>
    <t xml:space="preserve">Periodicidade (meses)</t>
  </si>
  <si>
    <t xml:space="preserve">Gestão</t>
  </si>
  <si>
    <t xml:space="preserve">Observação</t>
  </si>
  <si>
    <t xml:space="preserve">UAD - Unidade de Atendimento Domiciliar</t>
  </si>
  <si>
    <t xml:space="preserve">Atenção Domiciliar</t>
  </si>
  <si>
    <t xml:space="preserve">UAD</t>
  </si>
  <si>
    <t xml:space="preserve">ativa</t>
  </si>
  <si>
    <t xml:space="preserve">UBS Jardim São Paulo</t>
  </si>
  <si>
    <t xml:space="preserve">Unidade Básica de Saúde (UBS)</t>
  </si>
  <si>
    <t xml:space="preserve">UBS J. São Paulo</t>
  </si>
  <si>
    <t xml:space="preserve">Hospital Municipal Dr. Waldemar Tebaldi</t>
  </si>
  <si>
    <t xml:space="preserve">Hospital</t>
  </si>
  <si>
    <t xml:space="preserve">H. M.Urg. e Emerg.</t>
  </si>
  <si>
    <t xml:space="preserve">Cronograma de visitas próprio (Performance 2023, linha 41).</t>
  </si>
  <si>
    <t xml:space="preserve">UPA Dona Rosa</t>
  </si>
  <si>
    <t xml:space="preserve">Urgência e Emergência</t>
  </si>
  <si>
    <t xml:space="preserve">UPA D. Rosa</t>
  </si>
  <si>
    <t xml:space="preserve">Verificar se corresponde à UPA São José avaliada em 2023.</t>
  </si>
  <si>
    <t xml:space="preserve">Banco de Sangue</t>
  </si>
  <si>
    <t xml:space="preserve">Apoio Diagnóstico e Terapêutico</t>
  </si>
  <si>
    <t xml:space="preserve">UBS Parque Gramado</t>
  </si>
  <si>
    <t xml:space="preserve">Situação em 2023: reforma.</t>
  </si>
  <si>
    <t xml:space="preserve">ESF São José</t>
  </si>
  <si>
    <t xml:space="preserve">Estratégia Saúde da Família (ESF)</t>
  </si>
  <si>
    <t xml:space="preserve">Unidade recém reformada e entregue em novembro/2023.</t>
  </si>
  <si>
    <t xml:space="preserve">ESF Praia Azul</t>
  </si>
  <si>
    <t xml:space="preserve">ESF Jardim Brasil</t>
  </si>
  <si>
    <t xml:space="preserve">CAPS Adulto</t>
  </si>
  <si>
    <t xml:space="preserve">Centro de Atenção Psicossocial (CAPS)</t>
  </si>
  <si>
    <t xml:space="preserve">Caps Adulto</t>
  </si>
  <si>
    <t xml:space="preserve">Verificar se corresponde ao CAPS Arte &amp; Vida da lista 2023.</t>
  </si>
  <si>
    <t xml:space="preserve">UBS Mathiensen</t>
  </si>
  <si>
    <t xml:space="preserve">UBS São Vito</t>
  </si>
  <si>
    <t xml:space="preserve">CAPS Infantil Larissa de Almeida</t>
  </si>
  <si>
    <t xml:space="preserve">Caps Infantil</t>
  </si>
  <si>
    <t xml:space="preserve">UBS Parque das Nações</t>
  </si>
  <si>
    <t xml:space="preserve">ESF Liberdade</t>
  </si>
  <si>
    <t xml:space="preserve">ESF Jaguari</t>
  </si>
  <si>
    <t xml:space="preserve">ESF Zanaga I</t>
  </si>
  <si>
    <t xml:space="preserve">ESF Zanaga II</t>
  </si>
  <si>
    <t xml:space="preserve">ADAM</t>
  </si>
  <si>
    <t xml:space="preserve">Entidade Parceira / Conveniada</t>
  </si>
  <si>
    <t xml:space="preserve">AEPHIVA</t>
  </si>
  <si>
    <t xml:space="preserve">Visita extraordinária registrada a partir de ago/2023.</t>
  </si>
  <si>
    <t xml:space="preserve">UBS Cariobinha</t>
  </si>
  <si>
    <t xml:space="preserve">Unidade recém reformada e entregue em dezembro/2023.</t>
  </si>
  <si>
    <t xml:space="preserve">UNACON - Unidade de Oncologia</t>
  </si>
  <si>
    <t xml:space="preserve">Atenção Especializada</t>
  </si>
  <si>
    <t xml:space="preserve">UNACON</t>
  </si>
  <si>
    <t xml:space="preserve">APAE</t>
  </si>
  <si>
    <t xml:space="preserve">UVISA - Vigilância Sanitária</t>
  </si>
  <si>
    <t xml:space="preserve">Vigilância em Saúde</t>
  </si>
  <si>
    <t xml:space="preserve">UVISA</t>
  </si>
  <si>
    <t xml:space="preserve">SAE/DST</t>
  </si>
  <si>
    <t xml:space="preserve">SAE DST</t>
  </si>
  <si>
    <t xml:space="preserve">Itens de percepção do usuário não se aplicam (sigilo).</t>
  </si>
  <si>
    <t xml:space="preserve">Clínica Jones</t>
  </si>
  <si>
    <t xml:space="preserve">A classificar</t>
  </si>
  <si>
    <t xml:space="preserve">UBS Vila Gallo</t>
  </si>
  <si>
    <t xml:space="preserve">CCZ - Centro de Controle de Zoonoses</t>
  </si>
  <si>
    <t xml:space="preserve">CCZ</t>
  </si>
  <si>
    <t xml:space="preserve">CTA - Centro de Testagem e Aconselhamento</t>
  </si>
  <si>
    <t xml:space="preserve">CTA</t>
  </si>
  <si>
    <t xml:space="preserve">UBS Jardim Ipiranga</t>
  </si>
  <si>
    <t xml:space="preserve">CAPS AD Vida Nova (Álcool e Drogas)</t>
  </si>
  <si>
    <t xml:space="preserve">CAPS Alcool e Drogas</t>
  </si>
  <si>
    <t xml:space="preserve">PA Antonio Zanaga</t>
  </si>
  <si>
    <t xml:space="preserve">PA Zanaga</t>
  </si>
  <si>
    <t xml:space="preserve">Denominada UPA Bairro Antonio Zanaga em 2023.</t>
  </si>
  <si>
    <t xml:space="preserve">UBS Dona Rosa</t>
  </si>
  <si>
    <t xml:space="preserve">UBS Jardim Boer</t>
  </si>
  <si>
    <t xml:space="preserve">UBS Jd Boer</t>
  </si>
  <si>
    <t xml:space="preserve">ESF Alvorada</t>
  </si>
  <si>
    <t xml:space="preserve">ESF Mário Covas</t>
  </si>
  <si>
    <t xml:space="preserve">Núcleo de Especialidades de Americana</t>
  </si>
  <si>
    <t xml:space="preserve">Núcleo Especialidades</t>
  </si>
  <si>
    <t xml:space="preserve">UBS São Domingos</t>
  </si>
  <si>
    <t xml:space="preserve">UBS Guanabara</t>
  </si>
  <si>
    <t xml:space="preserve">UBS Liberdade</t>
  </si>
  <si>
    <t xml:space="preserve">UBS LIBERDADE</t>
  </si>
  <si>
    <t xml:space="preserve">Clínica Modelo Zanaga</t>
  </si>
  <si>
    <t xml:space="preserve">Clínica Mod.  ZANAGA</t>
  </si>
  <si>
    <t xml:space="preserve">Confirmar nome oficial e tipo de estabelecimento.</t>
  </si>
  <si>
    <t xml:space="preserve">Farmácia Central</t>
  </si>
  <si>
    <t xml:space="preserve">Assistência Farmacêutica</t>
  </si>
  <si>
    <t xml:space="preserve">Farmácia Central (2)</t>
  </si>
  <si>
    <t xml:space="preserve">CEO - Centro de Especialidades Odontológicas</t>
  </si>
  <si>
    <t xml:space="preserve">CEO</t>
  </si>
  <si>
    <t xml:space="preserve">UPA São José</t>
  </si>
  <si>
    <t xml:space="preserve">Avaliada em 2023. Sem aba própria na planilha de 2026.</t>
  </si>
  <si>
    <t xml:space="preserve">SAMU 192 - Serviço de Atendimento Móvel de Urgência</t>
  </si>
  <si>
    <t xml:space="preserve">Constava na lista 2023 sem visita (situação: reforma).</t>
  </si>
  <si>
    <t xml:space="preserve">Serviço de Transporte em Saúde</t>
  </si>
  <si>
    <t xml:space="preserve">Ciclo</t>
  </si>
  <si>
    <t xml:space="preserve">Data da visita</t>
  </si>
  <si>
    <t xml:space="preserve">Data aproximada</t>
  </si>
  <si>
    <t xml:space="preserve">Origem</t>
  </si>
  <si>
    <t xml:space="preserve">Observação da importação</t>
  </si>
  <si>
    <t xml:space="preserve">não</t>
  </si>
  <si>
    <t xml:space="preserve">concluida</t>
  </si>
  <si>
    <t xml:space="preserve">Planilha: Performance Unidades 2023 (linha 7) + Avaliação Global</t>
  </si>
  <si>
    <t xml:space="preserve">Planilha: Performance Unidades 2023 (linha 8) + Avaliação Global</t>
  </si>
  <si>
    <t xml:space="preserve">sim</t>
  </si>
  <si>
    <t xml:space="preserve">Planilha: Performance Unidades 2023 (linha 9) + Avaliação Global</t>
  </si>
  <si>
    <t xml:space="preserve">Data registrada como "nov/23??" na Performance 2023; dia aproximado. Pontuação recuperada da Avaliação Global; na Performance 2023 a linha apresentava erro de referência (fórmula quebrada).</t>
  </si>
  <si>
    <t xml:space="preserve">Planilha: Performance Unidades 2023 (linha 10) + Avaliação Global</t>
  </si>
  <si>
    <t xml:space="preserve">Planilha: Performance Unidades 2023 (linha 11) + Avaliação Global</t>
  </si>
  <si>
    <t xml:space="preserve">Planilha: Performance Unidades 2023 (linha 12) + Avaliação Global</t>
  </si>
  <si>
    <t xml:space="preserve">Planilha: Performance Unidades 2023 (linha 15) + Avaliação Global</t>
  </si>
  <si>
    <t xml:space="preserve">incompleta</t>
  </si>
  <si>
    <t xml:space="preserve">Planilha: Performance Unidades 2023 (linha 17) + Avaliação Global</t>
  </si>
  <si>
    <t xml:space="preserve">7 item(ns) sem pontuação na origem.</t>
  </si>
  <si>
    <t xml:space="preserve">Planilha: Performance Unidades 2023 (linha 18) + Avaliação Global</t>
  </si>
  <si>
    <t xml:space="preserve">Item III.1 com duas marcações na Avaliação Global (0 e 1); adotado 1, conforme Performance 2023.</t>
  </si>
  <si>
    <t xml:space="preserve">Planilha: Performance Unidades 2023 (linha 19) + Avaliação Global</t>
  </si>
  <si>
    <t xml:space="preserve">10 item(ns) sem pontuação na origem.</t>
  </si>
  <si>
    <t xml:space="preserve">Planilha: Performance Unidades 2023 (linha 23) + Avaliação Global</t>
  </si>
  <si>
    <t xml:space="preserve">Planilha: Performance Unidades 2023 (linha 25) + Avaliação Global</t>
  </si>
  <si>
    <t xml:space="preserve">Apenas a dimensão Infraestrutura Física foi avaliada (14 de 14 pontos); itens reconstruídos com nota máxima. 7 item(ns) sem pontuação na origem.</t>
  </si>
  <si>
    <t xml:space="preserve">Planilha: Performance Unidades 2023 (linha 27) + Avaliação Global</t>
  </si>
  <si>
    <t xml:space="preserve">Planilha: Performance Unidades 2023 (linha 29) + Avaliação Global</t>
  </si>
  <si>
    <t xml:space="preserve">Performance 2023 registrava 21/11/2023; adotada a data 27/11/2023 da aba da unidade.</t>
  </si>
  <si>
    <t xml:space="preserve">Planilha: Performance Unidades 2023 (linha 32) + Avaliação Global</t>
  </si>
  <si>
    <t xml:space="preserve">Planilha: Performance Unidades 2023 (linha 33) + Avaliação Global</t>
  </si>
  <si>
    <t xml:space="preserve">Item III.1 = 0 na Avaliação Global, mas a Performance 2023 registrava 1 ponto (50%) digitado manualmente; mantido o valor do item.</t>
  </si>
  <si>
    <t xml:space="preserve">Planilha: Performance Unidades 2023 (linha 34) + Avaliação Global</t>
  </si>
  <si>
    <t xml:space="preserve">1 item(ns) sem pontuação na origem.</t>
  </si>
  <si>
    <t xml:space="preserve">Planilha: Performance Unidades 2023 (linha 35) + Avaliação Global</t>
  </si>
  <si>
    <t xml:space="preserve">Performance 2023 registrava "agosto??"; adotada a data 08/12/2023 da aba UNACON, que traz as mesmas notas.</t>
  </si>
  <si>
    <t xml:space="preserve">Planilha: Performance Unidades 2023 (linha 38) + Avaliação Global</t>
  </si>
  <si>
    <t xml:space="preserve">Item III.1 com duas marcações na Avaliação Global (0 e 1); adotado 1, conforme Performance 2023. Comentário de percepção do usuário idêntico ao da UNACON na Performance 2023 (provável cópia).</t>
  </si>
  <si>
    <t xml:space="preserve">Planilha: Performance Unidades 2023 (linha 39) + Avaliação Global</t>
  </si>
  <si>
    <t xml:space="preserve">Planilha: aba "UAD"</t>
  </si>
  <si>
    <t xml:space="preserve">Itens IV.1 e IV.2 estavam com 2 pontos, mas o quadro-resumo marcava a dimensão como "não aplicável"; importados como não se aplica.</t>
  </si>
  <si>
    <t xml:space="preserve">Planilha: aba "UBS J. São Paulo"</t>
  </si>
  <si>
    <t xml:space="preserve">Planilha: aba "H. M.Urg. e Emerg."</t>
  </si>
  <si>
    <t xml:space="preserve">Planilha: aba "UPA D. Rosa"</t>
  </si>
  <si>
    <t xml:space="preserve">Planilha: aba "Banco de Sangue"</t>
  </si>
  <si>
    <t xml:space="preserve">Planilha: aba "UBS Parque Gramado"</t>
  </si>
  <si>
    <t xml:space="preserve">Planilha: aba "ESF São José"</t>
  </si>
  <si>
    <t xml:space="preserve">Cabeçalho do quadro-resumo da aba indicava "ESF SÃO VITO" (erro de cópia).</t>
  </si>
  <si>
    <t xml:space="preserve">Planilha: aba "ESF Praia Azul"</t>
  </si>
  <si>
    <t xml:space="preserve">Planilha: aba "ESF Jardim Brasil"</t>
  </si>
  <si>
    <t xml:space="preserve">Planilha: aba "Caps Adulto"</t>
  </si>
  <si>
    <t xml:space="preserve">Planilha: aba "UBS Mathiensen"</t>
  </si>
  <si>
    <t xml:space="preserve">Planilha: aba "UBS São Vito"</t>
  </si>
  <si>
    <t xml:space="preserve">Planilha: aba "Caps Infantil"</t>
  </si>
  <si>
    <t xml:space="preserve">Planilha: aba "UBS Parque das Nações"</t>
  </si>
  <si>
    <t xml:space="preserve">Planilha: aba "ESF Liberdade"</t>
  </si>
  <si>
    <t xml:space="preserve">Planilha: aba "ESF Jaguari"</t>
  </si>
  <si>
    <t xml:space="preserve">Planilha: aba "ESF Zanaga I"</t>
  </si>
  <si>
    <t xml:space="preserve">Planilha: aba "UBS Cariobinha"</t>
  </si>
  <si>
    <t xml:space="preserve">Planilha: aba "SAE DST"</t>
  </si>
  <si>
    <t xml:space="preserve">Percepção do usuário não se aplica em respeito ao sigilo.</t>
  </si>
  <si>
    <t xml:space="preserve">Planilha: aba "UBS Vila Gallo"</t>
  </si>
  <si>
    <t xml:space="preserve">Planilha: aba "CCZ"</t>
  </si>
  <si>
    <t xml:space="preserve">Planilha: aba "UBS Jardim Ipiranga"</t>
  </si>
  <si>
    <t xml:space="preserve">Planilha: aba "PA Zanaga"</t>
  </si>
  <si>
    <t xml:space="preserve">Planilha: aba "UBS Jd Boer"</t>
  </si>
  <si>
    <t xml:space="preserve">Planilha: aba "ESF Alvorada"</t>
  </si>
  <si>
    <t xml:space="preserve">Planilha: aba "ESF Mário Covas"</t>
  </si>
  <si>
    <t xml:space="preserve">Planilha: aba "Núcleo Especialidades"</t>
  </si>
  <si>
    <t xml:space="preserve">Planilha: aba "UBS São Domingos"</t>
  </si>
  <si>
    <t xml:space="preserve">Planilha: aba "UBS Guanabara"</t>
  </si>
  <si>
    <t xml:space="preserve">Planilha: aba "Clínica Mod.  ZANAGA"</t>
  </si>
  <si>
    <t xml:space="preserve">Item IV.2 marcado como não se aplica. Cabeçalho do quadro-resumo da aba indicava "UBS D. ROSA" (erro de cópia).</t>
  </si>
  <si>
    <t xml:space="preserve">Planilha: aba "Farmácia Central (2)"</t>
  </si>
  <si>
    <t xml:space="preserve">Cabeçalho do quadro-resumo da aba indicava "UBS D. ROSA" (erro de cópia).</t>
  </si>
  <si>
    <t xml:space="preserve">Planilha: aba "CEO"</t>
  </si>
  <si>
    <t xml:space="preserve">visita_id</t>
  </si>
  <si>
    <t xml:space="preserve">Unidade (conferência)</t>
  </si>
  <si>
    <t xml:space="preserve">Nome do item</t>
  </si>
  <si>
    <t xml:space="preserve">Ciclo (conferência)</t>
  </si>
  <si>
    <t xml:space="preserve">Pontuação (0 a 2)</t>
  </si>
  <si>
    <t xml:space="preserve">Não se aplica (1/0)</t>
  </si>
  <si>
    <t xml:space="preserve">Data</t>
  </si>
  <si>
    <t xml:space="preserve">Pontos I</t>
  </si>
  <si>
    <t xml:space="preserve">Pontos II</t>
  </si>
  <si>
    <t xml:space="preserve">Pontos III</t>
  </si>
  <si>
    <t xml:space="preserve">Pontos IV</t>
  </si>
  <si>
    <t xml:space="preserve">Possíveis I</t>
  </si>
  <si>
    <t xml:space="preserve">Possíveis II</t>
  </si>
  <si>
    <t xml:space="preserve">Possíveis III</t>
  </si>
  <si>
    <t xml:space="preserve">Possíveis IV</t>
  </si>
  <si>
    <t xml:space="preserve">Nota final</t>
  </si>
  <si>
    <t xml:space="preserve">Classificação</t>
  </si>
  <si>
    <t xml:space="preserve">Nota pelo método da planilha original</t>
  </si>
  <si>
    <t xml:space="preserve">Válida p/ painel</t>
  </si>
  <si>
    <t xml:space="preserve">Nº</t>
  </si>
  <si>
    <t xml:space="preserve">Aba original</t>
  </si>
  <si>
    <t xml:space="preserve">Unidade no cadastro</t>
  </si>
  <si>
    <t xml:space="preserve">Nome no quadro-resumo da aba</t>
  </si>
  <si>
    <t xml:space="preserve">Data no rodapé</t>
  </si>
  <si>
    <t xml:space="preserve">Notas I.1 a IV.2 (N = não se aplica)</t>
  </si>
  <si>
    <t xml:space="preserve">Tratamento</t>
  </si>
  <si>
    <t xml:space="preserve">Motivo</t>
  </si>
  <si>
    <t xml:space="preserve">222222222222NN</t>
  </si>
  <si>
    <t xml:space="preserve">importada</t>
  </si>
  <si>
    <t xml:space="preserve">UBS JARDIM SÃO PAULO</t>
  </si>
  <si>
    <t xml:space="preserve">12122212222212</t>
  </si>
  <si>
    <t xml:space="preserve">HM URGÊNCIA/EMERGÊNCIA</t>
  </si>
  <si>
    <t xml:space="preserve">12122212221111</t>
  </si>
  <si>
    <t xml:space="preserve">UPA D. ROSA</t>
  </si>
  <si>
    <t xml:space="preserve">11222222222222</t>
  </si>
  <si>
    <t xml:space="preserve">BANCO DE SANGUE</t>
  </si>
  <si>
    <t xml:space="preserve">00122112222111</t>
  </si>
  <si>
    <t xml:space="preserve">UBS PARQUE GRAMADO</t>
  </si>
  <si>
    <t xml:space="preserve">01022112211122</t>
  </si>
  <si>
    <t xml:space="preserve">ESF SÃO VITO</t>
  </si>
  <si>
    <t xml:space="preserve">11211122222211</t>
  </si>
  <si>
    <t xml:space="preserve">ESF PRAIA AZUL</t>
  </si>
  <si>
    <t xml:space="preserve">11222222222221</t>
  </si>
  <si>
    <t xml:space="preserve">ESF JARDIM BRASIL</t>
  </si>
  <si>
    <t xml:space="preserve">22222222222222</t>
  </si>
  <si>
    <t xml:space="preserve">CAPS ADULTO</t>
  </si>
  <si>
    <t xml:space="preserve">22211222212112</t>
  </si>
  <si>
    <t xml:space="preserve">UBS MATHIENSEN</t>
  </si>
  <si>
    <t xml:space="preserve">22222211122211</t>
  </si>
  <si>
    <t xml:space="preserve">UBS SÃO VITO</t>
  </si>
  <si>
    <t xml:space="preserve">CAPS INFANTIL</t>
  </si>
  <si>
    <t xml:space="preserve">22222122222222</t>
  </si>
  <si>
    <t xml:space="preserve">UBS PARQUE DAS NAÇÕES</t>
  </si>
  <si>
    <t xml:space="preserve">11121222211211</t>
  </si>
  <si>
    <t xml:space="preserve">ESF LIBERDADE</t>
  </si>
  <si>
    <t xml:space="preserve">11121222221111</t>
  </si>
  <si>
    <t xml:space="preserve">ESF JAGUARI</t>
  </si>
  <si>
    <t xml:space="preserve">12220211222122</t>
  </si>
  <si>
    <t xml:space="preserve">ESF ZANAGA I</t>
  </si>
  <si>
    <t xml:space="preserve">11112212211222</t>
  </si>
  <si>
    <t xml:space="preserve">ESF ZANAGA II</t>
  </si>
  <si>
    <t xml:space="preserve">22222121222211</t>
  </si>
  <si>
    <t xml:space="preserve">não importada</t>
  </si>
  <si>
    <t xml:space="preserve">Pontuação e data (29/06/2023) idênticas às da UAD em 2023: aba copiada sem preenchimento.</t>
  </si>
  <si>
    <t xml:space="preserve">UBS Cariobinha </t>
  </si>
  <si>
    <t xml:space="preserve">UBS CARIOBINHA</t>
  </si>
  <si>
    <t xml:space="preserve">22211122222222</t>
  </si>
  <si>
    <t xml:space="preserve">12222222212222</t>
  </si>
  <si>
    <t xml:space="preserve">Notas idênticas à visita de 2023 (já importada pela Avaliação Global).</t>
  </si>
  <si>
    <t xml:space="preserve">Sem data de visita e com todos os itens em nota máxima: aparenta modelo não preenchido.</t>
  </si>
  <si>
    <t xml:space="preserve">11122221122222</t>
  </si>
  <si>
    <t xml:space="preserve">Data 29/06/2023 coincide com a visita da UAD; pontuação não consta da Avaliação Global 2023. Requer confirmação do conselho.</t>
  </si>
  <si>
    <t xml:space="preserve">121222122222NN</t>
  </si>
  <si>
    <t xml:space="preserve">CLÍNICA JONES</t>
  </si>
  <si>
    <t xml:space="preserve">UBS VILA GALLO</t>
  </si>
  <si>
    <t xml:space="preserve">11222222211211</t>
  </si>
  <si>
    <t xml:space="preserve">CCZ </t>
  </si>
  <si>
    <t xml:space="preserve">11111111111100</t>
  </si>
  <si>
    <t xml:space="preserve">12122221212122</t>
  </si>
  <si>
    <t xml:space="preserve">JARDIM IPIRANGA</t>
  </si>
  <si>
    <t xml:space="preserve">12222212222122</t>
  </si>
  <si>
    <t xml:space="preserve">CAPS ÁLCOOL E DROGAS</t>
  </si>
  <si>
    <t xml:space="preserve">02221100212022</t>
  </si>
  <si>
    <t xml:space="preserve">PA ZANAGA</t>
  </si>
  <si>
    <t xml:space="preserve">21222122222222</t>
  </si>
  <si>
    <t xml:space="preserve">UBS D. ROSA</t>
  </si>
  <si>
    <t xml:space="preserve">Pontuação idêntica à da UBS Parque Gramado (14/05/2026) com data de 30/10/2023, que não corresponde à visita real de 2023 da unidade.</t>
  </si>
  <si>
    <t xml:space="preserve">UBS Jd Boer </t>
  </si>
  <si>
    <t xml:space="preserve">UBS JARDIM BOER</t>
  </si>
  <si>
    <t xml:space="preserve">11111122211222</t>
  </si>
  <si>
    <t xml:space="preserve">ESF Alvorada </t>
  </si>
  <si>
    <t xml:space="preserve">ESF ALVORADA</t>
  </si>
  <si>
    <t xml:space="preserve">11211221121222</t>
  </si>
  <si>
    <t xml:space="preserve">ESF MÁRIO COVAS</t>
  </si>
  <si>
    <t xml:space="preserve">11211221111121</t>
  </si>
  <si>
    <t xml:space="preserve">Núcleo Especialidades </t>
  </si>
  <si>
    <t xml:space="preserve">NÚCLEO DE ESPECIALIDADES</t>
  </si>
  <si>
    <t xml:space="preserve">22222221122212</t>
  </si>
  <si>
    <t xml:space="preserve">UBS São Domingos </t>
  </si>
  <si>
    <t xml:space="preserve">UBS SÃO DOMINGOS</t>
  </si>
  <si>
    <t xml:space="preserve">22211222211222</t>
  </si>
  <si>
    <t xml:space="preserve">UBS Guanabara </t>
  </si>
  <si>
    <t xml:space="preserve">UBS GUANABARA</t>
  </si>
  <si>
    <t xml:space="preserve">00022212211111</t>
  </si>
  <si>
    <t xml:space="preserve">Cópia da aba UBS Dona Rosa (mesmo cabeçalho, data e pontuação).</t>
  </si>
  <si>
    <t xml:space="preserve">1111221222222N</t>
  </si>
  <si>
    <t xml:space="preserve">12222222222222</t>
  </si>
  <si>
    <t xml:space="preserve">12221222222122</t>
  </si>
</sst>
</file>

<file path=xl/styles.xml><?xml version="1.0" encoding="utf-8"?>
<styleSheet xmlns="http://schemas.openxmlformats.org/spreadsheetml/2006/main">
  <numFmts count="5">
    <numFmt numFmtId="164" formatCode="General"/>
    <numFmt numFmtId="165" formatCode="dd/mm/yyyy"/>
    <numFmt numFmtId="166" formatCode="0.0%"/>
    <numFmt numFmtId="167" formatCode="\+0.0;\-0.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sz val="11"/>
      <name val="Cambria"/>
      <family val="0"/>
      <charset val="1"/>
    </font>
    <font>
      <b val="true"/>
      <sz val="11"/>
      <name val="Cambria"/>
      <family val="0"/>
      <charset val="1"/>
    </font>
    <font>
      <b val="true"/>
      <sz val="14"/>
      <name val="Cambria"/>
      <family val="0"/>
      <charset val="1"/>
    </font>
    <font>
      <sz val="11"/>
      <color rgb="FF0000FF"/>
      <name val="Cambria"/>
      <family val="0"/>
      <charset val="1"/>
    </font>
    <font>
      <b val="true"/>
      <sz val="11"/>
      <color rgb="FFFFFFFF"/>
      <name val="Cambria"/>
      <family val="0"/>
      <charset val="1"/>
    </font>
  </fonts>
  <fills count="4">
    <fill>
      <patternFill patternType="none"/>
    </fill>
    <fill>
      <patternFill patternType="gray125"/>
    </fill>
    <fill>
      <patternFill patternType="solid">
        <fgColor rgb="FFFFF9E6"/>
        <bgColor rgb="FFFFF4D1"/>
      </patternFill>
    </fill>
    <fill>
      <patternFill patternType="solid">
        <fgColor rgb="FF0F5C8C"/>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F5C8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F3EA"/>
          <bgColor rgb="FF000000"/>
        </patternFill>
      </fill>
    </dxf>
    <dxf>
      <fill>
        <patternFill patternType="solid">
          <fgColor rgb="FFFBE4E1"/>
          <bgColor rgb="FF000000"/>
        </patternFill>
      </fill>
    </dxf>
    <dxf>
      <fill>
        <patternFill patternType="solid">
          <fgColor rgb="FFFFF4D1"/>
          <bgColor rgb="FF000000"/>
        </patternFill>
      </fill>
    </dxf>
    <dxf>
      <fill>
        <patternFill patternType="solid">
          <fgColor rgb="FF2E8B57"/>
          <bgColor rgb="FF000000"/>
        </patternFill>
      </fill>
    </dxf>
    <dxf>
      <fill>
        <patternFill patternType="solid">
          <fgColor rgb="FF8A6500"/>
          <bgColor rgb="FF000000"/>
        </patternFill>
      </fill>
    </dxf>
    <dxf>
      <fill>
        <patternFill patternType="solid">
          <fgColor rgb="FFC0392B"/>
          <bgColor rgb="FF000000"/>
        </patternFill>
      </fill>
    </dxf>
    <dxf>
      <font>
        <color rgb="FFC0392B"/>
      </font>
      <fill>
        <patternFill>
          <bgColor rgb="FFFBE4E1"/>
        </patternFill>
      </fill>
    </dxf>
    <dxf>
      <font>
        <color rgb="FF8A6500"/>
      </font>
      <fill>
        <patternFill>
          <bgColor rgb="FFFFF4D1"/>
        </patternFill>
      </fill>
    </dxf>
    <dxf>
      <font>
        <color rgb="FF2E8B57"/>
      </font>
      <fill>
        <patternFill>
          <bgColor rgb="FFE3F3EA"/>
        </patternFill>
      </fill>
    </dxf>
    <dxf>
      <fill>
        <patternFill>
          <bgColor rgb="FFFBE4E1"/>
        </patternFill>
      </fill>
    </dxf>
    <dxf>
      <fill>
        <patternFill>
          <bgColor rgb="FFFFF4D1"/>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500"/>
      <rgbColor rgb="FF800080"/>
      <rgbColor rgb="FF008080"/>
      <rgbColor rgb="FFC0C0C0"/>
      <rgbColor rgb="FF808080"/>
      <rgbColor rgb="FF9999FF"/>
      <rgbColor rgb="FF993366"/>
      <rgbColor rgb="FFFFF4D1"/>
      <rgbColor rgb="FFE3F3EA"/>
      <rgbColor rgb="FF660066"/>
      <rgbColor rgb="FFFF8080"/>
      <rgbColor rgb="FF0F5C8C"/>
      <rgbColor rgb="FFCCCCFF"/>
      <rgbColor rgb="FF000080"/>
      <rgbColor rgb="FFFF00FF"/>
      <rgbColor rgb="FFFFFF00"/>
      <rgbColor rgb="FF00FFFF"/>
      <rgbColor rgb="FF800080"/>
      <rgbColor rgb="FF800000"/>
      <rgbColor rgb="FF008080"/>
      <rgbColor rgb="FF0000FF"/>
      <rgbColor rgb="FF00CCFF"/>
      <rgbColor rgb="FFCCFFFF"/>
      <rgbColor rgb="FFCCFFCC"/>
      <rgbColor rgb="FFFFF9E6"/>
      <rgbColor rgb="FF99CCFF"/>
      <rgbColor rgb="FFFF99CC"/>
      <rgbColor rgb="FFCC99FF"/>
      <rgbColor rgb="FFFBE4E1"/>
      <rgbColor rgb="FF3366FF"/>
      <rgbColor rgb="FF33CCCC"/>
      <rgbColor rgb="FF99CC00"/>
      <rgbColor rgb="FFFFCC00"/>
      <rgbColor rgb="FFFF9900"/>
      <rgbColor rgb="FFFF6600"/>
      <rgbColor rgb="FF666699"/>
      <rgbColor rgb="FF969696"/>
      <rgbColor rgb="FF003366"/>
      <rgbColor rgb="FF2E8B57"/>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28.3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28.3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8.3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28.3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3" min="3" style="0" width="11"/>
    <col collapsed="false" customWidth="true" hidden="false" outlineLevel="0" max="4" min="4" style="0" width="10"/>
    <col collapsed="false" customWidth="true" hidden="false" outlineLevel="0" max="5" min="5" style="0" width="11"/>
    <col collapsed="false" customWidth="true" hidden="false" outlineLevel="0" max="7" min="6" style="0" width="10"/>
    <col collapsed="false" customWidth="true" hidden="false" outlineLevel="0" max="9" min="8" style="0" width="12"/>
    <col collapsed="false" customWidth="true" hidden="false" outlineLevel="0" max="10" min="10" style="0" width="16"/>
    <col collapsed="false" customWidth="true" hidden="false" outlineLevel="0" max="14" min="11" style="0" width="11"/>
  </cols>
  <sheetData>
    <row r="1" customFormat="false" ht="17.35" hidden="false" customHeight="false" outlineLevel="0" collapsed="false">
      <c r="A1" s="4" t="s">
        <v>17</v>
      </c>
    </row>
    <row r="2" customFormat="false" ht="15" hidden="false" customHeight="false" outlineLevel="0" collapsed="false">
      <c r="A2" s="0" t="s">
        <v>18</v>
      </c>
    </row>
    <row r="3" customFormat="false" ht="15" hidden="false" customHeight="false" outlineLevel="0" collapsed="false">
      <c r="B3" s="0" t="s">
        <v>19</v>
      </c>
      <c r="C3" s="5" t="s">
        <v>20</v>
      </c>
      <c r="E3" s="6" t="s">
        <v>21</v>
      </c>
      <c r="F3" s="5" t="s">
        <v>22</v>
      </c>
      <c r="J3" s="6" t="s">
        <v>23</v>
      </c>
      <c r="K3" s="7" t="n">
        <f aca="true">TODAY()</f>
        <v>46298</v>
      </c>
    </row>
    <row r="5" customFormat="false" ht="55.2" hidden="false" customHeight="false" outlineLevel="0" collapsed="false">
      <c r="A5" s="8" t="s">
        <v>24</v>
      </c>
      <c r="B5" s="8" t="s">
        <v>25</v>
      </c>
      <c r="C5" s="8" t="s">
        <v>26</v>
      </c>
      <c r="D5" s="8" t="s">
        <v>27</v>
      </c>
      <c r="E5" s="8" t="s">
        <v>28</v>
      </c>
      <c r="F5" s="8" t="s">
        <v>29</v>
      </c>
      <c r="G5" s="8" t="s">
        <v>30</v>
      </c>
      <c r="H5" s="8" t="s">
        <v>31</v>
      </c>
      <c r="I5" s="8" t="s">
        <v>32</v>
      </c>
      <c r="J5" s="8" t="s">
        <v>33</v>
      </c>
      <c r="K5" s="8" t="s">
        <v>34</v>
      </c>
      <c r="L5" s="8" t="s">
        <v>35</v>
      </c>
      <c r="M5" s="8" t="s">
        <v>36</v>
      </c>
      <c r="N5" s="8" t="s">
        <v>37</v>
      </c>
    </row>
    <row r="6" customFormat="false" ht="15" hidden="false" customHeight="false" outlineLevel="0" collapsed="false">
      <c r="A6" s="0" t="str">
        <f aca="false">Unidades!B2</f>
        <v>UAD - Unidade de Atendimento Domiciliar</v>
      </c>
      <c r="B6" s="0" t="str">
        <f aca="false">Unidades!C2</f>
        <v>Atenção Domiciliar</v>
      </c>
      <c r="C6" s="7" t="n">
        <f aca="false">IF(_xlfn.MAXIFS(Resultados!$C$2:$C$401,Resultados!$D$2:$D$401,$A6,Resultados!$B$2:$B$401,$C$3,Resultados!$U$2:$U$401,1)=0,"",_xlfn.MAXIFS(Resultados!$C$2:$C$401,Resultados!$D$2:$D$401,$A6,Resultados!$B$2:$B$401,$C$3,Resultados!$U$2:$U$401,1))</f>
        <v>45106</v>
      </c>
      <c r="D6" s="9" t="n">
        <f aca="false">IF(C6="","",SUMIFS(Resultados!$R$2:$R$401,Resultados!$D$2:$D$401,$A6,Resultados!$B$2:$B$401,$C$3,Resultados!$C$2:$C$401,C6,Resultados!$U$2:$U$401,1))</f>
        <v>0.825892857142857</v>
      </c>
      <c r="E6" s="7" t="n">
        <f aca="false">IF(_xlfn.MAXIFS(Resultados!$C$2:$C$401,Resultados!$D$2:$D$401,$A6,Resultados!$B$2:$B$401,$F$3,Resultados!$U$2:$U$401,1)=0,"",_xlfn.MAXIFS(Resultados!$C$2:$C$401,Resultados!$D$2:$D$401,$A6,Resultados!$B$2:$B$401,$F$3,Resultados!$U$2:$U$401,1))</f>
        <v>46164</v>
      </c>
      <c r="F6" s="9" t="n">
        <f aca="false">IF(E6="","",SUMIFS(Resultados!$R$2:$R$401,Resultados!$D$2:$D$401,$A6,Resultados!$B$2:$B$401,$F$3,Resultados!$C$2:$C$401,E6,Resultados!$U$2:$U$401,1))</f>
        <v>1</v>
      </c>
      <c r="G6" s="10" t="n">
        <f aca="false">IF(OR(D6="",F6=""),"",(F6-D6)*100)</f>
        <v>17.4107142857143</v>
      </c>
      <c r="H6" s="7" t="n">
        <f aca="false">IF(_xlfn.MAXIFS(Resultados!$C$2:$C$401,Resultados!$D$2:$D$401,$A6,Resultados!$U$2:$U$401,1)=0,"",_xlfn.MAXIFS(Resultados!$C$2:$C$401,Resultados!$D$2:$D$401,$A6,Resultados!$U$2:$U$401,1))</f>
        <v>46164</v>
      </c>
      <c r="I6" s="7" t="n">
        <f aca="false">IF(H6="","",EDATE(H6,Unidades!F2))</f>
        <v>46348</v>
      </c>
      <c r="J6" s="0" t="str">
        <f aca="false">IF(Unidades!E2&lt;&gt;"ativa","suspensa",IF(H6="","sem visita",IF(I6&lt;$K$3,"atrasada",IF(I6&lt;=$K$3+30,"próximos 30 dias","em dia"))))</f>
        <v>em dia</v>
      </c>
      <c r="K6" s="9" t="n">
        <f aca="false">IF(E6="","",SUMIFS(Resultados!$N$2:$N$401,Resultados!$D$2:$D$401,$A6,Resultados!$B$2:$B$401,$F$3,Resultados!$C$2:$C$401,E6,Resultados!$U$2:$U$401,1))</f>
        <v>1</v>
      </c>
      <c r="L6" s="9" t="n">
        <f aca="false">IF(E6="","",SUMIFS(Resultados!$O$2:$O$401,Resultados!$D$2:$D$401,$A6,Resultados!$B$2:$B$401,$F$3,Resultados!$C$2:$C$401,E6,Resultados!$U$2:$U$401,1))</f>
        <v>1</v>
      </c>
      <c r="M6" s="9" t="n">
        <f aca="false">IF(E6="","",SUMIFS(Resultados!$P$2:$P$401,Resultados!$D$2:$D$401,$A6,Resultados!$B$2:$B$401,$F$3,Resultados!$C$2:$C$401,E6,Resultados!$U$2:$U$401,1))</f>
        <v>1</v>
      </c>
      <c r="N6" s="9" t="n">
        <f aca="false">IF(E6="","",SUMIFS(Resultados!$Q$2:$Q$401,Resultados!$D$2:$D$401,$A6,Resultados!$B$2:$B$401,$F$3,Resultados!$C$2:$C$401,E6,Resultados!$U$2:$U$401,1))</f>
        <v>0</v>
      </c>
    </row>
    <row r="7" customFormat="false" ht="15" hidden="false" customHeight="false" outlineLevel="0" collapsed="false">
      <c r="A7" s="0" t="str">
        <f aca="false">Unidades!B3</f>
        <v>UBS Jardim São Paulo</v>
      </c>
      <c r="B7" s="0" t="str">
        <f aca="false">Unidades!C3</f>
        <v>Unidade Básica de Saúde (UBS)</v>
      </c>
      <c r="C7" s="7" t="n">
        <f aca="false">IF(_xlfn.MAXIFS(Resultados!$C$2:$C$401,Resultados!$D$2:$D$401,$A7,Resultados!$B$2:$B$401,$C$3,Resultados!$U$2:$U$401,1)=0,"",_xlfn.MAXIFS(Resultados!$C$2:$C$401,Resultados!$D$2:$D$401,$A7,Resultados!$B$2:$B$401,$C$3,Resultados!$U$2:$U$401,1))</f>
        <v>45231</v>
      </c>
      <c r="D7" s="9" t="n">
        <f aca="false">IF(C7="","",SUMIFS(Resultados!$R$2:$R$401,Resultados!$D$2:$D$401,$A7,Resultados!$B$2:$B$401,$C$3,Resultados!$C$2:$C$401,C7,Resultados!$U$2:$U$401,1))</f>
        <v>0.857142857142857</v>
      </c>
      <c r="E7" s="7" t="n">
        <f aca="false">IF(_xlfn.MAXIFS(Resultados!$C$2:$C$401,Resultados!$D$2:$D$401,$A7,Resultados!$B$2:$B$401,$F$3,Resultados!$U$2:$U$401,1)=0,"",_xlfn.MAXIFS(Resultados!$C$2:$C$401,Resultados!$D$2:$D$401,$A7,Resultados!$B$2:$B$401,$F$3,Resultados!$U$2:$U$401,1))</f>
        <v>46090</v>
      </c>
      <c r="F7" s="9" t="n">
        <f aca="false">IF(E7="","",SUMIFS(Resultados!$R$2:$R$401,Resultados!$D$2:$D$401,$A7,Resultados!$B$2:$B$401,$F$3,Resultados!$C$2:$C$401,E7,Resultados!$U$2:$U$401,1))</f>
        <v>0.883928571428571</v>
      </c>
      <c r="G7" s="10" t="n">
        <f aca="false">IF(OR(D7="",F7=""),"",(F7-D7)*100)</f>
        <v>2.67857142857142</v>
      </c>
      <c r="H7" s="7" t="n">
        <f aca="false">IF(_xlfn.MAXIFS(Resultados!$C$2:$C$401,Resultados!$D$2:$D$401,$A7,Resultados!$U$2:$U$401,1)=0,"",_xlfn.MAXIFS(Resultados!$C$2:$C$401,Resultados!$D$2:$D$401,$A7,Resultados!$U$2:$U$401,1))</f>
        <v>46090</v>
      </c>
      <c r="I7" s="7" t="n">
        <f aca="false">IF(H7="","",EDATE(H7,Unidades!F3))</f>
        <v>46274</v>
      </c>
      <c r="J7" s="0" t="str">
        <f aca="false">IF(Unidades!E3&lt;&gt;"ativa","suspensa",IF(H7="","sem visita",IF(I7&lt;$K$3,"atrasada",IF(I7&lt;=$K$3+30,"próximos 30 dias","em dia"))))</f>
        <v>atrasada</v>
      </c>
      <c r="K7" s="9" t="n">
        <f aca="false">IF(E7="","",SUMIFS(Resultados!$N$2:$N$401,Resultados!$D$2:$D$401,$A7,Resultados!$B$2:$B$401,$F$3,Resultados!$C$2:$C$401,E7,Resultados!$U$2:$U$401,1))</f>
        <v>0.785714285714286</v>
      </c>
      <c r="L7" s="9" t="n">
        <f aca="false">IF(E7="","",SUMIFS(Resultados!$O$2:$O$401,Resultados!$D$2:$D$401,$A7,Resultados!$B$2:$B$401,$F$3,Resultados!$C$2:$C$401,E7,Resultados!$U$2:$U$401,1))</f>
        <v>1</v>
      </c>
      <c r="M7" s="9" t="n">
        <f aca="false">IF(E7="","",SUMIFS(Resultados!$P$2:$P$401,Resultados!$D$2:$D$401,$A7,Resultados!$B$2:$B$401,$F$3,Resultados!$C$2:$C$401,E7,Resultados!$U$2:$U$401,1))</f>
        <v>1</v>
      </c>
      <c r="N7" s="9" t="n">
        <f aca="false">IF(E7="","",SUMIFS(Resultados!$Q$2:$Q$401,Resultados!$D$2:$D$401,$A7,Resultados!$B$2:$B$401,$F$3,Resultados!$C$2:$C$401,E7,Resultados!$U$2:$U$401,1))</f>
        <v>0.75</v>
      </c>
    </row>
    <row r="8" customFormat="false" ht="15" hidden="false" customHeight="false" outlineLevel="0" collapsed="false">
      <c r="A8" s="0" t="str">
        <f aca="false">Unidades!B4</f>
        <v>Hospital Municipal Dr. Waldemar Tebaldi</v>
      </c>
      <c r="B8" s="0" t="str">
        <f aca="false">Unidades!C4</f>
        <v>Hospital</v>
      </c>
      <c r="C8" s="7" t="str">
        <f aca="false">IF(_xlfn.MAXIFS(Resultados!$C$2:$C$401,Resultados!$D$2:$D$401,$A8,Resultados!$B$2:$B$401,$C$3,Resultados!$U$2:$U$401,1)=0,"",_xlfn.MAXIFS(Resultados!$C$2:$C$401,Resultados!$D$2:$D$401,$A8,Resultados!$B$2:$B$401,$C$3,Resultados!$U$2:$U$401,1))</f>
        <v/>
      </c>
      <c r="D8" s="9" t="str">
        <f aca="false">IF(C8="","",SUMIFS(Resultados!$R$2:$R$401,Resultados!$D$2:$D$401,$A8,Resultados!$B$2:$B$401,$C$3,Resultados!$C$2:$C$401,C8,Resultados!$U$2:$U$401,1))</f>
        <v/>
      </c>
      <c r="E8" s="7" t="n">
        <f aca="false">IF(_xlfn.MAXIFS(Resultados!$C$2:$C$401,Resultados!$D$2:$D$401,$A8,Resultados!$B$2:$B$401,$F$3,Resultados!$U$2:$U$401,1)=0,"",_xlfn.MAXIFS(Resultados!$C$2:$C$401,Resultados!$D$2:$D$401,$A8,Resultados!$B$2:$B$401,$F$3,Resultados!$U$2:$U$401,1))</f>
        <v>46091</v>
      </c>
      <c r="F8" s="9" t="n">
        <f aca="false">IF(E8="","",SUMIFS(Resultados!$R$2:$R$401,Resultados!$D$2:$D$401,$A8,Resultados!$B$2:$B$401,$F$3,Resultados!$C$2:$C$401,E8,Resultados!$U$2:$U$401,1))</f>
        <v>0.665178571428571</v>
      </c>
      <c r="G8" s="10" t="str">
        <f aca="false">IF(OR(D8="",F8=""),"",(F8-D8)*100)</f>
        <v/>
      </c>
      <c r="H8" s="7" t="n">
        <f aca="false">IF(_xlfn.MAXIFS(Resultados!$C$2:$C$401,Resultados!$D$2:$D$401,$A8,Resultados!$U$2:$U$401,1)=0,"",_xlfn.MAXIFS(Resultados!$C$2:$C$401,Resultados!$D$2:$D$401,$A8,Resultados!$U$2:$U$401,1))</f>
        <v>46091</v>
      </c>
      <c r="I8" s="7" t="n">
        <f aca="false">IF(H8="","",EDATE(H8,Unidades!F4))</f>
        <v>46275</v>
      </c>
      <c r="J8" s="0" t="str">
        <f aca="false">IF(Unidades!E4&lt;&gt;"ativa","suspensa",IF(H8="","sem visita",IF(I8&lt;$K$3,"atrasada",IF(I8&lt;=$K$3+30,"próximos 30 dias","em dia"))))</f>
        <v>atrasada</v>
      </c>
      <c r="K8" s="9" t="n">
        <f aca="false">IF(E8="","",SUMIFS(Resultados!$N$2:$N$401,Resultados!$D$2:$D$401,$A8,Resultados!$B$2:$B$401,$F$3,Resultados!$C$2:$C$401,E8,Resultados!$U$2:$U$401,1))</f>
        <v>0.785714285714286</v>
      </c>
      <c r="L8" s="9" t="n">
        <f aca="false">IF(E8="","",SUMIFS(Resultados!$O$2:$O$401,Resultados!$D$2:$D$401,$A8,Resultados!$B$2:$B$401,$F$3,Resultados!$C$2:$C$401,E8,Resultados!$U$2:$U$401,1))</f>
        <v>0.875</v>
      </c>
      <c r="M8" s="9" t="n">
        <f aca="false">IF(E8="","",SUMIFS(Resultados!$P$2:$P$401,Resultados!$D$2:$D$401,$A8,Resultados!$B$2:$B$401,$F$3,Resultados!$C$2:$C$401,E8,Resultados!$U$2:$U$401,1))</f>
        <v>0.5</v>
      </c>
      <c r="N8" s="9" t="n">
        <f aca="false">IF(E8="","",SUMIFS(Resultados!$Q$2:$Q$401,Resultados!$D$2:$D$401,$A8,Resultados!$B$2:$B$401,$F$3,Resultados!$C$2:$C$401,E8,Resultados!$U$2:$U$401,1))</f>
        <v>0.5</v>
      </c>
    </row>
    <row r="9" customFormat="false" ht="15" hidden="false" customHeight="false" outlineLevel="0" collapsed="false">
      <c r="A9" s="0" t="str">
        <f aca="false">Unidades!B5</f>
        <v>UPA Dona Rosa</v>
      </c>
      <c r="B9" s="0" t="str">
        <f aca="false">Unidades!C5</f>
        <v>Urgência e Emergência</v>
      </c>
      <c r="C9" s="7" t="str">
        <f aca="false">IF(_xlfn.MAXIFS(Resultados!$C$2:$C$401,Resultados!$D$2:$D$401,$A9,Resultados!$B$2:$B$401,$C$3,Resultados!$U$2:$U$401,1)=0,"",_xlfn.MAXIFS(Resultados!$C$2:$C$401,Resultados!$D$2:$D$401,$A9,Resultados!$B$2:$B$401,$C$3,Resultados!$U$2:$U$401,1))</f>
        <v/>
      </c>
      <c r="D9" s="9" t="str">
        <f aca="false">IF(C9="","",SUMIFS(Resultados!$R$2:$R$401,Resultados!$D$2:$D$401,$A9,Resultados!$B$2:$B$401,$C$3,Resultados!$C$2:$C$401,C9,Resultados!$U$2:$U$401,1))</f>
        <v/>
      </c>
      <c r="E9" s="7" t="n">
        <f aca="false">IF(_xlfn.MAXIFS(Resultados!$C$2:$C$401,Resultados!$D$2:$D$401,$A9,Resultados!$B$2:$B$401,$F$3,Resultados!$U$2:$U$401,1)=0,"",_xlfn.MAXIFS(Resultados!$C$2:$C$401,Resultados!$D$2:$D$401,$A9,Resultados!$B$2:$B$401,$F$3,Resultados!$U$2:$U$401,1))</f>
        <v>46093</v>
      </c>
      <c r="F9" s="9" t="n">
        <f aca="false">IF(E9="","",SUMIFS(Resultados!$R$2:$R$401,Resultados!$D$2:$D$401,$A9,Resultados!$B$2:$B$401,$F$3,Resultados!$C$2:$C$401,E9,Resultados!$U$2:$U$401,1))</f>
        <v>0.964285714285714</v>
      </c>
      <c r="G9" s="10" t="str">
        <f aca="false">IF(OR(D9="",F9=""),"",(F9-D9)*100)</f>
        <v/>
      </c>
      <c r="H9" s="7" t="n">
        <f aca="false">IF(_xlfn.MAXIFS(Resultados!$C$2:$C$401,Resultados!$D$2:$D$401,$A9,Resultados!$U$2:$U$401,1)=0,"",_xlfn.MAXIFS(Resultados!$C$2:$C$401,Resultados!$D$2:$D$401,$A9,Resultados!$U$2:$U$401,1))</f>
        <v>46093</v>
      </c>
      <c r="I9" s="7" t="n">
        <f aca="false">IF(H9="","",EDATE(H9,Unidades!F5))</f>
        <v>46277</v>
      </c>
      <c r="J9" s="0" t="str">
        <f aca="false">IF(Unidades!E5&lt;&gt;"ativa","suspensa",IF(H9="","sem visita",IF(I9&lt;$K$3,"atrasada",IF(I9&lt;=$K$3+30,"próximos 30 dias","em dia"))))</f>
        <v>atrasada</v>
      </c>
      <c r="K9" s="9" t="n">
        <f aca="false">IF(E9="","",SUMIFS(Resultados!$N$2:$N$401,Resultados!$D$2:$D$401,$A9,Resultados!$B$2:$B$401,$F$3,Resultados!$C$2:$C$401,E9,Resultados!$U$2:$U$401,1))</f>
        <v>0.857142857142857</v>
      </c>
      <c r="L9" s="9" t="n">
        <f aca="false">IF(E9="","",SUMIFS(Resultados!$O$2:$O$401,Resultados!$D$2:$D$401,$A9,Resultados!$B$2:$B$401,$F$3,Resultados!$C$2:$C$401,E9,Resultados!$U$2:$U$401,1))</f>
        <v>1</v>
      </c>
      <c r="M9" s="9" t="n">
        <f aca="false">IF(E9="","",SUMIFS(Resultados!$P$2:$P$401,Resultados!$D$2:$D$401,$A9,Resultados!$B$2:$B$401,$F$3,Resultados!$C$2:$C$401,E9,Resultados!$U$2:$U$401,1))</f>
        <v>1</v>
      </c>
      <c r="N9" s="9" t="n">
        <f aca="false">IF(E9="","",SUMIFS(Resultados!$Q$2:$Q$401,Resultados!$D$2:$D$401,$A9,Resultados!$B$2:$B$401,$F$3,Resultados!$C$2:$C$401,E9,Resultados!$U$2:$U$401,1))</f>
        <v>1</v>
      </c>
    </row>
    <row r="10" customFormat="false" ht="15" hidden="false" customHeight="false" outlineLevel="0" collapsed="false">
      <c r="A10" s="0" t="str">
        <f aca="false">Unidades!B6</f>
        <v>Banco de Sangue</v>
      </c>
      <c r="B10" s="0" t="str">
        <f aca="false">Unidades!C6</f>
        <v>Apoio Diagnóstico e Terapêutico</v>
      </c>
      <c r="C10" s="7" t="str">
        <f aca="false">IF(_xlfn.MAXIFS(Resultados!$C$2:$C$401,Resultados!$D$2:$D$401,$A10,Resultados!$B$2:$B$401,$C$3,Resultados!$U$2:$U$401,1)=0,"",_xlfn.MAXIFS(Resultados!$C$2:$C$401,Resultados!$D$2:$D$401,$A10,Resultados!$B$2:$B$401,$C$3,Resultados!$U$2:$U$401,1))</f>
        <v/>
      </c>
      <c r="D10" s="9" t="str">
        <f aca="false">IF(C10="","",SUMIFS(Resultados!$R$2:$R$401,Resultados!$D$2:$D$401,$A10,Resultados!$B$2:$B$401,$C$3,Resultados!$C$2:$C$401,C10,Resultados!$U$2:$U$401,1))</f>
        <v/>
      </c>
      <c r="E10" s="7" t="n">
        <f aca="false">IF(_xlfn.MAXIFS(Resultados!$C$2:$C$401,Resultados!$D$2:$D$401,$A10,Resultados!$B$2:$B$401,$F$3,Resultados!$U$2:$U$401,1)=0,"",_xlfn.MAXIFS(Resultados!$C$2:$C$401,Resultados!$D$2:$D$401,$A10,Resultados!$B$2:$B$401,$F$3,Resultados!$U$2:$U$401,1))</f>
        <v>46122</v>
      </c>
      <c r="F10" s="9" t="n">
        <f aca="false">IF(E10="","",SUMIFS(Resultados!$R$2:$R$401,Resultados!$D$2:$D$401,$A10,Resultados!$B$2:$B$401,$F$3,Resultados!$C$2:$C$401,E10,Resultados!$U$2:$U$401,1))</f>
        <v>0.625</v>
      </c>
      <c r="G10" s="10" t="str">
        <f aca="false">IF(OR(D10="",F10=""),"",(F10-D10)*100)</f>
        <v/>
      </c>
      <c r="H10" s="7" t="n">
        <f aca="false">IF(_xlfn.MAXIFS(Resultados!$C$2:$C$401,Resultados!$D$2:$D$401,$A10,Resultados!$U$2:$U$401,1)=0,"",_xlfn.MAXIFS(Resultados!$C$2:$C$401,Resultados!$D$2:$D$401,$A10,Resultados!$U$2:$U$401,1))</f>
        <v>46122</v>
      </c>
      <c r="I10" s="7" t="n">
        <f aca="false">IF(H10="","",EDATE(H10,Unidades!F6))</f>
        <v>46305</v>
      </c>
      <c r="J10" s="0" t="str">
        <f aca="false">IF(Unidades!E6&lt;&gt;"ativa","suspensa",IF(H10="","sem visita",IF(I10&lt;$K$3,"atrasada",IF(I10&lt;=$K$3+30,"próximos 30 dias","em dia"))))</f>
        <v>próximos 30 dias</v>
      </c>
      <c r="K10" s="9" t="n">
        <f aca="false">IF(E10="","",SUMIFS(Resultados!$N$2:$N$401,Resultados!$D$2:$D$401,$A10,Resultados!$B$2:$B$401,$F$3,Resultados!$C$2:$C$401,E10,Resultados!$U$2:$U$401,1))</f>
        <v>0.5</v>
      </c>
      <c r="L10" s="9" t="n">
        <f aca="false">IF(E10="","",SUMIFS(Resultados!$O$2:$O$401,Resultados!$D$2:$D$401,$A10,Resultados!$B$2:$B$401,$F$3,Resultados!$C$2:$C$401,E10,Resultados!$U$2:$U$401,1))</f>
        <v>1</v>
      </c>
      <c r="M10" s="9" t="n">
        <f aca="false">IF(E10="","",SUMIFS(Resultados!$P$2:$P$401,Resultados!$D$2:$D$401,$A10,Resultados!$B$2:$B$401,$F$3,Resultados!$C$2:$C$401,E10,Resultados!$U$2:$U$401,1))</f>
        <v>0.5</v>
      </c>
      <c r="N10" s="9" t="n">
        <f aca="false">IF(E10="","",SUMIFS(Resultados!$Q$2:$Q$401,Resultados!$D$2:$D$401,$A10,Resultados!$B$2:$B$401,$F$3,Resultados!$C$2:$C$401,E10,Resultados!$U$2:$U$401,1))</f>
        <v>0.5</v>
      </c>
    </row>
    <row r="11" customFormat="false" ht="15" hidden="false" customHeight="false" outlineLevel="0" collapsed="false">
      <c r="A11" s="0" t="str">
        <f aca="false">Unidades!B7</f>
        <v>UBS Parque Gramado</v>
      </c>
      <c r="B11" s="0" t="str">
        <f aca="false">Unidades!C7</f>
        <v>Unidade Básica de Saúde (UBS)</v>
      </c>
      <c r="C11" s="7" t="str">
        <f aca="false">IF(_xlfn.MAXIFS(Resultados!$C$2:$C$401,Resultados!$D$2:$D$401,$A11,Resultados!$B$2:$B$401,$C$3,Resultados!$U$2:$U$401,1)=0,"",_xlfn.MAXIFS(Resultados!$C$2:$C$401,Resultados!$D$2:$D$401,$A11,Resultados!$B$2:$B$401,$C$3,Resultados!$U$2:$U$401,1))</f>
        <v/>
      </c>
      <c r="D11" s="9" t="str">
        <f aca="false">IF(C11="","",SUMIFS(Resultados!$R$2:$R$401,Resultados!$D$2:$D$401,$A11,Resultados!$B$2:$B$401,$C$3,Resultados!$C$2:$C$401,C11,Resultados!$U$2:$U$401,1))</f>
        <v/>
      </c>
      <c r="E11" s="7" t="n">
        <f aca="false">IF(_xlfn.MAXIFS(Resultados!$C$2:$C$401,Resultados!$D$2:$D$401,$A11,Resultados!$B$2:$B$401,$F$3,Resultados!$U$2:$U$401,1)=0,"",_xlfn.MAXIFS(Resultados!$C$2:$C$401,Resultados!$D$2:$D$401,$A11,Resultados!$B$2:$B$401,$F$3,Resultados!$U$2:$U$401,1))</f>
        <v>46156</v>
      </c>
      <c r="F11" s="9" t="n">
        <f aca="false">IF(E11="","",SUMIFS(Resultados!$R$2:$R$401,Resultados!$D$2:$D$401,$A11,Resultados!$B$2:$B$401,$F$3,Resultados!$C$2:$C$401,E11,Resultados!$U$2:$U$401,1))</f>
        <v>0.6875</v>
      </c>
      <c r="G11" s="10" t="str">
        <f aca="false">IF(OR(D11="",F11=""),"",(F11-D11)*100)</f>
        <v/>
      </c>
      <c r="H11" s="7" t="n">
        <f aca="false">IF(_xlfn.MAXIFS(Resultados!$C$2:$C$401,Resultados!$D$2:$D$401,$A11,Resultados!$U$2:$U$401,1)=0,"",_xlfn.MAXIFS(Resultados!$C$2:$C$401,Resultados!$D$2:$D$401,$A11,Resultados!$U$2:$U$401,1))</f>
        <v>46156</v>
      </c>
      <c r="I11" s="7" t="n">
        <f aca="false">IF(H11="","",EDATE(H11,Unidades!F7))</f>
        <v>46340</v>
      </c>
      <c r="J11" s="0" t="str">
        <f aca="false">IF(Unidades!E7&lt;&gt;"ativa","suspensa",IF(H11="","sem visita",IF(I11&lt;$K$3,"atrasada",IF(I11&lt;=$K$3+30,"próximos 30 dias","em dia"))))</f>
        <v>em dia</v>
      </c>
      <c r="K11" s="9" t="n">
        <f aca="false">IF(E11="","",SUMIFS(Resultados!$N$2:$N$401,Resultados!$D$2:$D$401,$A11,Resultados!$B$2:$B$401,$F$3,Resultados!$C$2:$C$401,E11,Resultados!$U$2:$U$401,1))</f>
        <v>0.5</v>
      </c>
      <c r="L11" s="9" t="n">
        <f aca="false">IF(E11="","",SUMIFS(Resultados!$O$2:$O$401,Resultados!$D$2:$D$401,$A11,Resultados!$B$2:$B$401,$F$3,Resultados!$C$2:$C$401,E11,Resultados!$U$2:$U$401,1))</f>
        <v>0.75</v>
      </c>
      <c r="M11" s="9" t="n">
        <f aca="false">IF(E11="","",SUMIFS(Resultados!$P$2:$P$401,Resultados!$D$2:$D$401,$A11,Resultados!$B$2:$B$401,$F$3,Resultados!$C$2:$C$401,E11,Resultados!$U$2:$U$401,1))</f>
        <v>0.5</v>
      </c>
      <c r="N11" s="9" t="n">
        <f aca="false">IF(E11="","",SUMIFS(Resultados!$Q$2:$Q$401,Resultados!$D$2:$D$401,$A11,Resultados!$B$2:$B$401,$F$3,Resultados!$C$2:$C$401,E11,Resultados!$U$2:$U$401,1))</f>
        <v>1</v>
      </c>
    </row>
    <row r="12" customFormat="false" ht="15" hidden="false" customHeight="false" outlineLevel="0" collapsed="false">
      <c r="A12" s="0" t="str">
        <f aca="false">Unidades!B8</f>
        <v>ESF São José</v>
      </c>
      <c r="B12" s="0" t="str">
        <f aca="false">Unidades!C8</f>
        <v>Estratégia Saúde da Família (ESF)</v>
      </c>
      <c r="C12" s="7" t="n">
        <f aca="false">IF(_xlfn.MAXIFS(Resultados!$C$2:$C$401,Resultados!$D$2:$D$401,$A12,Resultados!$B$2:$B$401,$C$3,Resultados!$U$2:$U$401,1)=0,"",_xlfn.MAXIFS(Resultados!$C$2:$C$401,Resultados!$D$2:$D$401,$A12,Resultados!$B$2:$B$401,$C$3,Resultados!$U$2:$U$401,1))</f>
        <v>45254</v>
      </c>
      <c r="D12" s="9" t="n">
        <f aca="false">IF(C12="","",SUMIFS(Resultados!$R$2:$R$401,Resultados!$D$2:$D$401,$A12,Resultados!$B$2:$B$401,$C$3,Resultados!$C$2:$C$401,C12,Resultados!$U$2:$U$401,1))</f>
        <v>1</v>
      </c>
      <c r="E12" s="7" t="n">
        <f aca="false">IF(_xlfn.MAXIFS(Resultados!$C$2:$C$401,Resultados!$D$2:$D$401,$A12,Resultados!$B$2:$B$401,$F$3,Resultados!$U$2:$U$401,1)=0,"",_xlfn.MAXIFS(Resultados!$C$2:$C$401,Resultados!$D$2:$D$401,$A12,Resultados!$B$2:$B$401,$F$3,Resultados!$U$2:$U$401,1))</f>
        <v>46142</v>
      </c>
      <c r="F12" s="9" t="n">
        <f aca="false">IF(E12="","",SUMIFS(Resultados!$R$2:$R$401,Resultados!$D$2:$D$401,$A12,Resultados!$B$2:$B$401,$F$3,Resultados!$C$2:$C$401,E12,Resultados!$U$2:$U$401,1))</f>
        <v>0.785714285714286</v>
      </c>
      <c r="G12" s="10" t="n">
        <f aca="false">IF(OR(D12="",F12=""),"",(F12-D12)*100)</f>
        <v>-21.4285714285714</v>
      </c>
      <c r="H12" s="7" t="n">
        <f aca="false">IF(_xlfn.MAXIFS(Resultados!$C$2:$C$401,Resultados!$D$2:$D$401,$A12,Resultados!$U$2:$U$401,1)=0,"",_xlfn.MAXIFS(Resultados!$C$2:$C$401,Resultados!$D$2:$D$401,$A12,Resultados!$U$2:$U$401,1))</f>
        <v>46142</v>
      </c>
      <c r="I12" s="7" t="n">
        <f aca="false">IF(H12="","",EDATE(H12,Unidades!F8))</f>
        <v>46325</v>
      </c>
      <c r="J12" s="0" t="str">
        <f aca="false">IF(Unidades!E8&lt;&gt;"ativa","suspensa",IF(H12="","sem visita",IF(I12&lt;$K$3,"atrasada",IF(I12&lt;=$K$3+30,"próximos 30 dias","em dia"))))</f>
        <v>próximos 30 dias</v>
      </c>
      <c r="K12" s="9" t="n">
        <f aca="false">IF(E12="","",SUMIFS(Resultados!$N$2:$N$401,Resultados!$D$2:$D$401,$A12,Resultados!$B$2:$B$401,$F$3,Resultados!$C$2:$C$401,E12,Resultados!$U$2:$U$401,1))</f>
        <v>0.642857142857143</v>
      </c>
      <c r="L12" s="9" t="n">
        <f aca="false">IF(E12="","",SUMIFS(Resultados!$O$2:$O$401,Resultados!$D$2:$D$401,$A12,Resultados!$B$2:$B$401,$F$3,Resultados!$C$2:$C$401,E12,Resultados!$U$2:$U$401,1))</f>
        <v>1</v>
      </c>
      <c r="M12" s="9" t="n">
        <f aca="false">IF(E12="","",SUMIFS(Resultados!$P$2:$P$401,Resultados!$D$2:$D$401,$A12,Resultados!$B$2:$B$401,$F$3,Resultados!$C$2:$C$401,E12,Resultados!$U$2:$U$401,1))</f>
        <v>1</v>
      </c>
      <c r="N12" s="9" t="n">
        <f aca="false">IF(E12="","",SUMIFS(Resultados!$Q$2:$Q$401,Resultados!$D$2:$D$401,$A12,Resultados!$B$2:$B$401,$F$3,Resultados!$C$2:$C$401,E12,Resultados!$U$2:$U$401,1))</f>
        <v>0.5</v>
      </c>
    </row>
    <row r="13" customFormat="false" ht="15" hidden="false" customHeight="false" outlineLevel="0" collapsed="false">
      <c r="A13" s="0" t="str">
        <f aca="false">Unidades!B9</f>
        <v>ESF Praia Azul</v>
      </c>
      <c r="B13" s="0" t="str">
        <f aca="false">Unidades!C9</f>
        <v>Estratégia Saúde da Família (ESF)</v>
      </c>
      <c r="C13" s="7" t="str">
        <f aca="false">IF(_xlfn.MAXIFS(Resultados!$C$2:$C$401,Resultados!$D$2:$D$401,$A13,Resultados!$B$2:$B$401,$C$3,Resultados!$U$2:$U$401,1)=0,"",_xlfn.MAXIFS(Resultados!$C$2:$C$401,Resultados!$D$2:$D$401,$A13,Resultados!$B$2:$B$401,$C$3,Resultados!$U$2:$U$401,1))</f>
        <v/>
      </c>
      <c r="D13" s="9" t="str">
        <f aca="false">IF(C13="","",SUMIFS(Resultados!$R$2:$R$401,Resultados!$D$2:$D$401,$A13,Resultados!$B$2:$B$401,$C$3,Resultados!$C$2:$C$401,C13,Resultados!$U$2:$U$401,1))</f>
        <v/>
      </c>
      <c r="E13" s="7" t="n">
        <f aca="false">IF(_xlfn.MAXIFS(Resultados!$C$2:$C$401,Resultados!$D$2:$D$401,$A13,Resultados!$B$2:$B$401,$F$3,Resultados!$U$2:$U$401,1)=0,"",_xlfn.MAXIFS(Resultados!$C$2:$C$401,Resultados!$D$2:$D$401,$A13,Resultados!$B$2:$B$401,$F$3,Resultados!$U$2:$U$401,1))</f>
        <v>46190</v>
      </c>
      <c r="F13" s="9" t="n">
        <f aca="false">IF(E13="","",SUMIFS(Resultados!$R$2:$R$401,Resultados!$D$2:$D$401,$A13,Resultados!$B$2:$B$401,$F$3,Resultados!$C$2:$C$401,E13,Resultados!$U$2:$U$401,1))</f>
        <v>0.901785714285714</v>
      </c>
      <c r="G13" s="10" t="str">
        <f aca="false">IF(OR(D13="",F13=""),"",(F13-D13)*100)</f>
        <v/>
      </c>
      <c r="H13" s="7" t="n">
        <f aca="false">IF(_xlfn.MAXIFS(Resultados!$C$2:$C$401,Resultados!$D$2:$D$401,$A13,Resultados!$U$2:$U$401,1)=0,"",_xlfn.MAXIFS(Resultados!$C$2:$C$401,Resultados!$D$2:$D$401,$A13,Resultados!$U$2:$U$401,1))</f>
        <v>46190</v>
      </c>
      <c r="I13" s="7" t="n">
        <f aca="false">IF(H13="","",EDATE(H13,Unidades!F9))</f>
        <v>46373</v>
      </c>
      <c r="J13" s="0" t="str">
        <f aca="false">IF(Unidades!E9&lt;&gt;"ativa","suspensa",IF(H13="","sem visita",IF(I13&lt;$K$3,"atrasada",IF(I13&lt;=$K$3+30,"próximos 30 dias","em dia"))))</f>
        <v>em dia</v>
      </c>
      <c r="K13" s="9" t="n">
        <f aca="false">IF(E13="","",SUMIFS(Resultados!$N$2:$N$401,Resultados!$D$2:$D$401,$A13,Resultados!$B$2:$B$401,$F$3,Resultados!$C$2:$C$401,E13,Resultados!$U$2:$U$401,1))</f>
        <v>0.857142857142857</v>
      </c>
      <c r="L13" s="9" t="n">
        <f aca="false">IF(E13="","",SUMIFS(Resultados!$O$2:$O$401,Resultados!$D$2:$D$401,$A13,Resultados!$B$2:$B$401,$F$3,Resultados!$C$2:$C$401,E13,Resultados!$U$2:$U$401,1))</f>
        <v>1</v>
      </c>
      <c r="M13" s="9" t="n">
        <f aca="false">IF(E13="","",SUMIFS(Resultados!$P$2:$P$401,Resultados!$D$2:$D$401,$A13,Resultados!$B$2:$B$401,$F$3,Resultados!$C$2:$C$401,E13,Resultados!$U$2:$U$401,1))</f>
        <v>1</v>
      </c>
      <c r="N13" s="9" t="n">
        <f aca="false">IF(E13="","",SUMIFS(Resultados!$Q$2:$Q$401,Resultados!$D$2:$D$401,$A13,Resultados!$B$2:$B$401,$F$3,Resultados!$C$2:$C$401,E13,Resultados!$U$2:$U$401,1))</f>
        <v>0.75</v>
      </c>
    </row>
    <row r="14" customFormat="false" ht="15" hidden="false" customHeight="false" outlineLevel="0" collapsed="false">
      <c r="A14" s="0" t="str">
        <f aca="false">Unidades!B10</f>
        <v>ESF Jardim Brasil</v>
      </c>
      <c r="B14" s="0" t="str">
        <f aca="false">Unidades!C10</f>
        <v>Estratégia Saúde da Família (ESF)</v>
      </c>
      <c r="C14" s="7" t="str">
        <f aca="false">IF(_xlfn.MAXIFS(Resultados!$C$2:$C$401,Resultados!$D$2:$D$401,$A14,Resultados!$B$2:$B$401,$C$3,Resultados!$U$2:$U$401,1)=0,"",_xlfn.MAXIFS(Resultados!$C$2:$C$401,Resultados!$D$2:$D$401,$A14,Resultados!$B$2:$B$401,$C$3,Resultados!$U$2:$U$401,1))</f>
        <v/>
      </c>
      <c r="D14" s="9" t="str">
        <f aca="false">IF(C14="","",SUMIFS(Resultados!$R$2:$R$401,Resultados!$D$2:$D$401,$A14,Resultados!$B$2:$B$401,$C$3,Resultados!$C$2:$C$401,C14,Resultados!$U$2:$U$401,1))</f>
        <v/>
      </c>
      <c r="E14" s="7" t="n">
        <f aca="false">IF(_xlfn.MAXIFS(Resultados!$C$2:$C$401,Resultados!$D$2:$D$401,$A14,Resultados!$B$2:$B$401,$F$3,Resultados!$U$2:$U$401,1)=0,"",_xlfn.MAXIFS(Resultados!$C$2:$C$401,Resultados!$D$2:$D$401,$A14,Resultados!$B$2:$B$401,$F$3,Resultados!$U$2:$U$401,1))</f>
        <v>46162</v>
      </c>
      <c r="F14" s="9" t="n">
        <f aca="false">IF(E14="","",SUMIFS(Resultados!$R$2:$R$401,Resultados!$D$2:$D$401,$A14,Resultados!$B$2:$B$401,$F$3,Resultados!$C$2:$C$401,E14,Resultados!$U$2:$U$401,1))</f>
        <v>1</v>
      </c>
      <c r="G14" s="10" t="str">
        <f aca="false">IF(OR(D14="",F14=""),"",(F14-D14)*100)</f>
        <v/>
      </c>
      <c r="H14" s="7" t="n">
        <f aca="false">IF(_xlfn.MAXIFS(Resultados!$C$2:$C$401,Resultados!$D$2:$D$401,$A14,Resultados!$U$2:$U$401,1)=0,"",_xlfn.MAXIFS(Resultados!$C$2:$C$401,Resultados!$D$2:$D$401,$A14,Resultados!$U$2:$U$401,1))</f>
        <v>46162</v>
      </c>
      <c r="I14" s="7" t="n">
        <f aca="false">IF(H14="","",EDATE(H14,Unidades!F10))</f>
        <v>46346</v>
      </c>
      <c r="J14" s="0" t="str">
        <f aca="false">IF(Unidades!E10&lt;&gt;"ativa","suspensa",IF(H14="","sem visita",IF(I14&lt;$K$3,"atrasada",IF(I14&lt;=$K$3+30,"próximos 30 dias","em dia"))))</f>
        <v>em dia</v>
      </c>
      <c r="K14" s="9" t="n">
        <f aca="false">IF(E14="","",SUMIFS(Resultados!$N$2:$N$401,Resultados!$D$2:$D$401,$A14,Resultados!$B$2:$B$401,$F$3,Resultados!$C$2:$C$401,E14,Resultados!$U$2:$U$401,1))</f>
        <v>1</v>
      </c>
      <c r="L14" s="9" t="n">
        <f aca="false">IF(E14="","",SUMIFS(Resultados!$O$2:$O$401,Resultados!$D$2:$D$401,$A14,Resultados!$B$2:$B$401,$F$3,Resultados!$C$2:$C$401,E14,Resultados!$U$2:$U$401,1))</f>
        <v>1</v>
      </c>
      <c r="M14" s="9" t="n">
        <f aca="false">IF(E14="","",SUMIFS(Resultados!$P$2:$P$401,Resultados!$D$2:$D$401,$A14,Resultados!$B$2:$B$401,$F$3,Resultados!$C$2:$C$401,E14,Resultados!$U$2:$U$401,1))</f>
        <v>1</v>
      </c>
      <c r="N14" s="9" t="n">
        <f aca="false">IF(E14="","",SUMIFS(Resultados!$Q$2:$Q$401,Resultados!$D$2:$D$401,$A14,Resultados!$B$2:$B$401,$F$3,Resultados!$C$2:$C$401,E14,Resultados!$U$2:$U$401,1))</f>
        <v>1</v>
      </c>
    </row>
    <row r="15" customFormat="false" ht="15" hidden="false" customHeight="false" outlineLevel="0" collapsed="false">
      <c r="A15" s="0" t="str">
        <f aca="false">Unidades!B11</f>
        <v>CAPS Adulto</v>
      </c>
      <c r="B15" s="0" t="str">
        <f aca="false">Unidades!C11</f>
        <v>Centro de Atenção Psicossocial (CAPS)</v>
      </c>
      <c r="C15" s="7" t="str">
        <f aca="false">IF(_xlfn.MAXIFS(Resultados!$C$2:$C$401,Resultados!$D$2:$D$401,$A15,Resultados!$B$2:$B$401,$C$3,Resultados!$U$2:$U$401,1)=0,"",_xlfn.MAXIFS(Resultados!$C$2:$C$401,Resultados!$D$2:$D$401,$A15,Resultados!$B$2:$B$401,$C$3,Resultados!$U$2:$U$401,1))</f>
        <v/>
      </c>
      <c r="D15" s="9" t="str">
        <f aca="false">IF(C15="","",SUMIFS(Resultados!$R$2:$R$401,Resultados!$D$2:$D$401,$A15,Resultados!$B$2:$B$401,$C$3,Resultados!$C$2:$C$401,C15,Resultados!$U$2:$U$401,1))</f>
        <v/>
      </c>
      <c r="E15" s="7" t="n">
        <f aca="false">IF(_xlfn.MAXIFS(Resultados!$C$2:$C$401,Resultados!$D$2:$D$401,$A15,Resultados!$B$2:$B$401,$F$3,Resultados!$U$2:$U$401,1)=0,"",_xlfn.MAXIFS(Resultados!$C$2:$C$401,Resultados!$D$2:$D$401,$A15,Resultados!$B$2:$B$401,$F$3,Resultados!$U$2:$U$401,1))</f>
        <v>46094</v>
      </c>
      <c r="F15" s="9" t="n">
        <f aca="false">IF(E15="","",SUMIFS(Resultados!$R$2:$R$401,Resultados!$D$2:$D$401,$A15,Resultados!$B$2:$B$401,$F$3,Resultados!$C$2:$C$401,E15,Resultados!$U$2:$U$401,1))</f>
        <v>0.745535714285714</v>
      </c>
      <c r="G15" s="10" t="str">
        <f aca="false">IF(OR(D15="",F15=""),"",(F15-D15)*100)</f>
        <v/>
      </c>
      <c r="H15" s="7" t="n">
        <f aca="false">IF(_xlfn.MAXIFS(Resultados!$C$2:$C$401,Resultados!$D$2:$D$401,$A15,Resultados!$U$2:$U$401,1)=0,"",_xlfn.MAXIFS(Resultados!$C$2:$C$401,Resultados!$D$2:$D$401,$A15,Resultados!$U$2:$U$401,1))</f>
        <v>46094</v>
      </c>
      <c r="I15" s="7" t="n">
        <f aca="false">IF(H15="","",EDATE(H15,Unidades!F11))</f>
        <v>46278</v>
      </c>
      <c r="J15" s="0" t="str">
        <f aca="false">IF(Unidades!E11&lt;&gt;"ativa","suspensa",IF(H15="","sem visita",IF(I15&lt;$K$3,"atrasada",IF(I15&lt;=$K$3+30,"próximos 30 dias","em dia"))))</f>
        <v>atrasada</v>
      </c>
      <c r="K15" s="9" t="n">
        <f aca="false">IF(E15="","",SUMIFS(Resultados!$N$2:$N$401,Resultados!$D$2:$D$401,$A15,Resultados!$B$2:$B$401,$F$3,Resultados!$C$2:$C$401,E15,Resultados!$U$2:$U$401,1))</f>
        <v>0.857142857142857</v>
      </c>
      <c r="L15" s="9" t="n">
        <f aca="false">IF(E15="","",SUMIFS(Resultados!$O$2:$O$401,Resultados!$D$2:$D$401,$A15,Resultados!$B$2:$B$401,$F$3,Resultados!$C$2:$C$401,E15,Resultados!$U$2:$U$401,1))</f>
        <v>0.875</v>
      </c>
      <c r="M15" s="9" t="n">
        <f aca="false">IF(E15="","",SUMIFS(Resultados!$P$2:$P$401,Resultados!$D$2:$D$401,$A15,Resultados!$B$2:$B$401,$F$3,Resultados!$C$2:$C$401,E15,Resultados!$U$2:$U$401,1))</f>
        <v>0.5</v>
      </c>
      <c r="N15" s="9" t="n">
        <f aca="false">IF(E15="","",SUMIFS(Resultados!$Q$2:$Q$401,Resultados!$D$2:$D$401,$A15,Resultados!$B$2:$B$401,$F$3,Resultados!$C$2:$C$401,E15,Resultados!$U$2:$U$401,1))</f>
        <v>0.75</v>
      </c>
    </row>
    <row r="16" customFormat="false" ht="15" hidden="false" customHeight="false" outlineLevel="0" collapsed="false">
      <c r="A16" s="0" t="str">
        <f aca="false">Unidades!B12</f>
        <v>UBS Mathiensen</v>
      </c>
      <c r="B16" s="0" t="str">
        <f aca="false">Unidades!C12</f>
        <v>Unidade Básica de Saúde (UBS)</v>
      </c>
      <c r="C16" s="7" t="n">
        <f aca="false">IF(_xlfn.MAXIFS(Resultados!$C$2:$C$401,Resultados!$D$2:$D$401,$A16,Resultados!$B$2:$B$401,$C$3,Resultados!$U$2:$U$401,1)=0,"",_xlfn.MAXIFS(Resultados!$C$2:$C$401,Resultados!$D$2:$D$401,$A16,Resultados!$B$2:$B$401,$C$3,Resultados!$U$2:$U$401,1))</f>
        <v>45271</v>
      </c>
      <c r="D16" s="9" t="n">
        <f aca="false">IF(C16="","",SUMIFS(Resultados!$R$2:$R$401,Resultados!$D$2:$D$401,$A16,Resultados!$B$2:$B$401,$C$3,Resultados!$C$2:$C$401,C16,Resultados!$U$2:$U$401,1))</f>
        <v>0.357142857142857</v>
      </c>
      <c r="E16" s="7" t="n">
        <f aca="false">IF(_xlfn.MAXIFS(Resultados!$C$2:$C$401,Resultados!$D$2:$D$401,$A16,Resultados!$B$2:$B$401,$F$3,Resultados!$U$2:$U$401,1)=0,"",_xlfn.MAXIFS(Resultados!$C$2:$C$401,Resultados!$D$2:$D$401,$A16,Resultados!$B$2:$B$401,$F$3,Resultados!$U$2:$U$401,1))</f>
        <v>46125</v>
      </c>
      <c r="F16" s="9" t="n">
        <f aca="false">IF(E16="","",SUMIFS(Resultados!$R$2:$R$401,Resultados!$D$2:$D$401,$A16,Resultados!$B$2:$B$401,$F$3,Resultados!$C$2:$C$401,E16,Resultados!$U$2:$U$401,1))</f>
        <v>0.794642857142857</v>
      </c>
      <c r="G16" s="10" t="n">
        <f aca="false">IF(OR(D16="",F16=""),"",(F16-D16)*100)</f>
        <v>43.75</v>
      </c>
      <c r="H16" s="7" t="n">
        <f aca="false">IF(_xlfn.MAXIFS(Resultados!$C$2:$C$401,Resultados!$D$2:$D$401,$A16,Resultados!$U$2:$U$401,1)=0,"",_xlfn.MAXIFS(Resultados!$C$2:$C$401,Resultados!$D$2:$D$401,$A16,Resultados!$U$2:$U$401,1))</f>
        <v>46125</v>
      </c>
      <c r="I16" s="7" t="n">
        <f aca="false">IF(H16="","",EDATE(H16,Unidades!F12))</f>
        <v>46308</v>
      </c>
      <c r="J16" s="0" t="str">
        <f aca="false">IF(Unidades!E12&lt;&gt;"ativa","suspensa",IF(H16="","sem visita",IF(I16&lt;$K$3,"atrasada",IF(I16&lt;=$K$3+30,"próximos 30 dias","em dia"))))</f>
        <v>próximos 30 dias</v>
      </c>
      <c r="K16" s="9" t="n">
        <f aca="false">IF(E16="","",SUMIFS(Resultados!$N$2:$N$401,Resultados!$D$2:$D$401,$A16,Resultados!$B$2:$B$401,$F$3,Resultados!$C$2:$C$401,E16,Resultados!$U$2:$U$401,1))</f>
        <v>0.928571428571429</v>
      </c>
      <c r="L16" s="9" t="n">
        <f aca="false">IF(E16="","",SUMIFS(Resultados!$O$2:$O$401,Resultados!$D$2:$D$401,$A16,Resultados!$B$2:$B$401,$F$3,Resultados!$C$2:$C$401,E16,Resultados!$U$2:$U$401,1))</f>
        <v>0.75</v>
      </c>
      <c r="M16" s="9" t="n">
        <f aca="false">IF(E16="","",SUMIFS(Resultados!$P$2:$P$401,Resultados!$D$2:$D$401,$A16,Resultados!$B$2:$B$401,$F$3,Resultados!$C$2:$C$401,E16,Resultados!$U$2:$U$401,1))</f>
        <v>1</v>
      </c>
      <c r="N16" s="9" t="n">
        <f aca="false">IF(E16="","",SUMIFS(Resultados!$Q$2:$Q$401,Resultados!$D$2:$D$401,$A16,Resultados!$B$2:$B$401,$F$3,Resultados!$C$2:$C$401,E16,Resultados!$U$2:$U$401,1))</f>
        <v>0.5</v>
      </c>
    </row>
    <row r="17" customFormat="false" ht="15" hidden="false" customHeight="false" outlineLevel="0" collapsed="false">
      <c r="A17" s="0" t="str">
        <f aca="false">Unidades!B13</f>
        <v>UBS São Vito</v>
      </c>
      <c r="B17" s="0" t="str">
        <f aca="false">Unidades!C13</f>
        <v>Unidade Básica de Saúde (UBS)</v>
      </c>
      <c r="C17" s="7" t="str">
        <f aca="false">IF(_xlfn.MAXIFS(Resultados!$C$2:$C$401,Resultados!$D$2:$D$401,$A17,Resultados!$B$2:$B$401,$C$3,Resultados!$U$2:$U$401,1)=0,"",_xlfn.MAXIFS(Resultados!$C$2:$C$401,Resultados!$D$2:$D$401,$A17,Resultados!$B$2:$B$401,$C$3,Resultados!$U$2:$U$401,1))</f>
        <v/>
      </c>
      <c r="D17" s="9" t="str">
        <f aca="false">IF(C17="","",SUMIFS(Resultados!$R$2:$R$401,Resultados!$D$2:$D$401,$A17,Resultados!$B$2:$B$401,$C$3,Resultados!$C$2:$C$401,C17,Resultados!$U$2:$U$401,1))</f>
        <v/>
      </c>
      <c r="E17" s="7" t="n">
        <f aca="false">IF(_xlfn.MAXIFS(Resultados!$C$2:$C$401,Resultados!$D$2:$D$401,$A17,Resultados!$B$2:$B$401,$F$3,Resultados!$U$2:$U$401,1)=0,"",_xlfn.MAXIFS(Resultados!$C$2:$C$401,Resultados!$D$2:$D$401,$A17,Resultados!$B$2:$B$401,$F$3,Resultados!$U$2:$U$401,1))</f>
        <v>46189</v>
      </c>
      <c r="F17" s="9" t="n">
        <f aca="false">IF(E17="","",SUMIFS(Resultados!$R$2:$R$401,Resultados!$D$2:$D$401,$A17,Resultados!$B$2:$B$401,$F$3,Resultados!$C$2:$C$401,E17,Resultados!$U$2:$U$401,1))</f>
        <v>1</v>
      </c>
      <c r="G17" s="10" t="str">
        <f aca="false">IF(OR(D17="",F17=""),"",(F17-D17)*100)</f>
        <v/>
      </c>
      <c r="H17" s="7" t="n">
        <f aca="false">IF(_xlfn.MAXIFS(Resultados!$C$2:$C$401,Resultados!$D$2:$D$401,$A17,Resultados!$U$2:$U$401,1)=0,"",_xlfn.MAXIFS(Resultados!$C$2:$C$401,Resultados!$D$2:$D$401,$A17,Resultados!$U$2:$U$401,1))</f>
        <v>46189</v>
      </c>
      <c r="I17" s="7" t="n">
        <f aca="false">IF(H17="","",EDATE(H17,Unidades!F13))</f>
        <v>46372</v>
      </c>
      <c r="J17" s="0" t="str">
        <f aca="false">IF(Unidades!E13&lt;&gt;"ativa","suspensa",IF(H17="","sem visita",IF(I17&lt;$K$3,"atrasada",IF(I17&lt;=$K$3+30,"próximos 30 dias","em dia"))))</f>
        <v>em dia</v>
      </c>
      <c r="K17" s="9" t="n">
        <f aca="false">IF(E17="","",SUMIFS(Resultados!$N$2:$N$401,Resultados!$D$2:$D$401,$A17,Resultados!$B$2:$B$401,$F$3,Resultados!$C$2:$C$401,E17,Resultados!$U$2:$U$401,1))</f>
        <v>1</v>
      </c>
      <c r="L17" s="9" t="n">
        <f aca="false">IF(E17="","",SUMIFS(Resultados!$O$2:$O$401,Resultados!$D$2:$D$401,$A17,Resultados!$B$2:$B$401,$F$3,Resultados!$C$2:$C$401,E17,Resultados!$U$2:$U$401,1))</f>
        <v>1</v>
      </c>
      <c r="M17" s="9" t="n">
        <f aca="false">IF(E17="","",SUMIFS(Resultados!$P$2:$P$401,Resultados!$D$2:$D$401,$A17,Resultados!$B$2:$B$401,$F$3,Resultados!$C$2:$C$401,E17,Resultados!$U$2:$U$401,1))</f>
        <v>1</v>
      </c>
      <c r="N17" s="9" t="n">
        <f aca="false">IF(E17="","",SUMIFS(Resultados!$Q$2:$Q$401,Resultados!$D$2:$D$401,$A17,Resultados!$B$2:$B$401,$F$3,Resultados!$C$2:$C$401,E17,Resultados!$U$2:$U$401,1))</f>
        <v>1</v>
      </c>
    </row>
    <row r="18" customFormat="false" ht="15" hidden="false" customHeight="false" outlineLevel="0" collapsed="false">
      <c r="A18" s="0" t="str">
        <f aca="false">Unidades!B14</f>
        <v>CAPS Infantil Larissa de Almeida</v>
      </c>
      <c r="B18" s="0" t="str">
        <f aca="false">Unidades!C14</f>
        <v>Centro de Atenção Psicossocial (CAPS)</v>
      </c>
      <c r="C18" s="7" t="str">
        <f aca="false">IF(_xlfn.MAXIFS(Resultados!$C$2:$C$401,Resultados!$D$2:$D$401,$A18,Resultados!$B$2:$B$401,$C$3,Resultados!$U$2:$U$401,1)=0,"",_xlfn.MAXIFS(Resultados!$C$2:$C$401,Resultados!$D$2:$D$401,$A18,Resultados!$B$2:$B$401,$C$3,Resultados!$U$2:$U$401,1))</f>
        <v/>
      </c>
      <c r="D18" s="9" t="str">
        <f aca="false">IF(C18="","",SUMIFS(Resultados!$R$2:$R$401,Resultados!$D$2:$D$401,$A18,Resultados!$B$2:$B$401,$C$3,Resultados!$C$2:$C$401,C18,Resultados!$U$2:$U$401,1))</f>
        <v/>
      </c>
      <c r="E18" s="7" t="n">
        <f aca="false">IF(_xlfn.MAXIFS(Resultados!$C$2:$C$401,Resultados!$D$2:$D$401,$A18,Resultados!$B$2:$B$401,$F$3,Resultados!$U$2:$U$401,1)=0,"",_xlfn.MAXIFS(Resultados!$C$2:$C$401,Resultados!$D$2:$D$401,$A18,Resultados!$B$2:$B$401,$F$3,Resultados!$U$2:$U$401,1))</f>
        <v>46234</v>
      </c>
      <c r="F18" s="9" t="n">
        <f aca="false">IF(E18="","",SUMIFS(Resultados!$R$2:$R$401,Resultados!$D$2:$D$401,$A18,Resultados!$B$2:$B$401,$F$3,Resultados!$C$2:$C$401,E18,Resultados!$U$2:$U$401,1))</f>
        <v>0.982142857142857</v>
      </c>
      <c r="G18" s="10" t="str">
        <f aca="false">IF(OR(D18="",F18=""),"",(F18-D18)*100)</f>
        <v/>
      </c>
      <c r="H18" s="7" t="n">
        <f aca="false">IF(_xlfn.MAXIFS(Resultados!$C$2:$C$401,Resultados!$D$2:$D$401,$A18,Resultados!$U$2:$U$401,1)=0,"",_xlfn.MAXIFS(Resultados!$C$2:$C$401,Resultados!$D$2:$D$401,$A18,Resultados!$U$2:$U$401,1))</f>
        <v>46234</v>
      </c>
      <c r="I18" s="7" t="n">
        <f aca="false">IF(H18="","",EDATE(H18,Unidades!F14))</f>
        <v>46418</v>
      </c>
      <c r="J18" s="0" t="str">
        <f aca="false">IF(Unidades!E14&lt;&gt;"ativa","suspensa",IF(H18="","sem visita",IF(I18&lt;$K$3,"atrasada",IF(I18&lt;=$K$3+30,"próximos 30 dias","em dia"))))</f>
        <v>em dia</v>
      </c>
      <c r="K18" s="9" t="n">
        <f aca="false">IF(E18="","",SUMIFS(Resultados!$N$2:$N$401,Resultados!$D$2:$D$401,$A18,Resultados!$B$2:$B$401,$F$3,Resultados!$C$2:$C$401,E18,Resultados!$U$2:$U$401,1))</f>
        <v>0.928571428571429</v>
      </c>
      <c r="L18" s="9" t="n">
        <f aca="false">IF(E18="","",SUMIFS(Resultados!$O$2:$O$401,Resultados!$D$2:$D$401,$A18,Resultados!$B$2:$B$401,$F$3,Resultados!$C$2:$C$401,E18,Resultados!$U$2:$U$401,1))</f>
        <v>1</v>
      </c>
      <c r="M18" s="9" t="n">
        <f aca="false">IF(E18="","",SUMIFS(Resultados!$P$2:$P$401,Resultados!$D$2:$D$401,$A18,Resultados!$B$2:$B$401,$F$3,Resultados!$C$2:$C$401,E18,Resultados!$U$2:$U$401,1))</f>
        <v>1</v>
      </c>
      <c r="N18" s="9" t="n">
        <f aca="false">IF(E18="","",SUMIFS(Resultados!$Q$2:$Q$401,Resultados!$D$2:$D$401,$A18,Resultados!$B$2:$B$401,$F$3,Resultados!$C$2:$C$401,E18,Resultados!$U$2:$U$401,1))</f>
        <v>1</v>
      </c>
    </row>
    <row r="19" customFormat="false" ht="15" hidden="false" customHeight="false" outlineLevel="0" collapsed="false">
      <c r="A19" s="0" t="str">
        <f aca="false">Unidades!B15</f>
        <v>UBS Parque das Nações</v>
      </c>
      <c r="B19" s="0" t="str">
        <f aca="false">Unidades!C15</f>
        <v>Unidade Básica de Saúde (UBS)</v>
      </c>
      <c r="C19" s="7" t="str">
        <f aca="false">IF(_xlfn.MAXIFS(Resultados!$C$2:$C$401,Resultados!$D$2:$D$401,$A19,Resultados!$B$2:$B$401,$C$3,Resultados!$U$2:$U$401,1)=0,"",_xlfn.MAXIFS(Resultados!$C$2:$C$401,Resultados!$D$2:$D$401,$A19,Resultados!$B$2:$B$401,$C$3,Resultados!$U$2:$U$401,1))</f>
        <v/>
      </c>
      <c r="D19" s="9" t="str">
        <f aca="false">IF(C19="","",SUMIFS(Resultados!$R$2:$R$401,Resultados!$D$2:$D$401,$A19,Resultados!$B$2:$B$401,$C$3,Resultados!$C$2:$C$401,C19,Resultados!$U$2:$U$401,1))</f>
        <v/>
      </c>
      <c r="E19" s="7" t="n">
        <f aca="false">IF(_xlfn.MAXIFS(Resultados!$C$2:$C$401,Resultados!$D$2:$D$401,$A19,Resultados!$B$2:$B$401,$F$3,Resultados!$U$2:$U$401,1)=0,"",_xlfn.MAXIFS(Resultados!$C$2:$C$401,Resultados!$D$2:$D$401,$A19,Resultados!$B$2:$B$401,$F$3,Resultados!$U$2:$U$401,1))</f>
        <v>46254</v>
      </c>
      <c r="F19" s="9" t="n">
        <f aca="false">IF(E19="","",SUMIFS(Resultados!$R$2:$R$401,Resultados!$D$2:$D$401,$A19,Resultados!$B$2:$B$401,$F$3,Resultados!$C$2:$C$401,E19,Resultados!$U$2:$U$401,1))</f>
        <v>0.741071428571429</v>
      </c>
      <c r="G19" s="10" t="str">
        <f aca="false">IF(OR(D19="",F19=""),"",(F19-D19)*100)</f>
        <v/>
      </c>
      <c r="H19" s="7" t="n">
        <f aca="false">IF(_xlfn.MAXIFS(Resultados!$C$2:$C$401,Resultados!$D$2:$D$401,$A19,Resultados!$U$2:$U$401,1)=0,"",_xlfn.MAXIFS(Resultados!$C$2:$C$401,Resultados!$D$2:$D$401,$A19,Resultados!$U$2:$U$401,1))</f>
        <v>46254</v>
      </c>
      <c r="I19" s="7" t="n">
        <f aca="false">IF(H19="","",EDATE(H19,Unidades!F15))</f>
        <v>46438</v>
      </c>
      <c r="J19" s="0" t="str">
        <f aca="false">IF(Unidades!E15&lt;&gt;"ativa","suspensa",IF(H19="","sem visita",IF(I19&lt;$K$3,"atrasada",IF(I19&lt;=$K$3+30,"próximos 30 dias","em dia"))))</f>
        <v>em dia</v>
      </c>
      <c r="K19" s="9" t="n">
        <f aca="false">IF(E19="","",SUMIFS(Resultados!$N$2:$N$401,Resultados!$D$2:$D$401,$A19,Resultados!$B$2:$B$401,$F$3,Resultados!$C$2:$C$401,E19,Resultados!$U$2:$U$401,1))</f>
        <v>0.714285714285714</v>
      </c>
      <c r="L19" s="9" t="n">
        <f aca="false">IF(E19="","",SUMIFS(Resultados!$O$2:$O$401,Resultados!$D$2:$D$401,$A19,Resultados!$B$2:$B$401,$F$3,Resultados!$C$2:$C$401,E19,Resultados!$U$2:$U$401,1))</f>
        <v>0.75</v>
      </c>
      <c r="M19" s="9" t="n">
        <f aca="false">IF(E19="","",SUMIFS(Resultados!$P$2:$P$401,Resultados!$D$2:$D$401,$A19,Resultados!$B$2:$B$401,$F$3,Resultados!$C$2:$C$401,E19,Resultados!$U$2:$U$401,1))</f>
        <v>1</v>
      </c>
      <c r="N19" s="9" t="n">
        <f aca="false">IF(E19="","",SUMIFS(Resultados!$Q$2:$Q$401,Resultados!$D$2:$D$401,$A19,Resultados!$B$2:$B$401,$F$3,Resultados!$C$2:$C$401,E19,Resultados!$U$2:$U$401,1))</f>
        <v>0.5</v>
      </c>
    </row>
    <row r="20" customFormat="false" ht="15" hidden="false" customHeight="false" outlineLevel="0" collapsed="false">
      <c r="A20" s="0" t="str">
        <f aca="false">Unidades!B16</f>
        <v>ESF Liberdade</v>
      </c>
      <c r="B20" s="0" t="str">
        <f aca="false">Unidades!C16</f>
        <v>Estratégia Saúde da Família (ESF)</v>
      </c>
      <c r="C20" s="7" t="str">
        <f aca="false">IF(_xlfn.MAXIFS(Resultados!$C$2:$C$401,Resultados!$D$2:$D$401,$A20,Resultados!$B$2:$B$401,$C$3,Resultados!$U$2:$U$401,1)=0,"",_xlfn.MAXIFS(Resultados!$C$2:$C$401,Resultados!$D$2:$D$401,$A20,Resultados!$B$2:$B$401,$C$3,Resultados!$U$2:$U$401,1))</f>
        <v/>
      </c>
      <c r="D20" s="9" t="str">
        <f aca="false">IF(C20="","",SUMIFS(Resultados!$R$2:$R$401,Resultados!$D$2:$D$401,$A20,Resultados!$B$2:$B$401,$C$3,Resultados!$C$2:$C$401,C20,Resultados!$U$2:$U$401,1))</f>
        <v/>
      </c>
      <c r="E20" s="7" t="n">
        <f aca="false">IF(_xlfn.MAXIFS(Resultados!$C$2:$C$401,Resultados!$D$2:$D$401,$A20,Resultados!$B$2:$B$401,$F$3,Resultados!$U$2:$U$401,1)=0,"",_xlfn.MAXIFS(Resultados!$C$2:$C$401,Resultados!$D$2:$D$401,$A20,Resultados!$B$2:$B$401,$F$3,Resultados!$U$2:$U$401,1))</f>
        <v>46240</v>
      </c>
      <c r="F20" s="9" t="n">
        <f aca="false">IF(E20="","",SUMIFS(Resultados!$R$2:$R$401,Resultados!$D$2:$D$401,$A20,Resultados!$B$2:$B$401,$F$3,Resultados!$C$2:$C$401,E20,Resultados!$U$2:$U$401,1))</f>
        <v>0.647321428571429</v>
      </c>
      <c r="G20" s="10" t="str">
        <f aca="false">IF(OR(D20="",F20=""),"",(F20-D20)*100)</f>
        <v/>
      </c>
      <c r="H20" s="7" t="n">
        <f aca="false">IF(_xlfn.MAXIFS(Resultados!$C$2:$C$401,Resultados!$D$2:$D$401,$A20,Resultados!$U$2:$U$401,1)=0,"",_xlfn.MAXIFS(Resultados!$C$2:$C$401,Resultados!$D$2:$D$401,$A20,Resultados!$U$2:$U$401,1))</f>
        <v>46240</v>
      </c>
      <c r="I20" s="7" t="n">
        <f aca="false">IF(H20="","",EDATE(H20,Unidades!F16))</f>
        <v>46424</v>
      </c>
      <c r="J20" s="0" t="str">
        <f aca="false">IF(Unidades!E16&lt;&gt;"ativa","suspensa",IF(H20="","sem visita",IF(I20&lt;$K$3,"atrasada",IF(I20&lt;=$K$3+30,"próximos 30 dias","em dia"))))</f>
        <v>em dia</v>
      </c>
      <c r="K20" s="9" t="n">
        <f aca="false">IF(E20="","",SUMIFS(Resultados!$N$2:$N$401,Resultados!$D$2:$D$401,$A20,Resultados!$B$2:$B$401,$F$3,Resultados!$C$2:$C$401,E20,Resultados!$U$2:$U$401,1))</f>
        <v>0.714285714285714</v>
      </c>
      <c r="L20" s="9" t="n">
        <f aca="false">IF(E20="","",SUMIFS(Resultados!$O$2:$O$401,Resultados!$D$2:$D$401,$A20,Resultados!$B$2:$B$401,$F$3,Resultados!$C$2:$C$401,E20,Resultados!$U$2:$U$401,1))</f>
        <v>0.875</v>
      </c>
      <c r="M20" s="9" t="n">
        <f aca="false">IF(E20="","",SUMIFS(Resultados!$P$2:$P$401,Resultados!$D$2:$D$401,$A20,Resultados!$B$2:$B$401,$F$3,Resultados!$C$2:$C$401,E20,Resultados!$U$2:$U$401,1))</f>
        <v>0.5</v>
      </c>
      <c r="N20" s="9" t="n">
        <f aca="false">IF(E20="","",SUMIFS(Resultados!$Q$2:$Q$401,Resultados!$D$2:$D$401,$A20,Resultados!$B$2:$B$401,$F$3,Resultados!$C$2:$C$401,E20,Resultados!$U$2:$U$401,1))</f>
        <v>0.5</v>
      </c>
    </row>
    <row r="21" customFormat="false" ht="15" hidden="false" customHeight="false" outlineLevel="0" collapsed="false">
      <c r="A21" s="0" t="str">
        <f aca="false">Unidades!B17</f>
        <v>ESF Jaguari</v>
      </c>
      <c r="B21" s="0" t="str">
        <f aca="false">Unidades!C17</f>
        <v>Estratégia Saúde da Família (ESF)</v>
      </c>
      <c r="C21" s="7" t="str">
        <f aca="false">IF(_xlfn.MAXIFS(Resultados!$C$2:$C$401,Resultados!$D$2:$D$401,$A21,Resultados!$B$2:$B$401,$C$3,Resultados!$U$2:$U$401,1)=0,"",_xlfn.MAXIFS(Resultados!$C$2:$C$401,Resultados!$D$2:$D$401,$A21,Resultados!$B$2:$B$401,$C$3,Resultados!$U$2:$U$401,1))</f>
        <v/>
      </c>
      <c r="D21" s="9" t="str">
        <f aca="false">IF(C21="","",SUMIFS(Resultados!$R$2:$R$401,Resultados!$D$2:$D$401,$A21,Resultados!$B$2:$B$401,$C$3,Resultados!$C$2:$C$401,C21,Resultados!$U$2:$U$401,1))</f>
        <v/>
      </c>
      <c r="E21" s="7" t="n">
        <f aca="false">IF(_xlfn.MAXIFS(Resultados!$C$2:$C$401,Resultados!$D$2:$D$401,$A21,Resultados!$B$2:$B$401,$F$3,Resultados!$U$2:$U$401,1)=0,"",_xlfn.MAXIFS(Resultados!$C$2:$C$401,Resultados!$D$2:$D$401,$A21,Resultados!$B$2:$B$401,$F$3,Resultados!$U$2:$U$401,1))</f>
        <v>46258</v>
      </c>
      <c r="F21" s="9" t="n">
        <f aca="false">IF(E21="","",SUMIFS(Resultados!$R$2:$R$401,Resultados!$D$2:$D$401,$A21,Resultados!$B$2:$B$401,$F$3,Resultados!$C$2:$C$401,E21,Resultados!$U$2:$U$401,1))</f>
        <v>0.772321428571429</v>
      </c>
      <c r="G21" s="10" t="str">
        <f aca="false">IF(OR(D21="",F21=""),"",(F21-D21)*100)</f>
        <v/>
      </c>
      <c r="H21" s="7" t="n">
        <f aca="false">IF(_xlfn.MAXIFS(Resultados!$C$2:$C$401,Resultados!$D$2:$D$401,$A21,Resultados!$U$2:$U$401,1)=0,"",_xlfn.MAXIFS(Resultados!$C$2:$C$401,Resultados!$D$2:$D$401,$A21,Resultados!$U$2:$U$401,1))</f>
        <v>46258</v>
      </c>
      <c r="I21" s="7" t="n">
        <f aca="false">IF(H21="","",EDATE(H21,Unidades!F17))</f>
        <v>46442</v>
      </c>
      <c r="J21" s="0" t="str">
        <f aca="false">IF(Unidades!E17&lt;&gt;"ativa","suspensa",IF(H21="","sem visita",IF(I21&lt;$K$3,"atrasada",IF(I21&lt;=$K$3+30,"próximos 30 dias","em dia"))))</f>
        <v>em dia</v>
      </c>
      <c r="K21" s="9" t="n">
        <f aca="false">IF(E21="","",SUMIFS(Resultados!$N$2:$N$401,Resultados!$D$2:$D$401,$A21,Resultados!$B$2:$B$401,$F$3,Resultados!$C$2:$C$401,E21,Resultados!$U$2:$U$401,1))</f>
        <v>0.714285714285714</v>
      </c>
      <c r="L21" s="9" t="n">
        <f aca="false">IF(E21="","",SUMIFS(Resultados!$O$2:$O$401,Resultados!$D$2:$D$401,$A21,Resultados!$B$2:$B$401,$F$3,Resultados!$C$2:$C$401,E21,Resultados!$U$2:$U$401,1))</f>
        <v>0.875</v>
      </c>
      <c r="M21" s="9" t="n">
        <f aca="false">IF(E21="","",SUMIFS(Resultados!$P$2:$P$401,Resultados!$D$2:$D$401,$A21,Resultados!$B$2:$B$401,$F$3,Resultados!$C$2:$C$401,E21,Resultados!$U$2:$U$401,1))</f>
        <v>0.5</v>
      </c>
      <c r="N21" s="9" t="n">
        <f aca="false">IF(E21="","",SUMIFS(Resultados!$Q$2:$Q$401,Resultados!$D$2:$D$401,$A21,Resultados!$B$2:$B$401,$F$3,Resultados!$C$2:$C$401,E21,Resultados!$U$2:$U$401,1))</f>
        <v>1</v>
      </c>
    </row>
    <row r="22" customFormat="false" ht="15" hidden="false" customHeight="false" outlineLevel="0" collapsed="false">
      <c r="A22" s="0" t="str">
        <f aca="false">Unidades!B18</f>
        <v>ESF Zanaga I</v>
      </c>
      <c r="B22" s="0" t="str">
        <f aca="false">Unidades!C18</f>
        <v>Estratégia Saúde da Família (ESF)</v>
      </c>
      <c r="C22" s="7" t="str">
        <f aca="false">IF(_xlfn.MAXIFS(Resultados!$C$2:$C$401,Resultados!$D$2:$D$401,$A22,Resultados!$B$2:$B$401,$C$3,Resultados!$U$2:$U$401,1)=0,"",_xlfn.MAXIFS(Resultados!$C$2:$C$401,Resultados!$D$2:$D$401,$A22,Resultados!$B$2:$B$401,$C$3,Resultados!$U$2:$U$401,1))</f>
        <v/>
      </c>
      <c r="D22" s="9" t="str">
        <f aca="false">IF(C22="","",SUMIFS(Resultados!$R$2:$R$401,Resultados!$D$2:$D$401,$A22,Resultados!$B$2:$B$401,$C$3,Resultados!$C$2:$C$401,C22,Resultados!$U$2:$U$401,1))</f>
        <v/>
      </c>
      <c r="E22" s="7" t="n">
        <f aca="false">IF(_xlfn.MAXIFS(Resultados!$C$2:$C$401,Resultados!$D$2:$D$401,$A22,Resultados!$B$2:$B$401,$F$3,Resultados!$U$2:$U$401,1)=0,"",_xlfn.MAXIFS(Resultados!$C$2:$C$401,Resultados!$D$2:$D$401,$A22,Resultados!$B$2:$B$401,$F$3,Resultados!$U$2:$U$401,1))</f>
        <v>46239</v>
      </c>
      <c r="F22" s="9" t="n">
        <f aca="false">IF(E22="","",SUMIFS(Resultados!$R$2:$R$401,Resultados!$D$2:$D$401,$A22,Resultados!$B$2:$B$401,$F$3,Resultados!$C$2:$C$401,E22,Resultados!$U$2:$U$401,1))</f>
        <v>0.848214285714286</v>
      </c>
      <c r="G22" s="10" t="str">
        <f aca="false">IF(OR(D22="",F22=""),"",(F22-D22)*100)</f>
        <v/>
      </c>
      <c r="H22" s="7" t="n">
        <f aca="false">IF(_xlfn.MAXIFS(Resultados!$C$2:$C$401,Resultados!$D$2:$D$401,$A22,Resultados!$U$2:$U$401,1)=0,"",_xlfn.MAXIFS(Resultados!$C$2:$C$401,Resultados!$D$2:$D$401,$A22,Resultados!$U$2:$U$401,1))</f>
        <v>46239</v>
      </c>
      <c r="I22" s="7" t="n">
        <f aca="false">IF(H22="","",EDATE(H22,Unidades!F18))</f>
        <v>46423</v>
      </c>
      <c r="J22" s="0" t="str">
        <f aca="false">IF(Unidades!E18&lt;&gt;"ativa","suspensa",IF(H22="","sem visita",IF(I22&lt;$K$3,"atrasada",IF(I22&lt;=$K$3+30,"próximos 30 dias","em dia"))))</f>
        <v>em dia</v>
      </c>
      <c r="K22" s="9" t="n">
        <f aca="false">IF(E22="","",SUMIFS(Resultados!$N$2:$N$401,Resultados!$D$2:$D$401,$A22,Resultados!$B$2:$B$401,$F$3,Resultados!$C$2:$C$401,E22,Resultados!$U$2:$U$401,1))</f>
        <v>0.642857142857143</v>
      </c>
      <c r="L22" s="9" t="n">
        <f aca="false">IF(E22="","",SUMIFS(Resultados!$O$2:$O$401,Resultados!$D$2:$D$401,$A22,Resultados!$B$2:$B$401,$F$3,Resultados!$C$2:$C$401,E22,Resultados!$U$2:$U$401,1))</f>
        <v>0.75</v>
      </c>
      <c r="M22" s="9" t="n">
        <f aca="false">IF(E22="","",SUMIFS(Resultados!$P$2:$P$401,Resultados!$D$2:$D$401,$A22,Resultados!$B$2:$B$401,$F$3,Resultados!$C$2:$C$401,E22,Resultados!$U$2:$U$401,1))</f>
        <v>1</v>
      </c>
      <c r="N22" s="9" t="n">
        <f aca="false">IF(E22="","",SUMIFS(Resultados!$Q$2:$Q$401,Resultados!$D$2:$D$401,$A22,Resultados!$B$2:$B$401,$F$3,Resultados!$C$2:$C$401,E22,Resultados!$U$2:$U$401,1))</f>
        <v>1</v>
      </c>
    </row>
    <row r="23" customFormat="false" ht="15" hidden="false" customHeight="false" outlineLevel="0" collapsed="false">
      <c r="A23" s="0" t="str">
        <f aca="false">Unidades!B19</f>
        <v>ESF Zanaga II</v>
      </c>
      <c r="B23" s="0" t="str">
        <f aca="false">Unidades!C19</f>
        <v>Estratégia Saúde da Família (ESF)</v>
      </c>
      <c r="C23" s="7" t="str">
        <f aca="false">IF(_xlfn.MAXIFS(Resultados!$C$2:$C$401,Resultados!$D$2:$D$401,$A23,Resultados!$B$2:$B$401,$C$3,Resultados!$U$2:$U$401,1)=0,"",_xlfn.MAXIFS(Resultados!$C$2:$C$401,Resultados!$D$2:$D$401,$A23,Resultados!$B$2:$B$401,$C$3,Resultados!$U$2:$U$401,1))</f>
        <v/>
      </c>
      <c r="D23" s="9" t="str">
        <f aca="false">IF(C23="","",SUMIFS(Resultados!$R$2:$R$401,Resultados!$D$2:$D$401,$A23,Resultados!$B$2:$B$401,$C$3,Resultados!$C$2:$C$401,C23,Resultados!$U$2:$U$401,1))</f>
        <v/>
      </c>
      <c r="E23" s="7" t="str">
        <f aca="false">IF(_xlfn.MAXIFS(Resultados!$C$2:$C$401,Resultados!$D$2:$D$401,$A23,Resultados!$B$2:$B$401,$F$3,Resultados!$U$2:$U$401,1)=0,"",_xlfn.MAXIFS(Resultados!$C$2:$C$401,Resultados!$D$2:$D$401,$A23,Resultados!$B$2:$B$401,$F$3,Resultados!$U$2:$U$401,1))</f>
        <v/>
      </c>
      <c r="F23" s="9" t="str">
        <f aca="false">IF(E23="","",SUMIFS(Resultados!$R$2:$R$401,Resultados!$D$2:$D$401,$A23,Resultados!$B$2:$B$401,$F$3,Resultados!$C$2:$C$401,E23,Resultados!$U$2:$U$401,1))</f>
        <v/>
      </c>
      <c r="G23" s="10" t="str">
        <f aca="false">IF(OR(D23="",F23=""),"",(F23-D23)*100)</f>
        <v/>
      </c>
      <c r="H23" s="7" t="str">
        <f aca="false">IF(_xlfn.MAXIFS(Resultados!$C$2:$C$401,Resultados!$D$2:$D$401,$A23,Resultados!$U$2:$U$401,1)=0,"",_xlfn.MAXIFS(Resultados!$C$2:$C$401,Resultados!$D$2:$D$401,$A23,Resultados!$U$2:$U$401,1))</f>
        <v/>
      </c>
      <c r="I23" s="7" t="str">
        <f aca="false">IF(H23="","",EDATE(H23,Unidades!F19))</f>
        <v/>
      </c>
      <c r="J23" s="0" t="str">
        <f aca="false">IF(Unidades!E19&lt;&gt;"ativa","suspensa",IF(H23="","sem visita",IF(I23&lt;$K$3,"atrasada",IF(I23&lt;=$K$3+30,"próximos 30 dias","em dia"))))</f>
        <v>sem visita</v>
      </c>
      <c r="K23" s="9" t="str">
        <f aca="false">IF(E23="","",SUMIFS(Resultados!$N$2:$N$401,Resultados!$D$2:$D$401,$A23,Resultados!$B$2:$B$401,$F$3,Resultados!$C$2:$C$401,E23,Resultados!$U$2:$U$401,1))</f>
        <v/>
      </c>
      <c r="L23" s="9" t="str">
        <f aca="false">IF(E23="","",SUMIFS(Resultados!$O$2:$O$401,Resultados!$D$2:$D$401,$A23,Resultados!$B$2:$B$401,$F$3,Resultados!$C$2:$C$401,E23,Resultados!$U$2:$U$401,1))</f>
        <v/>
      </c>
      <c r="M23" s="9" t="str">
        <f aca="false">IF(E23="","",SUMIFS(Resultados!$P$2:$P$401,Resultados!$D$2:$D$401,$A23,Resultados!$B$2:$B$401,$F$3,Resultados!$C$2:$C$401,E23,Resultados!$U$2:$U$401,1))</f>
        <v/>
      </c>
      <c r="N23" s="9" t="str">
        <f aca="false">IF(E23="","",SUMIFS(Resultados!$Q$2:$Q$401,Resultados!$D$2:$D$401,$A23,Resultados!$B$2:$B$401,$F$3,Resultados!$C$2:$C$401,E23,Resultados!$U$2:$U$401,1))</f>
        <v/>
      </c>
    </row>
    <row r="24" customFormat="false" ht="15" hidden="false" customHeight="false" outlineLevel="0" collapsed="false">
      <c r="A24" s="0" t="str">
        <f aca="false">Unidades!B20</f>
        <v>ADAM</v>
      </c>
      <c r="B24" s="0" t="str">
        <f aca="false">Unidades!C20</f>
        <v>Entidade Parceira / Conveniada</v>
      </c>
      <c r="C24" s="7" t="str">
        <f aca="false">IF(_xlfn.MAXIFS(Resultados!$C$2:$C$401,Resultados!$D$2:$D$401,$A24,Resultados!$B$2:$B$401,$C$3,Resultados!$U$2:$U$401,1)=0,"",_xlfn.MAXIFS(Resultados!$C$2:$C$401,Resultados!$D$2:$D$401,$A24,Resultados!$B$2:$B$401,$C$3,Resultados!$U$2:$U$401,1))</f>
        <v/>
      </c>
      <c r="D24" s="9" t="str">
        <f aca="false">IF(C24="","",SUMIFS(Resultados!$R$2:$R$401,Resultados!$D$2:$D$401,$A24,Resultados!$B$2:$B$401,$C$3,Resultados!$C$2:$C$401,C24,Resultados!$U$2:$U$401,1))</f>
        <v/>
      </c>
      <c r="E24" s="7" t="str">
        <f aca="false">IF(_xlfn.MAXIFS(Resultados!$C$2:$C$401,Resultados!$D$2:$D$401,$A24,Resultados!$B$2:$B$401,$F$3,Resultados!$U$2:$U$401,1)=0,"",_xlfn.MAXIFS(Resultados!$C$2:$C$401,Resultados!$D$2:$D$401,$A24,Resultados!$B$2:$B$401,$F$3,Resultados!$U$2:$U$401,1))</f>
        <v/>
      </c>
      <c r="F24" s="9" t="str">
        <f aca="false">IF(E24="","",SUMIFS(Resultados!$R$2:$R$401,Resultados!$D$2:$D$401,$A24,Resultados!$B$2:$B$401,$F$3,Resultados!$C$2:$C$401,E24,Resultados!$U$2:$U$401,1))</f>
        <v/>
      </c>
      <c r="G24" s="10" t="str">
        <f aca="false">IF(OR(D24="",F24=""),"",(F24-D24)*100)</f>
        <v/>
      </c>
      <c r="H24" s="7" t="str">
        <f aca="false">IF(_xlfn.MAXIFS(Resultados!$C$2:$C$401,Resultados!$D$2:$D$401,$A24,Resultados!$U$2:$U$401,1)=0,"",_xlfn.MAXIFS(Resultados!$C$2:$C$401,Resultados!$D$2:$D$401,$A24,Resultados!$U$2:$U$401,1))</f>
        <v/>
      </c>
      <c r="I24" s="7" t="str">
        <f aca="false">IF(H24="","",EDATE(H24,Unidades!F20))</f>
        <v/>
      </c>
      <c r="J24" s="0" t="str">
        <f aca="false">IF(Unidades!E20&lt;&gt;"ativa","suspensa",IF(H24="","sem visita",IF(I24&lt;$K$3,"atrasada",IF(I24&lt;=$K$3+30,"próximos 30 dias","em dia"))))</f>
        <v>sem visita</v>
      </c>
      <c r="K24" s="9" t="str">
        <f aca="false">IF(E24="","",SUMIFS(Resultados!$N$2:$N$401,Resultados!$D$2:$D$401,$A24,Resultados!$B$2:$B$401,$F$3,Resultados!$C$2:$C$401,E24,Resultados!$U$2:$U$401,1))</f>
        <v/>
      </c>
      <c r="L24" s="9" t="str">
        <f aca="false">IF(E24="","",SUMIFS(Resultados!$O$2:$O$401,Resultados!$D$2:$D$401,$A24,Resultados!$B$2:$B$401,$F$3,Resultados!$C$2:$C$401,E24,Resultados!$U$2:$U$401,1))</f>
        <v/>
      </c>
      <c r="M24" s="9" t="str">
        <f aca="false">IF(E24="","",SUMIFS(Resultados!$P$2:$P$401,Resultados!$D$2:$D$401,$A24,Resultados!$B$2:$B$401,$F$3,Resultados!$C$2:$C$401,E24,Resultados!$U$2:$U$401,1))</f>
        <v/>
      </c>
      <c r="N24" s="9" t="str">
        <f aca="false">IF(E24="","",SUMIFS(Resultados!$Q$2:$Q$401,Resultados!$D$2:$D$401,$A24,Resultados!$B$2:$B$401,$F$3,Resultados!$C$2:$C$401,E24,Resultados!$U$2:$U$401,1))</f>
        <v/>
      </c>
    </row>
    <row r="25" customFormat="false" ht="15" hidden="false" customHeight="false" outlineLevel="0" collapsed="false">
      <c r="A25" s="0" t="str">
        <f aca="false">Unidades!B21</f>
        <v>AEPHIVA</v>
      </c>
      <c r="B25" s="0" t="str">
        <f aca="false">Unidades!C21</f>
        <v>Entidade Parceira / Conveniada</v>
      </c>
      <c r="C25" s="7" t="str">
        <f aca="false">IF(_xlfn.MAXIFS(Resultados!$C$2:$C$401,Resultados!$D$2:$D$401,$A25,Resultados!$B$2:$B$401,$C$3,Resultados!$U$2:$U$401,1)=0,"",_xlfn.MAXIFS(Resultados!$C$2:$C$401,Resultados!$D$2:$D$401,$A25,Resultados!$B$2:$B$401,$C$3,Resultados!$U$2:$U$401,1))</f>
        <v/>
      </c>
      <c r="D25" s="9" t="str">
        <f aca="false">IF(C25="","",SUMIFS(Resultados!$R$2:$R$401,Resultados!$D$2:$D$401,$A25,Resultados!$B$2:$B$401,$C$3,Resultados!$C$2:$C$401,C25,Resultados!$U$2:$U$401,1))</f>
        <v/>
      </c>
      <c r="E25" s="7" t="str">
        <f aca="false">IF(_xlfn.MAXIFS(Resultados!$C$2:$C$401,Resultados!$D$2:$D$401,$A25,Resultados!$B$2:$B$401,$F$3,Resultados!$U$2:$U$401,1)=0,"",_xlfn.MAXIFS(Resultados!$C$2:$C$401,Resultados!$D$2:$D$401,$A25,Resultados!$B$2:$B$401,$F$3,Resultados!$U$2:$U$401,1))</f>
        <v/>
      </c>
      <c r="F25" s="9" t="str">
        <f aca="false">IF(E25="","",SUMIFS(Resultados!$R$2:$R$401,Resultados!$D$2:$D$401,$A25,Resultados!$B$2:$B$401,$F$3,Resultados!$C$2:$C$401,E25,Resultados!$U$2:$U$401,1))</f>
        <v/>
      </c>
      <c r="G25" s="10" t="str">
        <f aca="false">IF(OR(D25="",F25=""),"",(F25-D25)*100)</f>
        <v/>
      </c>
      <c r="H25" s="7" t="str">
        <f aca="false">IF(_xlfn.MAXIFS(Resultados!$C$2:$C$401,Resultados!$D$2:$D$401,$A25,Resultados!$U$2:$U$401,1)=0,"",_xlfn.MAXIFS(Resultados!$C$2:$C$401,Resultados!$D$2:$D$401,$A25,Resultados!$U$2:$U$401,1))</f>
        <v/>
      </c>
      <c r="I25" s="7" t="str">
        <f aca="false">IF(H25="","",EDATE(H25,Unidades!F21))</f>
        <v/>
      </c>
      <c r="J25" s="0" t="str">
        <f aca="false">IF(Unidades!E21&lt;&gt;"ativa","suspensa",IF(H25="","sem visita",IF(I25&lt;$K$3,"atrasada",IF(I25&lt;=$K$3+30,"próximos 30 dias","em dia"))))</f>
        <v>sem visita</v>
      </c>
      <c r="K25" s="9" t="str">
        <f aca="false">IF(E25="","",SUMIFS(Resultados!$N$2:$N$401,Resultados!$D$2:$D$401,$A25,Resultados!$B$2:$B$401,$F$3,Resultados!$C$2:$C$401,E25,Resultados!$U$2:$U$401,1))</f>
        <v/>
      </c>
      <c r="L25" s="9" t="str">
        <f aca="false">IF(E25="","",SUMIFS(Resultados!$O$2:$O$401,Resultados!$D$2:$D$401,$A25,Resultados!$B$2:$B$401,$F$3,Resultados!$C$2:$C$401,E25,Resultados!$U$2:$U$401,1))</f>
        <v/>
      </c>
      <c r="M25" s="9" t="str">
        <f aca="false">IF(E25="","",SUMIFS(Resultados!$P$2:$P$401,Resultados!$D$2:$D$401,$A25,Resultados!$B$2:$B$401,$F$3,Resultados!$C$2:$C$401,E25,Resultados!$U$2:$U$401,1))</f>
        <v/>
      </c>
      <c r="N25" s="9" t="str">
        <f aca="false">IF(E25="","",SUMIFS(Resultados!$Q$2:$Q$401,Resultados!$D$2:$D$401,$A25,Resultados!$B$2:$B$401,$F$3,Resultados!$C$2:$C$401,E25,Resultados!$U$2:$U$401,1))</f>
        <v/>
      </c>
    </row>
    <row r="26" customFormat="false" ht="15" hidden="false" customHeight="false" outlineLevel="0" collapsed="false">
      <c r="A26" s="0" t="str">
        <f aca="false">Unidades!B22</f>
        <v>UBS Cariobinha</v>
      </c>
      <c r="B26" s="0" t="str">
        <f aca="false">Unidades!C22</f>
        <v>Unidade Básica de Saúde (UBS)</v>
      </c>
      <c r="C26" s="7" t="n">
        <f aca="false">IF(_xlfn.MAXIFS(Resultados!$C$2:$C$401,Resultados!$D$2:$D$401,$A26,Resultados!$B$2:$B$401,$C$3,Resultados!$U$2:$U$401,1)=0,"",_xlfn.MAXIFS(Resultados!$C$2:$C$401,Resultados!$D$2:$D$401,$A26,Resultados!$B$2:$B$401,$C$3,Resultados!$U$2:$U$401,1))</f>
        <v>45268</v>
      </c>
      <c r="D26" s="9" t="n">
        <f aca="false">IF(C26="","",SUMIFS(Resultados!$R$2:$R$401,Resultados!$D$2:$D$401,$A26,Resultados!$B$2:$B$401,$C$3,Resultados!$C$2:$C$401,C26,Resultados!$U$2:$U$401,1))</f>
        <v>1</v>
      </c>
      <c r="E26" s="7" t="n">
        <f aca="false">IF(_xlfn.MAXIFS(Resultados!$C$2:$C$401,Resultados!$D$2:$D$401,$A26,Resultados!$B$2:$B$401,$F$3,Resultados!$U$2:$U$401,1)=0,"",_xlfn.MAXIFS(Resultados!$C$2:$C$401,Resultados!$D$2:$D$401,$A26,Resultados!$B$2:$B$401,$F$3,Resultados!$U$2:$U$401,1))</f>
        <v>46254</v>
      </c>
      <c r="F26" s="9" t="n">
        <f aca="false">IF(E26="","",SUMIFS(Resultados!$R$2:$R$401,Resultados!$D$2:$D$401,$A26,Resultados!$B$2:$B$401,$F$3,Resultados!$C$2:$C$401,E26,Resultados!$U$2:$U$401,1))</f>
        <v>0.946428571428571</v>
      </c>
      <c r="G26" s="10" t="n">
        <f aca="false">IF(OR(D26="",F26=""),"",(F26-D26)*100)</f>
        <v>-5.35714285714286</v>
      </c>
      <c r="H26" s="7" t="n">
        <f aca="false">IF(_xlfn.MAXIFS(Resultados!$C$2:$C$401,Resultados!$D$2:$D$401,$A26,Resultados!$U$2:$U$401,1)=0,"",_xlfn.MAXIFS(Resultados!$C$2:$C$401,Resultados!$D$2:$D$401,$A26,Resultados!$U$2:$U$401,1))</f>
        <v>46254</v>
      </c>
      <c r="I26" s="7" t="n">
        <f aca="false">IF(H26="","",EDATE(H26,Unidades!F22))</f>
        <v>46438</v>
      </c>
      <c r="J26" s="0" t="str">
        <f aca="false">IF(Unidades!E22&lt;&gt;"ativa","suspensa",IF(H26="","sem visita",IF(I26&lt;$K$3,"atrasada",IF(I26&lt;=$K$3+30,"próximos 30 dias","em dia"))))</f>
        <v>em dia</v>
      </c>
      <c r="K26" s="9" t="n">
        <f aca="false">IF(E26="","",SUMIFS(Resultados!$N$2:$N$401,Resultados!$D$2:$D$401,$A26,Resultados!$B$2:$B$401,$F$3,Resultados!$C$2:$C$401,E26,Resultados!$U$2:$U$401,1))</f>
        <v>0.785714285714286</v>
      </c>
      <c r="L26" s="9" t="n">
        <f aca="false">IF(E26="","",SUMIFS(Resultados!$O$2:$O$401,Resultados!$D$2:$D$401,$A26,Resultados!$B$2:$B$401,$F$3,Resultados!$C$2:$C$401,E26,Resultados!$U$2:$U$401,1))</f>
        <v>1</v>
      </c>
      <c r="M26" s="9" t="n">
        <f aca="false">IF(E26="","",SUMIFS(Resultados!$P$2:$P$401,Resultados!$D$2:$D$401,$A26,Resultados!$B$2:$B$401,$F$3,Resultados!$C$2:$C$401,E26,Resultados!$U$2:$U$401,1))</f>
        <v>1</v>
      </c>
      <c r="N26" s="9" t="n">
        <f aca="false">IF(E26="","",SUMIFS(Resultados!$Q$2:$Q$401,Resultados!$D$2:$D$401,$A26,Resultados!$B$2:$B$401,$F$3,Resultados!$C$2:$C$401,E26,Resultados!$U$2:$U$401,1))</f>
        <v>1</v>
      </c>
    </row>
    <row r="27" customFormat="false" ht="15" hidden="false" customHeight="false" outlineLevel="0" collapsed="false">
      <c r="A27" s="0" t="str">
        <f aca="false">Unidades!B23</f>
        <v>UNACON - Unidade de Oncologia</v>
      </c>
      <c r="B27" s="0" t="str">
        <f aca="false">Unidades!C23</f>
        <v>Atenção Especializada</v>
      </c>
      <c r="C27" s="7" t="n">
        <f aca="false">IF(_xlfn.MAXIFS(Resultados!$C$2:$C$401,Resultados!$D$2:$D$401,$A27,Resultados!$B$2:$B$401,$C$3,Resultados!$U$2:$U$401,1)=0,"",_xlfn.MAXIFS(Resultados!$C$2:$C$401,Resultados!$D$2:$D$401,$A27,Resultados!$B$2:$B$401,$C$3,Resultados!$U$2:$U$401,1))</f>
        <v>45268</v>
      </c>
      <c r="D27" s="9" t="n">
        <f aca="false">IF(C27="","",SUMIFS(Resultados!$R$2:$R$401,Resultados!$D$2:$D$401,$A27,Resultados!$B$2:$B$401,$C$3,Resultados!$C$2:$C$401,C27,Resultados!$U$2:$U$401,1))</f>
        <v>0.950892857142857</v>
      </c>
      <c r="E27" s="7" t="str">
        <f aca="false">IF(_xlfn.MAXIFS(Resultados!$C$2:$C$401,Resultados!$D$2:$D$401,$A27,Resultados!$B$2:$B$401,$F$3,Resultados!$U$2:$U$401,1)=0,"",_xlfn.MAXIFS(Resultados!$C$2:$C$401,Resultados!$D$2:$D$401,$A27,Resultados!$B$2:$B$401,$F$3,Resultados!$U$2:$U$401,1))</f>
        <v/>
      </c>
      <c r="F27" s="9" t="str">
        <f aca="false">IF(E27="","",SUMIFS(Resultados!$R$2:$R$401,Resultados!$D$2:$D$401,$A27,Resultados!$B$2:$B$401,$F$3,Resultados!$C$2:$C$401,E27,Resultados!$U$2:$U$401,1))</f>
        <v/>
      </c>
      <c r="G27" s="10" t="str">
        <f aca="false">IF(OR(D27="",F27=""),"",(F27-D27)*100)</f>
        <v/>
      </c>
      <c r="H27" s="7" t="n">
        <f aca="false">IF(_xlfn.MAXIFS(Resultados!$C$2:$C$401,Resultados!$D$2:$D$401,$A27,Resultados!$U$2:$U$401,1)=0,"",_xlfn.MAXIFS(Resultados!$C$2:$C$401,Resultados!$D$2:$D$401,$A27,Resultados!$U$2:$U$401,1))</f>
        <v>45268</v>
      </c>
      <c r="I27" s="7" t="n">
        <f aca="false">IF(H27="","",EDATE(H27,Unidades!F23))</f>
        <v>45451</v>
      </c>
      <c r="J27" s="0" t="str">
        <f aca="false">IF(Unidades!E23&lt;&gt;"ativa","suspensa",IF(H27="","sem visita",IF(I27&lt;$K$3,"atrasada",IF(I27&lt;=$K$3+30,"próximos 30 dias","em dia"))))</f>
        <v>atrasada</v>
      </c>
      <c r="K27" s="9" t="str">
        <f aca="false">IF(E27="","",SUMIFS(Resultados!$N$2:$N$401,Resultados!$D$2:$D$401,$A27,Resultados!$B$2:$B$401,$F$3,Resultados!$C$2:$C$401,E27,Resultados!$U$2:$U$401,1))</f>
        <v/>
      </c>
      <c r="L27" s="9" t="str">
        <f aca="false">IF(E27="","",SUMIFS(Resultados!$O$2:$O$401,Resultados!$D$2:$D$401,$A27,Resultados!$B$2:$B$401,$F$3,Resultados!$C$2:$C$401,E27,Resultados!$U$2:$U$401,1))</f>
        <v/>
      </c>
      <c r="M27" s="9" t="str">
        <f aca="false">IF(E27="","",SUMIFS(Resultados!$P$2:$P$401,Resultados!$D$2:$D$401,$A27,Resultados!$B$2:$B$401,$F$3,Resultados!$C$2:$C$401,E27,Resultados!$U$2:$U$401,1))</f>
        <v/>
      </c>
      <c r="N27" s="9" t="str">
        <f aca="false">IF(E27="","",SUMIFS(Resultados!$Q$2:$Q$401,Resultados!$D$2:$D$401,$A27,Resultados!$B$2:$B$401,$F$3,Resultados!$C$2:$C$401,E27,Resultados!$U$2:$U$401,1))</f>
        <v/>
      </c>
    </row>
    <row r="28" customFormat="false" ht="15" hidden="false" customHeight="false" outlineLevel="0" collapsed="false">
      <c r="A28" s="0" t="str">
        <f aca="false">Unidades!B24</f>
        <v>APAE</v>
      </c>
      <c r="B28" s="0" t="str">
        <f aca="false">Unidades!C24</f>
        <v>Entidade Parceira / Conveniada</v>
      </c>
      <c r="C28" s="7" t="str">
        <f aca="false">IF(_xlfn.MAXIFS(Resultados!$C$2:$C$401,Resultados!$D$2:$D$401,$A28,Resultados!$B$2:$B$401,$C$3,Resultados!$U$2:$U$401,1)=0,"",_xlfn.MAXIFS(Resultados!$C$2:$C$401,Resultados!$D$2:$D$401,$A28,Resultados!$B$2:$B$401,$C$3,Resultados!$U$2:$U$401,1))</f>
        <v/>
      </c>
      <c r="D28" s="9" t="str">
        <f aca="false">IF(C28="","",SUMIFS(Resultados!$R$2:$R$401,Resultados!$D$2:$D$401,$A28,Resultados!$B$2:$B$401,$C$3,Resultados!$C$2:$C$401,C28,Resultados!$U$2:$U$401,1))</f>
        <v/>
      </c>
      <c r="E28" s="7" t="str">
        <f aca="false">IF(_xlfn.MAXIFS(Resultados!$C$2:$C$401,Resultados!$D$2:$D$401,$A28,Resultados!$B$2:$B$401,$F$3,Resultados!$U$2:$U$401,1)=0,"",_xlfn.MAXIFS(Resultados!$C$2:$C$401,Resultados!$D$2:$D$401,$A28,Resultados!$B$2:$B$401,$F$3,Resultados!$U$2:$U$401,1))</f>
        <v/>
      </c>
      <c r="F28" s="9" t="str">
        <f aca="false">IF(E28="","",SUMIFS(Resultados!$R$2:$R$401,Resultados!$D$2:$D$401,$A28,Resultados!$B$2:$B$401,$F$3,Resultados!$C$2:$C$401,E28,Resultados!$U$2:$U$401,1))</f>
        <v/>
      </c>
      <c r="G28" s="10" t="str">
        <f aca="false">IF(OR(D28="",F28=""),"",(F28-D28)*100)</f>
        <v/>
      </c>
      <c r="H28" s="7" t="str">
        <f aca="false">IF(_xlfn.MAXIFS(Resultados!$C$2:$C$401,Resultados!$D$2:$D$401,$A28,Resultados!$U$2:$U$401,1)=0,"",_xlfn.MAXIFS(Resultados!$C$2:$C$401,Resultados!$D$2:$D$401,$A28,Resultados!$U$2:$U$401,1))</f>
        <v/>
      </c>
      <c r="I28" s="7" t="str">
        <f aca="false">IF(H28="","",EDATE(H28,Unidades!F24))</f>
        <v/>
      </c>
      <c r="J28" s="0" t="str">
        <f aca="false">IF(Unidades!E24&lt;&gt;"ativa","suspensa",IF(H28="","sem visita",IF(I28&lt;$K$3,"atrasada",IF(I28&lt;=$K$3+30,"próximos 30 dias","em dia"))))</f>
        <v>sem visita</v>
      </c>
      <c r="K28" s="9" t="str">
        <f aca="false">IF(E28="","",SUMIFS(Resultados!$N$2:$N$401,Resultados!$D$2:$D$401,$A28,Resultados!$B$2:$B$401,$F$3,Resultados!$C$2:$C$401,E28,Resultados!$U$2:$U$401,1))</f>
        <v/>
      </c>
      <c r="L28" s="9" t="str">
        <f aca="false">IF(E28="","",SUMIFS(Resultados!$O$2:$O$401,Resultados!$D$2:$D$401,$A28,Resultados!$B$2:$B$401,$F$3,Resultados!$C$2:$C$401,E28,Resultados!$U$2:$U$401,1))</f>
        <v/>
      </c>
      <c r="M28" s="9" t="str">
        <f aca="false">IF(E28="","",SUMIFS(Resultados!$P$2:$P$401,Resultados!$D$2:$D$401,$A28,Resultados!$B$2:$B$401,$F$3,Resultados!$C$2:$C$401,E28,Resultados!$U$2:$U$401,1))</f>
        <v/>
      </c>
      <c r="N28" s="9" t="str">
        <f aca="false">IF(E28="","",SUMIFS(Resultados!$Q$2:$Q$401,Resultados!$D$2:$D$401,$A28,Resultados!$B$2:$B$401,$F$3,Resultados!$C$2:$C$401,E28,Resultados!$U$2:$U$401,1))</f>
        <v/>
      </c>
    </row>
    <row r="29" customFormat="false" ht="15" hidden="false" customHeight="false" outlineLevel="0" collapsed="false">
      <c r="A29" s="0" t="str">
        <f aca="false">Unidades!B25</f>
        <v>UVISA - Vigilância Sanitária</v>
      </c>
      <c r="B29" s="0" t="str">
        <f aca="false">Unidades!C25</f>
        <v>Vigilância em Saúde</v>
      </c>
      <c r="C29" s="7" t="str">
        <f aca="false">IF(_xlfn.MAXIFS(Resultados!$C$2:$C$401,Resultados!$D$2:$D$401,$A29,Resultados!$B$2:$B$401,$C$3,Resultados!$U$2:$U$401,1)=0,"",_xlfn.MAXIFS(Resultados!$C$2:$C$401,Resultados!$D$2:$D$401,$A29,Resultados!$B$2:$B$401,$C$3,Resultados!$U$2:$U$401,1))</f>
        <v/>
      </c>
      <c r="D29" s="9" t="str">
        <f aca="false">IF(C29="","",SUMIFS(Resultados!$R$2:$R$401,Resultados!$D$2:$D$401,$A29,Resultados!$B$2:$B$401,$C$3,Resultados!$C$2:$C$401,C29,Resultados!$U$2:$U$401,1))</f>
        <v/>
      </c>
      <c r="E29" s="7" t="str">
        <f aca="false">IF(_xlfn.MAXIFS(Resultados!$C$2:$C$401,Resultados!$D$2:$D$401,$A29,Resultados!$B$2:$B$401,$F$3,Resultados!$U$2:$U$401,1)=0,"",_xlfn.MAXIFS(Resultados!$C$2:$C$401,Resultados!$D$2:$D$401,$A29,Resultados!$B$2:$B$401,$F$3,Resultados!$U$2:$U$401,1))</f>
        <v/>
      </c>
      <c r="F29" s="9" t="str">
        <f aca="false">IF(E29="","",SUMIFS(Resultados!$R$2:$R$401,Resultados!$D$2:$D$401,$A29,Resultados!$B$2:$B$401,$F$3,Resultados!$C$2:$C$401,E29,Resultados!$U$2:$U$401,1))</f>
        <v/>
      </c>
      <c r="G29" s="10" t="str">
        <f aca="false">IF(OR(D29="",F29=""),"",(F29-D29)*100)</f>
        <v/>
      </c>
      <c r="H29" s="7" t="str">
        <f aca="false">IF(_xlfn.MAXIFS(Resultados!$C$2:$C$401,Resultados!$D$2:$D$401,$A29,Resultados!$U$2:$U$401,1)=0,"",_xlfn.MAXIFS(Resultados!$C$2:$C$401,Resultados!$D$2:$D$401,$A29,Resultados!$U$2:$U$401,1))</f>
        <v/>
      </c>
      <c r="I29" s="7" t="str">
        <f aca="false">IF(H29="","",EDATE(H29,Unidades!F25))</f>
        <v/>
      </c>
      <c r="J29" s="0" t="str">
        <f aca="false">IF(Unidades!E25&lt;&gt;"ativa","suspensa",IF(H29="","sem visita",IF(I29&lt;$K$3,"atrasada",IF(I29&lt;=$K$3+30,"próximos 30 dias","em dia"))))</f>
        <v>sem visita</v>
      </c>
      <c r="K29" s="9" t="str">
        <f aca="false">IF(E29="","",SUMIFS(Resultados!$N$2:$N$401,Resultados!$D$2:$D$401,$A29,Resultados!$B$2:$B$401,$F$3,Resultados!$C$2:$C$401,E29,Resultados!$U$2:$U$401,1))</f>
        <v/>
      </c>
      <c r="L29" s="9" t="str">
        <f aca="false">IF(E29="","",SUMIFS(Resultados!$O$2:$O$401,Resultados!$D$2:$D$401,$A29,Resultados!$B$2:$B$401,$F$3,Resultados!$C$2:$C$401,E29,Resultados!$U$2:$U$401,1))</f>
        <v/>
      </c>
      <c r="M29" s="9" t="str">
        <f aca="false">IF(E29="","",SUMIFS(Resultados!$P$2:$P$401,Resultados!$D$2:$D$401,$A29,Resultados!$B$2:$B$401,$F$3,Resultados!$C$2:$C$401,E29,Resultados!$U$2:$U$401,1))</f>
        <v/>
      </c>
      <c r="N29" s="9" t="str">
        <f aca="false">IF(E29="","",SUMIFS(Resultados!$Q$2:$Q$401,Resultados!$D$2:$D$401,$A29,Resultados!$B$2:$B$401,$F$3,Resultados!$C$2:$C$401,E29,Resultados!$U$2:$U$401,1))</f>
        <v/>
      </c>
    </row>
    <row r="30" customFormat="false" ht="15" hidden="false" customHeight="false" outlineLevel="0" collapsed="false">
      <c r="A30" s="0" t="str">
        <f aca="false">Unidades!B26</f>
        <v>SAE/DST</v>
      </c>
      <c r="B30" s="0" t="str">
        <f aca="false">Unidades!C26</f>
        <v>Atenção Especializada</v>
      </c>
      <c r="C30" s="7" t="str">
        <f aca="false">IF(_xlfn.MAXIFS(Resultados!$C$2:$C$401,Resultados!$D$2:$D$401,$A30,Resultados!$B$2:$B$401,$C$3,Resultados!$U$2:$U$401,1)=0,"",_xlfn.MAXIFS(Resultados!$C$2:$C$401,Resultados!$D$2:$D$401,$A30,Resultados!$B$2:$B$401,$C$3,Resultados!$U$2:$U$401,1))</f>
        <v/>
      </c>
      <c r="D30" s="9" t="str">
        <f aca="false">IF(C30="","",SUMIFS(Resultados!$R$2:$R$401,Resultados!$D$2:$D$401,$A30,Resultados!$B$2:$B$401,$C$3,Resultados!$C$2:$C$401,C30,Resultados!$U$2:$U$401,1))</f>
        <v/>
      </c>
      <c r="E30" s="7" t="n">
        <f aca="false">IF(_xlfn.MAXIFS(Resultados!$C$2:$C$401,Resultados!$D$2:$D$401,$A30,Resultados!$B$2:$B$401,$F$3,Resultados!$U$2:$U$401,1)=0,"",_xlfn.MAXIFS(Resultados!$C$2:$C$401,Resultados!$D$2:$D$401,$A30,Resultados!$B$2:$B$401,$F$3,Resultados!$U$2:$U$401,1))</f>
        <v>46191</v>
      </c>
      <c r="F30" s="9" t="n">
        <f aca="false">IF(E30="","",SUMIFS(Resultados!$R$2:$R$401,Resultados!$D$2:$D$401,$A30,Resultados!$B$2:$B$401,$F$3,Resultados!$C$2:$C$401,E30,Resultados!$U$2:$U$401,1))</f>
        <v>0.928571428571429</v>
      </c>
      <c r="G30" s="10" t="str">
        <f aca="false">IF(OR(D30="",F30=""),"",(F30-D30)*100)</f>
        <v/>
      </c>
      <c r="H30" s="7" t="n">
        <f aca="false">IF(_xlfn.MAXIFS(Resultados!$C$2:$C$401,Resultados!$D$2:$D$401,$A30,Resultados!$U$2:$U$401,1)=0,"",_xlfn.MAXIFS(Resultados!$C$2:$C$401,Resultados!$D$2:$D$401,$A30,Resultados!$U$2:$U$401,1))</f>
        <v>46191</v>
      </c>
      <c r="I30" s="7" t="n">
        <f aca="false">IF(H30="","",EDATE(H30,Unidades!F26))</f>
        <v>46374</v>
      </c>
      <c r="J30" s="0" t="str">
        <f aca="false">IF(Unidades!E26&lt;&gt;"ativa","suspensa",IF(H30="","sem visita",IF(I30&lt;$K$3,"atrasada",IF(I30&lt;=$K$3+30,"próximos 30 dias","em dia"))))</f>
        <v>em dia</v>
      </c>
      <c r="K30" s="9" t="n">
        <f aca="false">IF(E30="","",SUMIFS(Resultados!$N$2:$N$401,Resultados!$D$2:$D$401,$A30,Resultados!$B$2:$B$401,$F$3,Resultados!$C$2:$C$401,E30,Resultados!$U$2:$U$401,1))</f>
        <v>0.785714285714286</v>
      </c>
      <c r="L30" s="9" t="n">
        <f aca="false">IF(E30="","",SUMIFS(Resultados!$O$2:$O$401,Resultados!$D$2:$D$401,$A30,Resultados!$B$2:$B$401,$F$3,Resultados!$C$2:$C$401,E30,Resultados!$U$2:$U$401,1))</f>
        <v>1</v>
      </c>
      <c r="M30" s="9" t="n">
        <f aca="false">IF(E30="","",SUMIFS(Resultados!$P$2:$P$401,Resultados!$D$2:$D$401,$A30,Resultados!$B$2:$B$401,$F$3,Resultados!$C$2:$C$401,E30,Resultados!$U$2:$U$401,1))</f>
        <v>1</v>
      </c>
      <c r="N30" s="9" t="n">
        <f aca="false">IF(E30="","",SUMIFS(Resultados!$Q$2:$Q$401,Resultados!$D$2:$D$401,$A30,Resultados!$B$2:$B$401,$F$3,Resultados!$C$2:$C$401,E30,Resultados!$U$2:$U$401,1))</f>
        <v>0</v>
      </c>
    </row>
    <row r="31" customFormat="false" ht="15" hidden="false" customHeight="false" outlineLevel="0" collapsed="false">
      <c r="A31" s="0" t="str">
        <f aca="false">Unidades!B27</f>
        <v>Clínica Jones</v>
      </c>
      <c r="B31" s="0" t="str">
        <f aca="false">Unidades!C27</f>
        <v>A classificar</v>
      </c>
      <c r="C31" s="7" t="str">
        <f aca="false">IF(_xlfn.MAXIFS(Resultados!$C$2:$C$401,Resultados!$D$2:$D$401,$A31,Resultados!$B$2:$B$401,$C$3,Resultados!$U$2:$U$401,1)=0,"",_xlfn.MAXIFS(Resultados!$C$2:$C$401,Resultados!$D$2:$D$401,$A31,Resultados!$B$2:$B$401,$C$3,Resultados!$U$2:$U$401,1))</f>
        <v/>
      </c>
      <c r="D31" s="9" t="str">
        <f aca="false">IF(C31="","",SUMIFS(Resultados!$R$2:$R$401,Resultados!$D$2:$D$401,$A31,Resultados!$B$2:$B$401,$C$3,Resultados!$C$2:$C$401,C31,Resultados!$U$2:$U$401,1))</f>
        <v/>
      </c>
      <c r="E31" s="7" t="str">
        <f aca="false">IF(_xlfn.MAXIFS(Resultados!$C$2:$C$401,Resultados!$D$2:$D$401,$A31,Resultados!$B$2:$B$401,$F$3,Resultados!$U$2:$U$401,1)=0,"",_xlfn.MAXIFS(Resultados!$C$2:$C$401,Resultados!$D$2:$D$401,$A31,Resultados!$B$2:$B$401,$F$3,Resultados!$U$2:$U$401,1))</f>
        <v/>
      </c>
      <c r="F31" s="9" t="str">
        <f aca="false">IF(E31="","",SUMIFS(Resultados!$R$2:$R$401,Resultados!$D$2:$D$401,$A31,Resultados!$B$2:$B$401,$F$3,Resultados!$C$2:$C$401,E31,Resultados!$U$2:$U$401,1))</f>
        <v/>
      </c>
      <c r="G31" s="10" t="str">
        <f aca="false">IF(OR(D31="",F31=""),"",(F31-D31)*100)</f>
        <v/>
      </c>
      <c r="H31" s="7" t="str">
        <f aca="false">IF(_xlfn.MAXIFS(Resultados!$C$2:$C$401,Resultados!$D$2:$D$401,$A31,Resultados!$U$2:$U$401,1)=0,"",_xlfn.MAXIFS(Resultados!$C$2:$C$401,Resultados!$D$2:$D$401,$A31,Resultados!$U$2:$U$401,1))</f>
        <v/>
      </c>
      <c r="I31" s="7" t="str">
        <f aca="false">IF(H31="","",EDATE(H31,Unidades!F27))</f>
        <v/>
      </c>
      <c r="J31" s="0" t="str">
        <f aca="false">IF(Unidades!E27&lt;&gt;"ativa","suspensa",IF(H31="","sem visita",IF(I31&lt;$K$3,"atrasada",IF(I31&lt;=$K$3+30,"próximos 30 dias","em dia"))))</f>
        <v>sem visita</v>
      </c>
      <c r="K31" s="9" t="str">
        <f aca="false">IF(E31="","",SUMIFS(Resultados!$N$2:$N$401,Resultados!$D$2:$D$401,$A31,Resultados!$B$2:$B$401,$F$3,Resultados!$C$2:$C$401,E31,Resultados!$U$2:$U$401,1))</f>
        <v/>
      </c>
      <c r="L31" s="9" t="str">
        <f aca="false">IF(E31="","",SUMIFS(Resultados!$O$2:$O$401,Resultados!$D$2:$D$401,$A31,Resultados!$B$2:$B$401,$F$3,Resultados!$C$2:$C$401,E31,Resultados!$U$2:$U$401,1))</f>
        <v/>
      </c>
      <c r="M31" s="9" t="str">
        <f aca="false">IF(E31="","",SUMIFS(Resultados!$P$2:$P$401,Resultados!$D$2:$D$401,$A31,Resultados!$B$2:$B$401,$F$3,Resultados!$C$2:$C$401,E31,Resultados!$U$2:$U$401,1))</f>
        <v/>
      </c>
      <c r="N31" s="9" t="str">
        <f aca="false">IF(E31="","",SUMIFS(Resultados!$Q$2:$Q$401,Resultados!$D$2:$D$401,$A31,Resultados!$B$2:$B$401,$F$3,Resultados!$C$2:$C$401,E31,Resultados!$U$2:$U$401,1))</f>
        <v/>
      </c>
    </row>
    <row r="32" customFormat="false" ht="15" hidden="false" customHeight="false" outlineLevel="0" collapsed="false">
      <c r="A32" s="0" t="str">
        <f aca="false">Unidades!B28</f>
        <v>UBS Vila Gallo</v>
      </c>
      <c r="B32" s="0" t="str">
        <f aca="false">Unidades!C28</f>
        <v>Unidade Básica de Saúde (UBS)</v>
      </c>
      <c r="C32" s="7" t="n">
        <f aca="false">IF(_xlfn.MAXIFS(Resultados!$C$2:$C$401,Resultados!$D$2:$D$401,$A32,Resultados!$B$2:$B$401,$C$3,Resultados!$U$2:$U$401,1)=0,"",_xlfn.MAXIFS(Resultados!$C$2:$C$401,Resultados!$D$2:$D$401,$A32,Resultados!$B$2:$B$401,$C$3,Resultados!$U$2:$U$401,1))</f>
        <v>45159</v>
      </c>
      <c r="D32" s="9" t="n">
        <f aca="false">IF(C32="","",SUMIFS(Resultados!$R$2:$R$401,Resultados!$D$2:$D$401,$A32,Resultados!$B$2:$B$401,$C$3,Resultados!$C$2:$C$401,C32,Resultados!$U$2:$U$401,1))</f>
        <v>0.808035714285714</v>
      </c>
      <c r="E32" s="7" t="n">
        <f aca="false">IF(_xlfn.MAXIFS(Resultados!$C$2:$C$401,Resultados!$D$2:$D$401,$A32,Resultados!$B$2:$B$401,$F$3,Resultados!$U$2:$U$401,1)=0,"",_xlfn.MAXIFS(Resultados!$C$2:$C$401,Resultados!$D$2:$D$401,$A32,Resultados!$B$2:$B$401,$F$3,Resultados!$U$2:$U$401,1))</f>
        <v>46092</v>
      </c>
      <c r="F32" s="9" t="n">
        <f aca="false">IF(E32="","",SUMIFS(Resultados!$R$2:$R$401,Resultados!$D$2:$D$401,$A32,Resultados!$B$2:$B$401,$F$3,Resultados!$C$2:$C$401,E32,Resultados!$U$2:$U$401,1))</f>
        <v>0.776785714285714</v>
      </c>
      <c r="G32" s="10" t="n">
        <f aca="false">IF(OR(D32="",F32=""),"",(F32-D32)*100)</f>
        <v>-3.125</v>
      </c>
      <c r="H32" s="7" t="n">
        <f aca="false">IF(_xlfn.MAXIFS(Resultados!$C$2:$C$401,Resultados!$D$2:$D$401,$A32,Resultados!$U$2:$U$401,1)=0,"",_xlfn.MAXIFS(Resultados!$C$2:$C$401,Resultados!$D$2:$D$401,$A32,Resultados!$U$2:$U$401,1))</f>
        <v>46092</v>
      </c>
      <c r="I32" s="7" t="n">
        <f aca="false">IF(H32="","",EDATE(H32,Unidades!F28))</f>
        <v>46276</v>
      </c>
      <c r="J32" s="0" t="str">
        <f aca="false">IF(Unidades!E28&lt;&gt;"ativa","suspensa",IF(H32="","sem visita",IF(I32&lt;$K$3,"atrasada",IF(I32&lt;=$K$3+30,"próximos 30 dias","em dia"))))</f>
        <v>atrasada</v>
      </c>
      <c r="K32" s="9" t="n">
        <f aca="false">IF(E32="","",SUMIFS(Resultados!$N$2:$N$401,Resultados!$D$2:$D$401,$A32,Resultados!$B$2:$B$401,$F$3,Resultados!$C$2:$C$401,E32,Resultados!$U$2:$U$401,1))</f>
        <v>0.857142857142857</v>
      </c>
      <c r="L32" s="9" t="n">
        <f aca="false">IF(E32="","",SUMIFS(Resultados!$O$2:$O$401,Resultados!$D$2:$D$401,$A32,Resultados!$B$2:$B$401,$F$3,Resultados!$C$2:$C$401,E32,Resultados!$U$2:$U$401,1))</f>
        <v>0.75</v>
      </c>
      <c r="M32" s="9" t="n">
        <f aca="false">IF(E32="","",SUMIFS(Resultados!$P$2:$P$401,Resultados!$D$2:$D$401,$A32,Resultados!$B$2:$B$401,$F$3,Resultados!$C$2:$C$401,E32,Resultados!$U$2:$U$401,1))</f>
        <v>1</v>
      </c>
      <c r="N32" s="9" t="n">
        <f aca="false">IF(E32="","",SUMIFS(Resultados!$Q$2:$Q$401,Resultados!$D$2:$D$401,$A32,Resultados!$B$2:$B$401,$F$3,Resultados!$C$2:$C$401,E32,Resultados!$U$2:$U$401,1))</f>
        <v>0.5</v>
      </c>
    </row>
    <row r="33" customFormat="false" ht="15" hidden="false" customHeight="false" outlineLevel="0" collapsed="false">
      <c r="A33" s="0" t="str">
        <f aca="false">Unidades!B29</f>
        <v>CCZ - Centro de Controle de Zoonoses</v>
      </c>
      <c r="B33" s="0" t="str">
        <f aca="false">Unidades!C29</f>
        <v>Vigilância em Saúde</v>
      </c>
      <c r="C33" s="7" t="n">
        <f aca="false">IF(_xlfn.MAXIFS(Resultados!$C$2:$C$401,Resultados!$D$2:$D$401,$A33,Resultados!$B$2:$B$401,$C$3,Resultados!$U$2:$U$401,1)=0,"",_xlfn.MAXIFS(Resultados!$C$2:$C$401,Resultados!$D$2:$D$401,$A33,Resultados!$B$2:$B$401,$C$3,Resultados!$U$2:$U$401,1))</f>
        <v>45162</v>
      </c>
      <c r="D33" s="9" t="n">
        <f aca="false">IF(C33="","",SUMIFS(Resultados!$R$2:$R$401,Resultados!$D$2:$D$401,$A33,Resultados!$B$2:$B$401,$C$3,Resultados!$C$2:$C$401,C33,Resultados!$U$2:$U$401,1))</f>
        <v>0.424107142857143</v>
      </c>
      <c r="E33" s="7" t="n">
        <f aca="false">IF(_xlfn.MAXIFS(Resultados!$C$2:$C$401,Resultados!$D$2:$D$401,$A33,Resultados!$B$2:$B$401,$F$3,Resultados!$U$2:$U$401,1)=0,"",_xlfn.MAXIFS(Resultados!$C$2:$C$401,Resultados!$D$2:$D$401,$A33,Resultados!$B$2:$B$401,$F$3,Resultados!$U$2:$U$401,1))</f>
        <v>46161</v>
      </c>
      <c r="F33" s="9" t="n">
        <f aca="false">IF(E33="","",SUMIFS(Resultados!$R$2:$R$401,Resultados!$D$2:$D$401,$A33,Resultados!$B$2:$B$401,$F$3,Resultados!$C$2:$C$401,E33,Resultados!$U$2:$U$401,1))</f>
        <v>0.375</v>
      </c>
      <c r="G33" s="10" t="n">
        <f aca="false">IF(OR(D33="",F33=""),"",(F33-D33)*100)</f>
        <v>-4.91071428571429</v>
      </c>
      <c r="H33" s="7" t="n">
        <f aca="false">IF(_xlfn.MAXIFS(Resultados!$C$2:$C$401,Resultados!$D$2:$D$401,$A33,Resultados!$U$2:$U$401,1)=0,"",_xlfn.MAXIFS(Resultados!$C$2:$C$401,Resultados!$D$2:$D$401,$A33,Resultados!$U$2:$U$401,1))</f>
        <v>46161</v>
      </c>
      <c r="I33" s="7" t="n">
        <f aca="false">IF(H33="","",EDATE(H33,Unidades!F29))</f>
        <v>46345</v>
      </c>
      <c r="J33" s="0" t="str">
        <f aca="false">IF(Unidades!E29&lt;&gt;"ativa","suspensa",IF(H33="","sem visita",IF(I33&lt;$K$3,"atrasada",IF(I33&lt;=$K$3+30,"próximos 30 dias","em dia"))))</f>
        <v>em dia</v>
      </c>
      <c r="K33" s="9" t="n">
        <f aca="false">IF(E33="","",SUMIFS(Resultados!$N$2:$N$401,Resultados!$D$2:$D$401,$A33,Resultados!$B$2:$B$401,$F$3,Resultados!$C$2:$C$401,E33,Resultados!$U$2:$U$401,1))</f>
        <v>0.5</v>
      </c>
      <c r="L33" s="9" t="n">
        <f aca="false">IF(E33="","",SUMIFS(Resultados!$O$2:$O$401,Resultados!$D$2:$D$401,$A33,Resultados!$B$2:$B$401,$F$3,Resultados!$C$2:$C$401,E33,Resultados!$U$2:$U$401,1))</f>
        <v>0.5</v>
      </c>
      <c r="M33" s="9" t="n">
        <f aca="false">IF(E33="","",SUMIFS(Resultados!$P$2:$P$401,Resultados!$D$2:$D$401,$A33,Resultados!$B$2:$B$401,$F$3,Resultados!$C$2:$C$401,E33,Resultados!$U$2:$U$401,1))</f>
        <v>0.5</v>
      </c>
      <c r="N33" s="9" t="n">
        <f aca="false">IF(E33="","",SUMIFS(Resultados!$Q$2:$Q$401,Resultados!$D$2:$D$401,$A33,Resultados!$B$2:$B$401,$F$3,Resultados!$C$2:$C$401,E33,Resultados!$U$2:$U$401,1))</f>
        <v>0</v>
      </c>
    </row>
    <row r="34" customFormat="false" ht="15" hidden="false" customHeight="false" outlineLevel="0" collapsed="false">
      <c r="A34" s="0" t="str">
        <f aca="false">Unidades!B30</f>
        <v>CTA - Centro de Testagem e Aconselhamento</v>
      </c>
      <c r="B34" s="0" t="str">
        <f aca="false">Unidades!C30</f>
        <v>Atenção Especializada</v>
      </c>
      <c r="C34" s="7" t="n">
        <f aca="false">IF(_xlfn.MAXIFS(Resultados!$C$2:$C$401,Resultados!$D$2:$D$401,$A34,Resultados!$B$2:$B$401,$C$3,Resultados!$U$2:$U$401,1)=0,"",_xlfn.MAXIFS(Resultados!$C$2:$C$401,Resultados!$D$2:$D$401,$A34,Resultados!$B$2:$B$401,$C$3,Resultados!$U$2:$U$401,1))</f>
        <v>45268</v>
      </c>
      <c r="D34" s="9" t="n">
        <f aca="false">IF(C34="","",SUMIFS(Resultados!$R$2:$R$401,Resultados!$D$2:$D$401,$A34,Resultados!$B$2:$B$401,$C$3,Resultados!$C$2:$C$401,C34,Resultados!$U$2:$U$401,1))</f>
        <v>0.776785714285714</v>
      </c>
      <c r="E34" s="7" t="str">
        <f aca="false">IF(_xlfn.MAXIFS(Resultados!$C$2:$C$401,Resultados!$D$2:$D$401,$A34,Resultados!$B$2:$B$401,$F$3,Resultados!$U$2:$U$401,1)=0,"",_xlfn.MAXIFS(Resultados!$C$2:$C$401,Resultados!$D$2:$D$401,$A34,Resultados!$B$2:$B$401,$F$3,Resultados!$U$2:$U$401,1))</f>
        <v/>
      </c>
      <c r="F34" s="9" t="str">
        <f aca="false">IF(E34="","",SUMIFS(Resultados!$R$2:$R$401,Resultados!$D$2:$D$401,$A34,Resultados!$B$2:$B$401,$F$3,Resultados!$C$2:$C$401,E34,Resultados!$U$2:$U$401,1))</f>
        <v/>
      </c>
      <c r="G34" s="10" t="str">
        <f aca="false">IF(OR(D34="",F34=""),"",(F34-D34)*100)</f>
        <v/>
      </c>
      <c r="H34" s="7" t="n">
        <f aca="false">IF(_xlfn.MAXIFS(Resultados!$C$2:$C$401,Resultados!$D$2:$D$401,$A34,Resultados!$U$2:$U$401,1)=0,"",_xlfn.MAXIFS(Resultados!$C$2:$C$401,Resultados!$D$2:$D$401,$A34,Resultados!$U$2:$U$401,1))</f>
        <v>45268</v>
      </c>
      <c r="I34" s="7" t="n">
        <f aca="false">IF(H34="","",EDATE(H34,Unidades!F30))</f>
        <v>45451</v>
      </c>
      <c r="J34" s="0" t="str">
        <f aca="false">IF(Unidades!E30&lt;&gt;"ativa","suspensa",IF(H34="","sem visita",IF(I34&lt;$K$3,"atrasada",IF(I34&lt;=$K$3+30,"próximos 30 dias","em dia"))))</f>
        <v>atrasada</v>
      </c>
      <c r="K34" s="9" t="str">
        <f aca="false">IF(E34="","",SUMIFS(Resultados!$N$2:$N$401,Resultados!$D$2:$D$401,$A34,Resultados!$B$2:$B$401,$F$3,Resultados!$C$2:$C$401,E34,Resultados!$U$2:$U$401,1))</f>
        <v/>
      </c>
      <c r="L34" s="9" t="str">
        <f aca="false">IF(E34="","",SUMIFS(Resultados!$O$2:$O$401,Resultados!$D$2:$D$401,$A34,Resultados!$B$2:$B$401,$F$3,Resultados!$C$2:$C$401,E34,Resultados!$U$2:$U$401,1))</f>
        <v/>
      </c>
      <c r="M34" s="9" t="str">
        <f aca="false">IF(E34="","",SUMIFS(Resultados!$P$2:$P$401,Resultados!$D$2:$D$401,$A34,Resultados!$B$2:$B$401,$F$3,Resultados!$C$2:$C$401,E34,Resultados!$U$2:$U$401,1))</f>
        <v/>
      </c>
      <c r="N34" s="9" t="str">
        <f aca="false">IF(E34="","",SUMIFS(Resultados!$Q$2:$Q$401,Resultados!$D$2:$D$401,$A34,Resultados!$B$2:$B$401,$F$3,Resultados!$C$2:$C$401,E34,Resultados!$U$2:$U$401,1))</f>
        <v/>
      </c>
    </row>
    <row r="35" customFormat="false" ht="15" hidden="false" customHeight="false" outlineLevel="0" collapsed="false">
      <c r="A35" s="0" t="str">
        <f aca="false">Unidades!B31</f>
        <v>UBS Jardim Ipiranga</v>
      </c>
      <c r="B35" s="0" t="str">
        <f aca="false">Unidades!C31</f>
        <v>Unidade Básica de Saúde (UBS)</v>
      </c>
      <c r="C35" s="7" t="n">
        <f aca="false">IF(_xlfn.MAXIFS(Resultados!$C$2:$C$401,Resultados!$D$2:$D$401,$A35,Resultados!$B$2:$B$401,$C$3,Resultados!$U$2:$U$401,1)=0,"",_xlfn.MAXIFS(Resultados!$C$2:$C$401,Resultados!$D$2:$D$401,$A35,Resultados!$B$2:$B$401,$C$3,Resultados!$U$2:$U$401,1))</f>
        <v>45271</v>
      </c>
      <c r="D35" s="9" t="n">
        <f aca="false">IF(C35="","",SUMIFS(Resultados!$R$2:$R$401,Resultados!$D$2:$D$401,$A35,Resultados!$B$2:$B$401,$C$3,Resultados!$C$2:$C$401,C35,Resultados!$U$2:$U$401,1))</f>
        <v>0.611607142857143</v>
      </c>
      <c r="E35" s="7" t="n">
        <f aca="false">IF(_xlfn.MAXIFS(Resultados!$C$2:$C$401,Resultados!$D$2:$D$401,$A35,Resultados!$B$2:$B$401,$F$3,Resultados!$U$2:$U$401,1)=0,"",_xlfn.MAXIFS(Resultados!$C$2:$C$401,Resultados!$D$2:$D$401,$A35,Resultados!$B$2:$B$401,$F$3,Resultados!$U$2:$U$401,1))</f>
        <v>46189</v>
      </c>
      <c r="F35" s="9" t="n">
        <f aca="false">IF(E35="","",SUMIFS(Resultados!$R$2:$R$401,Resultados!$D$2:$D$401,$A35,Resultados!$B$2:$B$401,$F$3,Resultados!$C$2:$C$401,E35,Resultados!$U$2:$U$401,1))</f>
        <v>0.839285714285714</v>
      </c>
      <c r="G35" s="10" t="n">
        <f aca="false">IF(OR(D35="",F35=""),"",(F35-D35)*100)</f>
        <v>22.7678571428572</v>
      </c>
      <c r="H35" s="7" t="n">
        <f aca="false">IF(_xlfn.MAXIFS(Resultados!$C$2:$C$401,Resultados!$D$2:$D$401,$A35,Resultados!$U$2:$U$401,1)=0,"",_xlfn.MAXIFS(Resultados!$C$2:$C$401,Resultados!$D$2:$D$401,$A35,Resultados!$U$2:$U$401,1))</f>
        <v>46189</v>
      </c>
      <c r="I35" s="7" t="n">
        <f aca="false">IF(H35="","",EDATE(H35,Unidades!F31))</f>
        <v>46372</v>
      </c>
      <c r="J35" s="0" t="str">
        <f aca="false">IF(Unidades!E31&lt;&gt;"ativa","suspensa",IF(H35="","sem visita",IF(I35&lt;$K$3,"atrasada",IF(I35&lt;=$K$3+30,"próximos 30 dias","em dia"))))</f>
        <v>em dia</v>
      </c>
      <c r="K35" s="9" t="n">
        <f aca="false">IF(E35="","",SUMIFS(Resultados!$N$2:$N$401,Resultados!$D$2:$D$401,$A35,Resultados!$B$2:$B$401,$F$3,Resultados!$C$2:$C$401,E35,Resultados!$U$2:$U$401,1))</f>
        <v>0.857142857142857</v>
      </c>
      <c r="L35" s="9" t="n">
        <f aca="false">IF(E35="","",SUMIFS(Resultados!$O$2:$O$401,Resultados!$D$2:$D$401,$A35,Resultados!$B$2:$B$401,$F$3,Resultados!$C$2:$C$401,E35,Resultados!$U$2:$U$401,1))</f>
        <v>1</v>
      </c>
      <c r="M35" s="9" t="n">
        <f aca="false">IF(E35="","",SUMIFS(Resultados!$P$2:$P$401,Resultados!$D$2:$D$401,$A35,Resultados!$B$2:$B$401,$F$3,Resultados!$C$2:$C$401,E35,Resultados!$U$2:$U$401,1))</f>
        <v>0.5</v>
      </c>
      <c r="N35" s="9" t="n">
        <f aca="false">IF(E35="","",SUMIFS(Resultados!$Q$2:$Q$401,Resultados!$D$2:$D$401,$A35,Resultados!$B$2:$B$401,$F$3,Resultados!$C$2:$C$401,E35,Resultados!$U$2:$U$401,1))</f>
        <v>1</v>
      </c>
    </row>
    <row r="36" customFormat="false" ht="15" hidden="false" customHeight="false" outlineLevel="0" collapsed="false">
      <c r="A36" s="0" t="str">
        <f aca="false">Unidades!B32</f>
        <v>CAPS AD Vida Nova (Álcool e Drogas)</v>
      </c>
      <c r="B36" s="0" t="str">
        <f aca="false">Unidades!C32</f>
        <v>Centro de Atenção Psicossocial (CAPS)</v>
      </c>
      <c r="C36" s="7" t="n">
        <f aca="false">IF(_xlfn.MAXIFS(Resultados!$C$2:$C$401,Resultados!$D$2:$D$401,$A36,Resultados!$B$2:$B$401,$C$3,Resultados!$U$2:$U$401,1)=0,"",_xlfn.MAXIFS(Resultados!$C$2:$C$401,Resultados!$D$2:$D$401,$A36,Resultados!$B$2:$B$401,$C$3,Resultados!$U$2:$U$401,1))</f>
        <v>45257</v>
      </c>
      <c r="D36" s="9" t="n">
        <f aca="false">IF(C36="","",SUMIFS(Resultados!$R$2:$R$401,Resultados!$D$2:$D$401,$A36,Resultados!$B$2:$B$401,$C$3,Resultados!$C$2:$C$401,C36,Resultados!$U$2:$U$401,1))</f>
        <v>0.549107142857143</v>
      </c>
      <c r="E36" s="7" t="str">
        <f aca="false">IF(_xlfn.MAXIFS(Resultados!$C$2:$C$401,Resultados!$D$2:$D$401,$A36,Resultados!$B$2:$B$401,$F$3,Resultados!$U$2:$U$401,1)=0,"",_xlfn.MAXIFS(Resultados!$C$2:$C$401,Resultados!$D$2:$D$401,$A36,Resultados!$B$2:$B$401,$F$3,Resultados!$U$2:$U$401,1))</f>
        <v/>
      </c>
      <c r="F36" s="9" t="str">
        <f aca="false">IF(E36="","",SUMIFS(Resultados!$R$2:$R$401,Resultados!$D$2:$D$401,$A36,Resultados!$B$2:$B$401,$F$3,Resultados!$C$2:$C$401,E36,Resultados!$U$2:$U$401,1))</f>
        <v/>
      </c>
      <c r="G36" s="10" t="str">
        <f aca="false">IF(OR(D36="",F36=""),"",(F36-D36)*100)</f>
        <v/>
      </c>
      <c r="H36" s="7" t="n">
        <f aca="false">IF(_xlfn.MAXIFS(Resultados!$C$2:$C$401,Resultados!$D$2:$D$401,$A36,Resultados!$U$2:$U$401,1)=0,"",_xlfn.MAXIFS(Resultados!$C$2:$C$401,Resultados!$D$2:$D$401,$A36,Resultados!$U$2:$U$401,1))</f>
        <v>45257</v>
      </c>
      <c r="I36" s="7" t="n">
        <f aca="false">IF(H36="","",EDATE(H36,Unidades!F32))</f>
        <v>45439</v>
      </c>
      <c r="J36" s="0" t="str">
        <f aca="false">IF(Unidades!E32&lt;&gt;"ativa","suspensa",IF(H36="","sem visita",IF(I36&lt;$K$3,"atrasada",IF(I36&lt;=$K$3+30,"próximos 30 dias","em dia"))))</f>
        <v>atrasada</v>
      </c>
      <c r="K36" s="9" t="str">
        <f aca="false">IF(E36="","",SUMIFS(Resultados!$N$2:$N$401,Resultados!$D$2:$D$401,$A36,Resultados!$B$2:$B$401,$F$3,Resultados!$C$2:$C$401,E36,Resultados!$U$2:$U$401,1))</f>
        <v/>
      </c>
      <c r="L36" s="9" t="str">
        <f aca="false">IF(E36="","",SUMIFS(Resultados!$O$2:$O$401,Resultados!$D$2:$D$401,$A36,Resultados!$B$2:$B$401,$F$3,Resultados!$C$2:$C$401,E36,Resultados!$U$2:$U$401,1))</f>
        <v/>
      </c>
      <c r="M36" s="9" t="str">
        <f aca="false">IF(E36="","",SUMIFS(Resultados!$P$2:$P$401,Resultados!$D$2:$D$401,$A36,Resultados!$B$2:$B$401,$F$3,Resultados!$C$2:$C$401,E36,Resultados!$U$2:$U$401,1))</f>
        <v/>
      </c>
      <c r="N36" s="9" t="str">
        <f aca="false">IF(E36="","",SUMIFS(Resultados!$Q$2:$Q$401,Resultados!$D$2:$D$401,$A36,Resultados!$B$2:$B$401,$F$3,Resultados!$C$2:$C$401,E36,Resultados!$U$2:$U$401,1))</f>
        <v/>
      </c>
    </row>
    <row r="37" customFormat="false" ht="15" hidden="false" customHeight="false" outlineLevel="0" collapsed="false">
      <c r="A37" s="0" t="str">
        <f aca="false">Unidades!B33</f>
        <v>PA Antonio Zanaga</v>
      </c>
      <c r="B37" s="0" t="str">
        <f aca="false">Unidades!C33</f>
        <v>Urgência e Emergência</v>
      </c>
      <c r="C37" s="7" t="n">
        <f aca="false">IF(_xlfn.MAXIFS(Resultados!$C$2:$C$401,Resultados!$D$2:$D$401,$A37,Resultados!$B$2:$B$401,$C$3,Resultados!$U$2:$U$401,1)=0,"",_xlfn.MAXIFS(Resultados!$C$2:$C$401,Resultados!$D$2:$D$401,$A37,Resultados!$B$2:$B$401,$C$3,Resultados!$U$2:$U$401,1))</f>
        <v>45198</v>
      </c>
      <c r="D37" s="9" t="n">
        <f aca="false">IF(C37="","",SUMIFS(Resultados!$R$2:$R$401,Resultados!$D$2:$D$401,$A37,Resultados!$B$2:$B$401,$C$3,Resultados!$C$2:$C$401,C37,Resultados!$U$2:$U$401,1))</f>
        <v>0.583333333333333</v>
      </c>
      <c r="E37" s="7" t="n">
        <f aca="false">IF(_xlfn.MAXIFS(Resultados!$C$2:$C$401,Resultados!$D$2:$D$401,$A37,Resultados!$B$2:$B$401,$F$3,Resultados!$U$2:$U$401,1)=0,"",_xlfn.MAXIFS(Resultados!$C$2:$C$401,Resultados!$D$2:$D$401,$A37,Resultados!$B$2:$B$401,$F$3,Resultados!$U$2:$U$401,1))</f>
        <v>46107</v>
      </c>
      <c r="F37" s="9" t="n">
        <f aca="false">IF(E37="","",SUMIFS(Resultados!$R$2:$R$401,Resultados!$D$2:$D$401,$A37,Resultados!$B$2:$B$401,$F$3,Resultados!$C$2:$C$401,E37,Resultados!$U$2:$U$401,1))</f>
        <v>0.964285714285714</v>
      </c>
      <c r="G37" s="10" t="n">
        <f aca="false">IF(OR(D37="",F37=""),"",(F37-D37)*100)</f>
        <v>38.0952380952381</v>
      </c>
      <c r="H37" s="7" t="n">
        <f aca="false">IF(_xlfn.MAXIFS(Resultados!$C$2:$C$401,Resultados!$D$2:$D$401,$A37,Resultados!$U$2:$U$401,1)=0,"",_xlfn.MAXIFS(Resultados!$C$2:$C$401,Resultados!$D$2:$D$401,$A37,Resultados!$U$2:$U$401,1))</f>
        <v>46107</v>
      </c>
      <c r="I37" s="7" t="n">
        <f aca="false">IF(H37="","",EDATE(H37,Unidades!F33))</f>
        <v>46291</v>
      </c>
      <c r="J37" s="0" t="str">
        <f aca="false">IF(Unidades!E33&lt;&gt;"ativa","suspensa",IF(H37="","sem visita",IF(I37&lt;$K$3,"atrasada",IF(I37&lt;=$K$3+30,"próximos 30 dias","em dia"))))</f>
        <v>atrasada</v>
      </c>
      <c r="K37" s="9" t="n">
        <f aca="false">IF(E37="","",SUMIFS(Resultados!$N$2:$N$401,Resultados!$D$2:$D$401,$A37,Resultados!$B$2:$B$401,$F$3,Resultados!$C$2:$C$401,E37,Resultados!$U$2:$U$401,1))</f>
        <v>0.857142857142857</v>
      </c>
      <c r="L37" s="9" t="n">
        <f aca="false">IF(E37="","",SUMIFS(Resultados!$O$2:$O$401,Resultados!$D$2:$D$401,$A37,Resultados!$B$2:$B$401,$F$3,Resultados!$C$2:$C$401,E37,Resultados!$U$2:$U$401,1))</f>
        <v>1</v>
      </c>
      <c r="M37" s="9" t="n">
        <f aca="false">IF(E37="","",SUMIFS(Resultados!$P$2:$P$401,Resultados!$D$2:$D$401,$A37,Resultados!$B$2:$B$401,$F$3,Resultados!$C$2:$C$401,E37,Resultados!$U$2:$U$401,1))</f>
        <v>1</v>
      </c>
      <c r="N37" s="9" t="n">
        <f aca="false">IF(E37="","",SUMIFS(Resultados!$Q$2:$Q$401,Resultados!$D$2:$D$401,$A37,Resultados!$B$2:$B$401,$F$3,Resultados!$C$2:$C$401,E37,Resultados!$U$2:$U$401,1))</f>
        <v>1</v>
      </c>
    </row>
    <row r="38" customFormat="false" ht="15" hidden="false" customHeight="false" outlineLevel="0" collapsed="false">
      <c r="A38" s="0" t="str">
        <f aca="false">Unidades!B34</f>
        <v>UBS Dona Rosa</v>
      </c>
      <c r="B38" s="0" t="str">
        <f aca="false">Unidades!C34</f>
        <v>Unidade Básica de Saúde (UBS)</v>
      </c>
      <c r="C38" s="7" t="n">
        <f aca="false">IF(_xlfn.MAXIFS(Resultados!$C$2:$C$401,Resultados!$D$2:$D$401,$A38,Resultados!$B$2:$B$401,$C$3,Resultados!$U$2:$U$401,1)=0,"",_xlfn.MAXIFS(Resultados!$C$2:$C$401,Resultados!$D$2:$D$401,$A38,Resultados!$B$2:$B$401,$C$3,Resultados!$U$2:$U$401,1))</f>
        <v>45229</v>
      </c>
      <c r="D38" s="9" t="n">
        <f aca="false">IF(C38="","",SUMIFS(Resultados!$R$2:$R$401,Resultados!$D$2:$D$401,$A38,Resultados!$B$2:$B$401,$C$3,Resultados!$C$2:$C$401,C38,Resultados!$U$2:$U$401,1))</f>
        <v>0.714285714285714</v>
      </c>
      <c r="E38" s="7" t="str">
        <f aca="false">IF(_xlfn.MAXIFS(Resultados!$C$2:$C$401,Resultados!$D$2:$D$401,$A38,Resultados!$B$2:$B$401,$F$3,Resultados!$U$2:$U$401,1)=0,"",_xlfn.MAXIFS(Resultados!$C$2:$C$401,Resultados!$D$2:$D$401,$A38,Resultados!$B$2:$B$401,$F$3,Resultados!$U$2:$U$401,1))</f>
        <v/>
      </c>
      <c r="F38" s="9" t="str">
        <f aca="false">IF(E38="","",SUMIFS(Resultados!$R$2:$R$401,Resultados!$D$2:$D$401,$A38,Resultados!$B$2:$B$401,$F$3,Resultados!$C$2:$C$401,E38,Resultados!$U$2:$U$401,1))</f>
        <v/>
      </c>
      <c r="G38" s="10" t="str">
        <f aca="false">IF(OR(D38="",F38=""),"",(F38-D38)*100)</f>
        <v/>
      </c>
      <c r="H38" s="7" t="n">
        <f aca="false">IF(_xlfn.MAXIFS(Resultados!$C$2:$C$401,Resultados!$D$2:$D$401,$A38,Resultados!$U$2:$U$401,1)=0,"",_xlfn.MAXIFS(Resultados!$C$2:$C$401,Resultados!$D$2:$D$401,$A38,Resultados!$U$2:$U$401,1))</f>
        <v>45229</v>
      </c>
      <c r="I38" s="7" t="n">
        <f aca="false">IF(H38="","",EDATE(H38,Unidades!F34))</f>
        <v>45412</v>
      </c>
      <c r="J38" s="0" t="str">
        <f aca="false">IF(Unidades!E34&lt;&gt;"ativa","suspensa",IF(H38="","sem visita",IF(I38&lt;$K$3,"atrasada",IF(I38&lt;=$K$3+30,"próximos 30 dias","em dia"))))</f>
        <v>atrasada</v>
      </c>
      <c r="K38" s="9" t="str">
        <f aca="false">IF(E38="","",SUMIFS(Resultados!$N$2:$N$401,Resultados!$D$2:$D$401,$A38,Resultados!$B$2:$B$401,$F$3,Resultados!$C$2:$C$401,E38,Resultados!$U$2:$U$401,1))</f>
        <v/>
      </c>
      <c r="L38" s="9" t="str">
        <f aca="false">IF(E38="","",SUMIFS(Resultados!$O$2:$O$401,Resultados!$D$2:$D$401,$A38,Resultados!$B$2:$B$401,$F$3,Resultados!$C$2:$C$401,E38,Resultados!$U$2:$U$401,1))</f>
        <v/>
      </c>
      <c r="M38" s="9" t="str">
        <f aca="false">IF(E38="","",SUMIFS(Resultados!$P$2:$P$401,Resultados!$D$2:$D$401,$A38,Resultados!$B$2:$B$401,$F$3,Resultados!$C$2:$C$401,E38,Resultados!$U$2:$U$401,1))</f>
        <v/>
      </c>
      <c r="N38" s="9" t="str">
        <f aca="false">IF(E38="","",SUMIFS(Resultados!$Q$2:$Q$401,Resultados!$D$2:$D$401,$A38,Resultados!$B$2:$B$401,$F$3,Resultados!$C$2:$C$401,E38,Resultados!$U$2:$U$401,1))</f>
        <v/>
      </c>
    </row>
    <row r="39" customFormat="false" ht="15" hidden="false" customHeight="false" outlineLevel="0" collapsed="false">
      <c r="A39" s="0" t="str">
        <f aca="false">Unidades!B35</f>
        <v>UBS Jardim Boer</v>
      </c>
      <c r="B39" s="0" t="str">
        <f aca="false">Unidades!C35</f>
        <v>Unidade Básica de Saúde (UBS)</v>
      </c>
      <c r="C39" s="7" t="n">
        <f aca="false">IF(_xlfn.MAXIFS(Resultados!$C$2:$C$401,Resultados!$D$2:$D$401,$A39,Resultados!$B$2:$B$401,$C$3,Resultados!$U$2:$U$401,1)=0,"",_xlfn.MAXIFS(Resultados!$C$2:$C$401,Resultados!$D$2:$D$401,$A39,Resultados!$B$2:$B$401,$C$3,Resultados!$U$2:$U$401,1))</f>
        <v>45251</v>
      </c>
      <c r="D39" s="9" t="n">
        <f aca="false">IF(C39="","",SUMIFS(Resultados!$R$2:$R$401,Resultados!$D$2:$D$401,$A39,Resultados!$B$2:$B$401,$C$3,Resultados!$C$2:$C$401,C39,Resultados!$U$2:$U$401,1))</f>
        <v>0.723214285714286</v>
      </c>
      <c r="E39" s="7" t="n">
        <f aca="false">IF(_xlfn.MAXIFS(Resultados!$C$2:$C$401,Resultados!$D$2:$D$401,$A39,Resultados!$B$2:$B$401,$F$3,Resultados!$U$2:$U$401,1)=0,"",_xlfn.MAXIFS(Resultados!$C$2:$C$401,Resultados!$D$2:$D$401,$A39,Resultados!$B$2:$B$401,$F$3,Resultados!$U$2:$U$401,1))</f>
        <v>46163</v>
      </c>
      <c r="F39" s="9" t="n">
        <f aca="false">IF(E39="","",SUMIFS(Resultados!$R$2:$R$401,Resultados!$D$2:$D$401,$A39,Resultados!$B$2:$B$401,$F$3,Resultados!$C$2:$C$401,E39,Resultados!$U$2:$U$401,1))</f>
        <v>0.830357142857143</v>
      </c>
      <c r="G39" s="10" t="n">
        <f aca="false">IF(OR(D39="",F39=""),"",(F39-D39)*100)</f>
        <v>10.7142857142857</v>
      </c>
      <c r="H39" s="7" t="n">
        <f aca="false">IF(_xlfn.MAXIFS(Resultados!$C$2:$C$401,Resultados!$D$2:$D$401,$A39,Resultados!$U$2:$U$401,1)=0,"",_xlfn.MAXIFS(Resultados!$C$2:$C$401,Resultados!$D$2:$D$401,$A39,Resultados!$U$2:$U$401,1))</f>
        <v>46163</v>
      </c>
      <c r="I39" s="7" t="n">
        <f aca="false">IF(H39="","",EDATE(H39,Unidades!F35))</f>
        <v>46347</v>
      </c>
      <c r="J39" s="0" t="str">
        <f aca="false">IF(Unidades!E35&lt;&gt;"ativa","suspensa",IF(H39="","sem visita",IF(I39&lt;$K$3,"atrasada",IF(I39&lt;=$K$3+30,"próximos 30 dias","em dia"))))</f>
        <v>em dia</v>
      </c>
      <c r="K39" s="9" t="n">
        <f aca="false">IF(E39="","",SUMIFS(Resultados!$N$2:$N$401,Resultados!$D$2:$D$401,$A39,Resultados!$B$2:$B$401,$F$3,Resultados!$C$2:$C$401,E39,Resultados!$U$2:$U$401,1))</f>
        <v>0.571428571428571</v>
      </c>
      <c r="L39" s="9" t="n">
        <f aca="false">IF(E39="","",SUMIFS(Resultados!$O$2:$O$401,Resultados!$D$2:$D$401,$A39,Resultados!$B$2:$B$401,$F$3,Resultados!$C$2:$C$401,E39,Resultados!$U$2:$U$401,1))</f>
        <v>0.75</v>
      </c>
      <c r="M39" s="9" t="n">
        <f aca="false">IF(E39="","",SUMIFS(Resultados!$P$2:$P$401,Resultados!$D$2:$D$401,$A39,Resultados!$B$2:$B$401,$F$3,Resultados!$C$2:$C$401,E39,Resultados!$U$2:$U$401,1))</f>
        <v>1</v>
      </c>
      <c r="N39" s="9" t="n">
        <f aca="false">IF(E39="","",SUMIFS(Resultados!$Q$2:$Q$401,Resultados!$D$2:$D$401,$A39,Resultados!$B$2:$B$401,$F$3,Resultados!$C$2:$C$401,E39,Resultados!$U$2:$U$401,1))</f>
        <v>1</v>
      </c>
    </row>
    <row r="40" customFormat="false" ht="15" hidden="false" customHeight="false" outlineLevel="0" collapsed="false">
      <c r="A40" s="0" t="str">
        <f aca="false">Unidades!B36</f>
        <v>ESF Alvorada</v>
      </c>
      <c r="B40" s="0" t="str">
        <f aca="false">Unidades!C36</f>
        <v>Estratégia Saúde da Família (ESF)</v>
      </c>
      <c r="C40" s="7" t="n">
        <f aca="false">IF(_xlfn.MAXIFS(Resultados!$C$2:$C$401,Resultados!$D$2:$D$401,$A40,Resultados!$B$2:$B$401,$C$3,Resultados!$U$2:$U$401,1)=0,"",_xlfn.MAXIFS(Resultados!$C$2:$C$401,Resultados!$D$2:$D$401,$A40,Resultados!$B$2:$B$401,$C$3,Resultados!$U$2:$U$401,1))</f>
        <v>45124</v>
      </c>
      <c r="D40" s="9" t="n">
        <f aca="false">IF(C40="","",SUMIFS(Resultados!$R$2:$R$401,Resultados!$D$2:$D$401,$A40,Resultados!$B$2:$B$401,$C$3,Resultados!$C$2:$C$401,C40,Resultados!$U$2:$U$401,1))</f>
        <v>0.583333333333333</v>
      </c>
      <c r="E40" s="7" t="n">
        <f aca="false">IF(_xlfn.MAXIFS(Resultados!$C$2:$C$401,Resultados!$D$2:$D$401,$A40,Resultados!$B$2:$B$401,$F$3,Resultados!$U$2:$U$401,1)=0,"",_xlfn.MAXIFS(Resultados!$C$2:$C$401,Resultados!$D$2:$D$401,$A40,Resultados!$B$2:$B$401,$F$3,Resultados!$U$2:$U$401,1))</f>
        <v>46136</v>
      </c>
      <c r="F40" s="9" t="n">
        <f aca="false">IF(E40="","",SUMIFS(Resultados!$R$2:$R$401,Resultados!$D$2:$D$401,$A40,Resultados!$B$2:$B$401,$F$3,Resultados!$C$2:$C$401,E40,Resultados!$U$2:$U$401,1))</f>
        <v>0.834821428571429</v>
      </c>
      <c r="G40" s="10" t="n">
        <f aca="false">IF(OR(D40="",F40=""),"",(F40-D40)*100)</f>
        <v>25.1488095238095</v>
      </c>
      <c r="H40" s="7" t="n">
        <f aca="false">IF(_xlfn.MAXIFS(Resultados!$C$2:$C$401,Resultados!$D$2:$D$401,$A40,Resultados!$U$2:$U$401,1)=0,"",_xlfn.MAXIFS(Resultados!$C$2:$C$401,Resultados!$D$2:$D$401,$A40,Resultados!$U$2:$U$401,1))</f>
        <v>46136</v>
      </c>
      <c r="I40" s="7" t="n">
        <f aca="false">IF(H40="","",EDATE(H40,Unidades!F36))</f>
        <v>46319</v>
      </c>
      <c r="J40" s="0" t="str">
        <f aca="false">IF(Unidades!E36&lt;&gt;"ativa","suspensa",IF(H40="","sem visita",IF(I40&lt;$K$3,"atrasada",IF(I40&lt;=$K$3+30,"próximos 30 dias","em dia"))))</f>
        <v>próximos 30 dias</v>
      </c>
      <c r="K40" s="9" t="n">
        <f aca="false">IF(E40="","",SUMIFS(Resultados!$N$2:$N$401,Resultados!$D$2:$D$401,$A40,Resultados!$B$2:$B$401,$F$3,Resultados!$C$2:$C$401,E40,Resultados!$U$2:$U$401,1))</f>
        <v>0.714285714285714</v>
      </c>
      <c r="L40" s="9" t="n">
        <f aca="false">IF(E40="","",SUMIFS(Resultados!$O$2:$O$401,Resultados!$D$2:$D$401,$A40,Resultados!$B$2:$B$401,$F$3,Resultados!$C$2:$C$401,E40,Resultados!$U$2:$U$401,1))</f>
        <v>0.625</v>
      </c>
      <c r="M40" s="9" t="n">
        <f aca="false">IF(E40="","",SUMIFS(Resultados!$P$2:$P$401,Resultados!$D$2:$D$401,$A40,Resultados!$B$2:$B$401,$F$3,Resultados!$C$2:$C$401,E40,Resultados!$U$2:$U$401,1))</f>
        <v>1</v>
      </c>
      <c r="N40" s="9" t="n">
        <f aca="false">IF(E40="","",SUMIFS(Resultados!$Q$2:$Q$401,Resultados!$D$2:$D$401,$A40,Resultados!$B$2:$B$401,$F$3,Resultados!$C$2:$C$401,E40,Resultados!$U$2:$U$401,1))</f>
        <v>1</v>
      </c>
    </row>
    <row r="41" customFormat="false" ht="15" hidden="false" customHeight="false" outlineLevel="0" collapsed="false">
      <c r="A41" s="0" t="str">
        <f aca="false">Unidades!B37</f>
        <v>ESF Mário Covas</v>
      </c>
      <c r="B41" s="0" t="str">
        <f aca="false">Unidades!C37</f>
        <v>Estratégia Saúde da Família (ESF)</v>
      </c>
      <c r="C41" s="7" t="n">
        <f aca="false">IF(_xlfn.MAXIFS(Resultados!$C$2:$C$401,Resultados!$D$2:$D$401,$A41,Resultados!$B$2:$B$401,$C$3,Resultados!$U$2:$U$401,1)=0,"",_xlfn.MAXIFS(Resultados!$C$2:$C$401,Resultados!$D$2:$D$401,$A41,Resultados!$B$2:$B$401,$C$3,Resultados!$U$2:$U$401,1))</f>
        <v>45229</v>
      </c>
      <c r="D41" s="9" t="n">
        <f aca="false">IF(C41="","",SUMIFS(Resultados!$R$2:$R$401,Resultados!$D$2:$D$401,$A41,Resultados!$B$2:$B$401,$C$3,Resultados!$C$2:$C$401,C41,Resultados!$U$2:$U$401,1))</f>
        <v>0.629464285714286</v>
      </c>
      <c r="E41" s="7" t="n">
        <f aca="false">IF(_xlfn.MAXIFS(Resultados!$C$2:$C$401,Resultados!$D$2:$D$401,$A41,Resultados!$B$2:$B$401,$F$3,Resultados!$U$2:$U$401,1)=0,"",_xlfn.MAXIFS(Resultados!$C$2:$C$401,Resultados!$D$2:$D$401,$A41,Resultados!$B$2:$B$401,$F$3,Resultados!$U$2:$U$401,1))</f>
        <v>46240</v>
      </c>
      <c r="F41" s="9" t="n">
        <f aca="false">IF(E41="","",SUMIFS(Resultados!$R$2:$R$401,Resultados!$D$2:$D$401,$A41,Resultados!$B$2:$B$401,$F$3,Resultados!$C$2:$C$401,E41,Resultados!$U$2:$U$401,1))</f>
        <v>0.616071428571429</v>
      </c>
      <c r="G41" s="10" t="n">
        <f aca="false">IF(OR(D41="",F41=""),"",(F41-D41)*100)</f>
        <v>-1.33928571428571</v>
      </c>
      <c r="H41" s="7" t="n">
        <f aca="false">IF(_xlfn.MAXIFS(Resultados!$C$2:$C$401,Resultados!$D$2:$D$401,$A41,Resultados!$U$2:$U$401,1)=0,"",_xlfn.MAXIFS(Resultados!$C$2:$C$401,Resultados!$D$2:$D$401,$A41,Resultados!$U$2:$U$401,1))</f>
        <v>46240</v>
      </c>
      <c r="I41" s="7" t="n">
        <f aca="false">IF(H41="","",EDATE(H41,Unidades!F37))</f>
        <v>46424</v>
      </c>
      <c r="J41" s="0" t="str">
        <f aca="false">IF(Unidades!E37&lt;&gt;"ativa","suspensa",IF(H41="","sem visita",IF(I41&lt;$K$3,"atrasada",IF(I41&lt;=$K$3+30,"próximos 30 dias","em dia"))))</f>
        <v>em dia</v>
      </c>
      <c r="K41" s="9" t="n">
        <f aca="false">IF(E41="","",SUMIFS(Resultados!$N$2:$N$401,Resultados!$D$2:$D$401,$A41,Resultados!$B$2:$B$401,$F$3,Resultados!$C$2:$C$401,E41,Resultados!$U$2:$U$401,1))</f>
        <v>0.714285714285714</v>
      </c>
      <c r="L41" s="9" t="n">
        <f aca="false">IF(E41="","",SUMIFS(Resultados!$O$2:$O$401,Resultados!$D$2:$D$401,$A41,Resultados!$B$2:$B$401,$F$3,Resultados!$C$2:$C$401,E41,Resultados!$U$2:$U$401,1))</f>
        <v>0.5</v>
      </c>
      <c r="M41" s="9" t="n">
        <f aca="false">IF(E41="","",SUMIFS(Resultados!$P$2:$P$401,Resultados!$D$2:$D$401,$A41,Resultados!$B$2:$B$401,$F$3,Resultados!$C$2:$C$401,E41,Resultados!$U$2:$U$401,1))</f>
        <v>0.5</v>
      </c>
      <c r="N41" s="9" t="n">
        <f aca="false">IF(E41="","",SUMIFS(Resultados!$Q$2:$Q$401,Resultados!$D$2:$D$401,$A41,Resultados!$B$2:$B$401,$F$3,Resultados!$C$2:$C$401,E41,Resultados!$U$2:$U$401,1))</f>
        <v>0.75</v>
      </c>
    </row>
    <row r="42" customFormat="false" ht="15" hidden="false" customHeight="false" outlineLevel="0" collapsed="false">
      <c r="A42" s="0" t="str">
        <f aca="false">Unidades!B38</f>
        <v>Núcleo de Especialidades de Americana</v>
      </c>
      <c r="B42" s="0" t="str">
        <f aca="false">Unidades!C38</f>
        <v>Atenção Especializada</v>
      </c>
      <c r="C42" s="7" t="n">
        <f aca="false">IF(_xlfn.MAXIFS(Resultados!$C$2:$C$401,Resultados!$D$2:$D$401,$A42,Resultados!$B$2:$B$401,$C$3,Resultados!$U$2:$U$401,1)=0,"",_xlfn.MAXIFS(Resultados!$C$2:$C$401,Resultados!$D$2:$D$401,$A42,Resultados!$B$2:$B$401,$C$3,Resultados!$U$2:$U$401,1))</f>
        <v>45124</v>
      </c>
      <c r="D42" s="9" t="n">
        <f aca="false">IF(C42="","",SUMIFS(Resultados!$R$2:$R$401,Resultados!$D$2:$D$401,$A42,Resultados!$B$2:$B$401,$C$3,Resultados!$C$2:$C$401,C42,Resultados!$U$2:$U$401,1))</f>
        <v>0.571428571428571</v>
      </c>
      <c r="E42" s="7" t="n">
        <f aca="false">IF(_xlfn.MAXIFS(Resultados!$C$2:$C$401,Resultados!$D$2:$D$401,$A42,Resultados!$B$2:$B$401,$F$3,Resultados!$U$2:$U$401,1)=0,"",_xlfn.MAXIFS(Resultados!$C$2:$C$401,Resultados!$D$2:$D$401,$A42,Resultados!$B$2:$B$401,$F$3,Resultados!$U$2:$U$401,1))</f>
        <v>46119</v>
      </c>
      <c r="F42" s="9" t="n">
        <f aca="false">IF(E42="","",SUMIFS(Resultados!$R$2:$R$401,Resultados!$D$2:$D$401,$A42,Resultados!$B$2:$B$401,$F$3,Resultados!$C$2:$C$401,E42,Resultados!$U$2:$U$401,1))</f>
        <v>0.875</v>
      </c>
      <c r="G42" s="10" t="n">
        <f aca="false">IF(OR(D42="",F42=""),"",(F42-D42)*100)</f>
        <v>30.3571428571429</v>
      </c>
      <c r="H42" s="7" t="n">
        <f aca="false">IF(_xlfn.MAXIFS(Resultados!$C$2:$C$401,Resultados!$D$2:$D$401,$A42,Resultados!$U$2:$U$401,1)=0,"",_xlfn.MAXIFS(Resultados!$C$2:$C$401,Resultados!$D$2:$D$401,$A42,Resultados!$U$2:$U$401,1))</f>
        <v>46119</v>
      </c>
      <c r="I42" s="7" t="n">
        <f aca="false">IF(H42="","",EDATE(H42,Unidades!F38))</f>
        <v>46302</v>
      </c>
      <c r="J42" s="0" t="str">
        <f aca="false">IF(Unidades!E38&lt;&gt;"ativa","suspensa",IF(H42="","sem visita",IF(I42&lt;$K$3,"atrasada",IF(I42&lt;=$K$3+30,"próximos 30 dias","em dia"))))</f>
        <v>próximos 30 dias</v>
      </c>
      <c r="K42" s="9" t="n">
        <f aca="false">IF(E42="","",SUMIFS(Resultados!$N$2:$N$401,Resultados!$D$2:$D$401,$A42,Resultados!$B$2:$B$401,$F$3,Resultados!$C$2:$C$401,E42,Resultados!$U$2:$U$401,1))</f>
        <v>1</v>
      </c>
      <c r="L42" s="9" t="n">
        <f aca="false">IF(E42="","",SUMIFS(Resultados!$O$2:$O$401,Resultados!$D$2:$D$401,$A42,Resultados!$B$2:$B$401,$F$3,Resultados!$C$2:$C$401,E42,Resultados!$U$2:$U$401,1))</f>
        <v>0.75</v>
      </c>
      <c r="M42" s="9" t="n">
        <f aca="false">IF(E42="","",SUMIFS(Resultados!$P$2:$P$401,Resultados!$D$2:$D$401,$A42,Resultados!$B$2:$B$401,$F$3,Resultados!$C$2:$C$401,E42,Resultados!$U$2:$U$401,1))</f>
        <v>1</v>
      </c>
      <c r="N42" s="9" t="n">
        <f aca="false">IF(E42="","",SUMIFS(Resultados!$Q$2:$Q$401,Resultados!$D$2:$D$401,$A42,Resultados!$B$2:$B$401,$F$3,Resultados!$C$2:$C$401,E42,Resultados!$U$2:$U$401,1))</f>
        <v>0.75</v>
      </c>
    </row>
    <row r="43" customFormat="false" ht="15" hidden="false" customHeight="false" outlineLevel="0" collapsed="false">
      <c r="A43" s="0" t="str">
        <f aca="false">Unidades!B39</f>
        <v>UBS São Domingos</v>
      </c>
      <c r="B43" s="0" t="str">
        <f aca="false">Unidades!C39</f>
        <v>Unidade Básica de Saúde (UBS)</v>
      </c>
      <c r="C43" s="7" t="n">
        <f aca="false">IF(_xlfn.MAXIFS(Resultados!$C$2:$C$401,Resultados!$D$2:$D$401,$A43,Resultados!$B$2:$B$401,$C$3,Resultados!$U$2:$U$401,1)=0,"",_xlfn.MAXIFS(Resultados!$C$2:$C$401,Resultados!$D$2:$D$401,$A43,Resultados!$B$2:$B$401,$C$3,Resultados!$U$2:$U$401,1))</f>
        <v>45104</v>
      </c>
      <c r="D43" s="9" t="n">
        <f aca="false">IF(C43="","",SUMIFS(Resultados!$R$2:$R$401,Resultados!$D$2:$D$401,$A43,Resultados!$B$2:$B$401,$C$3,Resultados!$C$2:$C$401,C43,Resultados!$U$2:$U$401,1))</f>
        <v>0.660714285714286</v>
      </c>
      <c r="E43" s="7" t="n">
        <f aca="false">IF(_xlfn.MAXIFS(Resultados!$C$2:$C$401,Resultados!$D$2:$D$401,$A43,Resultados!$B$2:$B$401,$F$3,Resultados!$U$2:$U$401,1)=0,"",_xlfn.MAXIFS(Resultados!$C$2:$C$401,Resultados!$D$2:$D$401,$A43,Resultados!$B$2:$B$401,$F$3,Resultados!$U$2:$U$401,1))</f>
        <v>46134</v>
      </c>
      <c r="F43" s="9" t="n">
        <f aca="false">IF(E43="","",SUMIFS(Resultados!$R$2:$R$401,Resultados!$D$2:$D$401,$A43,Resultados!$B$2:$B$401,$F$3,Resultados!$C$2:$C$401,E43,Resultados!$U$2:$U$401,1))</f>
        <v>0.901785714285714</v>
      </c>
      <c r="G43" s="10" t="n">
        <f aca="false">IF(OR(D43="",F43=""),"",(F43-D43)*100)</f>
        <v>24.1071428571429</v>
      </c>
      <c r="H43" s="7" t="n">
        <f aca="false">IF(_xlfn.MAXIFS(Resultados!$C$2:$C$401,Resultados!$D$2:$D$401,$A43,Resultados!$U$2:$U$401,1)=0,"",_xlfn.MAXIFS(Resultados!$C$2:$C$401,Resultados!$D$2:$D$401,$A43,Resultados!$U$2:$U$401,1))</f>
        <v>46134</v>
      </c>
      <c r="I43" s="7" t="n">
        <f aca="false">IF(H43="","",EDATE(H43,Unidades!F39))</f>
        <v>46317</v>
      </c>
      <c r="J43" s="0" t="str">
        <f aca="false">IF(Unidades!E39&lt;&gt;"ativa","suspensa",IF(H43="","sem visita",IF(I43&lt;$K$3,"atrasada",IF(I43&lt;=$K$3+30,"próximos 30 dias","em dia"))))</f>
        <v>próximos 30 dias</v>
      </c>
      <c r="K43" s="9" t="n">
        <f aca="false">IF(E43="","",SUMIFS(Resultados!$N$2:$N$401,Resultados!$D$2:$D$401,$A43,Resultados!$B$2:$B$401,$F$3,Resultados!$C$2:$C$401,E43,Resultados!$U$2:$U$401,1))</f>
        <v>0.857142857142857</v>
      </c>
      <c r="L43" s="9" t="n">
        <f aca="false">IF(E43="","",SUMIFS(Resultados!$O$2:$O$401,Resultados!$D$2:$D$401,$A43,Resultados!$B$2:$B$401,$F$3,Resultados!$C$2:$C$401,E43,Resultados!$U$2:$U$401,1))</f>
        <v>0.75</v>
      </c>
      <c r="M43" s="9" t="n">
        <f aca="false">IF(E43="","",SUMIFS(Resultados!$P$2:$P$401,Resultados!$D$2:$D$401,$A43,Resultados!$B$2:$B$401,$F$3,Resultados!$C$2:$C$401,E43,Resultados!$U$2:$U$401,1))</f>
        <v>1</v>
      </c>
      <c r="N43" s="9" t="n">
        <f aca="false">IF(E43="","",SUMIFS(Resultados!$Q$2:$Q$401,Resultados!$D$2:$D$401,$A43,Resultados!$B$2:$B$401,$F$3,Resultados!$C$2:$C$401,E43,Resultados!$U$2:$U$401,1))</f>
        <v>1</v>
      </c>
    </row>
    <row r="44" customFormat="false" ht="15" hidden="false" customHeight="false" outlineLevel="0" collapsed="false">
      <c r="A44" s="0" t="str">
        <f aca="false">Unidades!B40</f>
        <v>UBS Guanabara</v>
      </c>
      <c r="B44" s="0" t="str">
        <f aca="false">Unidades!C40</f>
        <v>Unidade Básica de Saúde (UBS)</v>
      </c>
      <c r="C44" s="7" t="n">
        <f aca="false">IF(_xlfn.MAXIFS(Resultados!$C$2:$C$401,Resultados!$D$2:$D$401,$A44,Resultados!$B$2:$B$401,$C$3,Resultados!$U$2:$U$401,1)=0,"",_xlfn.MAXIFS(Resultados!$C$2:$C$401,Resultados!$D$2:$D$401,$A44,Resultados!$B$2:$B$401,$C$3,Resultados!$U$2:$U$401,1))</f>
        <v>45166</v>
      </c>
      <c r="D44" s="9" t="n">
        <f aca="false">IF(C44="","",SUMIFS(Resultados!$R$2:$R$401,Resultados!$D$2:$D$401,$A44,Resultados!$B$2:$B$401,$C$3,Resultados!$C$2:$C$401,C44,Resultados!$U$2:$U$401,1))</f>
        <v>0.763392857142857</v>
      </c>
      <c r="E44" s="7" t="n">
        <f aca="false">IF(_xlfn.MAXIFS(Resultados!$C$2:$C$401,Resultados!$D$2:$D$401,$A44,Resultados!$B$2:$B$401,$F$3,Resultados!$U$2:$U$401,1)=0,"",_xlfn.MAXIFS(Resultados!$C$2:$C$401,Resultados!$D$2:$D$401,$A44,Resultados!$B$2:$B$401,$F$3,Resultados!$U$2:$U$401,1))</f>
        <v>46198</v>
      </c>
      <c r="F44" s="9" t="n">
        <f aca="false">IF(E44="","",SUMIFS(Resultados!$R$2:$R$401,Resultados!$D$2:$D$401,$A44,Resultados!$B$2:$B$401,$F$3,Resultados!$C$2:$C$401,E44,Resultados!$U$2:$U$401,1))</f>
        <v>0.5625</v>
      </c>
      <c r="G44" s="10" t="n">
        <f aca="false">IF(OR(D44="",F44=""),"",(F44-D44)*100)</f>
        <v>-20.0892857142857</v>
      </c>
      <c r="H44" s="7" t="n">
        <f aca="false">IF(_xlfn.MAXIFS(Resultados!$C$2:$C$401,Resultados!$D$2:$D$401,$A44,Resultados!$U$2:$U$401,1)=0,"",_xlfn.MAXIFS(Resultados!$C$2:$C$401,Resultados!$D$2:$D$401,$A44,Resultados!$U$2:$U$401,1))</f>
        <v>46198</v>
      </c>
      <c r="I44" s="7" t="n">
        <f aca="false">IF(H44="","",EDATE(H44,Unidades!F40))</f>
        <v>46381</v>
      </c>
      <c r="J44" s="0" t="str">
        <f aca="false">IF(Unidades!E40&lt;&gt;"ativa","suspensa",IF(H44="","sem visita",IF(I44&lt;$K$3,"atrasada",IF(I44&lt;=$K$3+30,"próximos 30 dias","em dia"))))</f>
        <v>em dia</v>
      </c>
      <c r="K44" s="9" t="n">
        <f aca="false">IF(E44="","",SUMIFS(Resultados!$N$2:$N$401,Resultados!$D$2:$D$401,$A44,Resultados!$B$2:$B$401,$F$3,Resultados!$C$2:$C$401,E44,Resultados!$U$2:$U$401,1))</f>
        <v>0.5</v>
      </c>
      <c r="L44" s="9" t="n">
        <f aca="false">IF(E44="","",SUMIFS(Resultados!$O$2:$O$401,Resultados!$D$2:$D$401,$A44,Resultados!$B$2:$B$401,$F$3,Resultados!$C$2:$C$401,E44,Resultados!$U$2:$U$401,1))</f>
        <v>0.75</v>
      </c>
      <c r="M44" s="9" t="n">
        <f aca="false">IF(E44="","",SUMIFS(Resultados!$P$2:$P$401,Resultados!$D$2:$D$401,$A44,Resultados!$B$2:$B$401,$F$3,Resultados!$C$2:$C$401,E44,Resultados!$U$2:$U$401,1))</f>
        <v>0.5</v>
      </c>
      <c r="N44" s="9" t="n">
        <f aca="false">IF(E44="","",SUMIFS(Resultados!$Q$2:$Q$401,Resultados!$D$2:$D$401,$A44,Resultados!$B$2:$B$401,$F$3,Resultados!$C$2:$C$401,E44,Resultados!$U$2:$U$401,1))</f>
        <v>0.5</v>
      </c>
    </row>
    <row r="45" customFormat="false" ht="15" hidden="false" customHeight="false" outlineLevel="0" collapsed="false">
      <c r="A45" s="0" t="str">
        <f aca="false">Unidades!B41</f>
        <v>UBS Liberdade</v>
      </c>
      <c r="B45" s="0" t="str">
        <f aca="false">Unidades!C41</f>
        <v>Unidade Básica de Saúde (UBS)</v>
      </c>
      <c r="C45" s="7" t="str">
        <f aca="false">IF(_xlfn.MAXIFS(Resultados!$C$2:$C$401,Resultados!$D$2:$D$401,$A45,Resultados!$B$2:$B$401,$C$3,Resultados!$U$2:$U$401,1)=0,"",_xlfn.MAXIFS(Resultados!$C$2:$C$401,Resultados!$D$2:$D$401,$A45,Resultados!$B$2:$B$401,$C$3,Resultados!$U$2:$U$401,1))</f>
        <v/>
      </c>
      <c r="D45" s="9" t="str">
        <f aca="false">IF(C45="","",SUMIFS(Resultados!$R$2:$R$401,Resultados!$D$2:$D$401,$A45,Resultados!$B$2:$B$401,$C$3,Resultados!$C$2:$C$401,C45,Resultados!$U$2:$U$401,1))</f>
        <v/>
      </c>
      <c r="E45" s="7" t="str">
        <f aca="false">IF(_xlfn.MAXIFS(Resultados!$C$2:$C$401,Resultados!$D$2:$D$401,$A45,Resultados!$B$2:$B$401,$F$3,Resultados!$U$2:$U$401,1)=0,"",_xlfn.MAXIFS(Resultados!$C$2:$C$401,Resultados!$D$2:$D$401,$A45,Resultados!$B$2:$B$401,$F$3,Resultados!$U$2:$U$401,1))</f>
        <v/>
      </c>
      <c r="F45" s="9" t="str">
        <f aca="false">IF(E45="","",SUMIFS(Resultados!$R$2:$R$401,Resultados!$D$2:$D$401,$A45,Resultados!$B$2:$B$401,$F$3,Resultados!$C$2:$C$401,E45,Resultados!$U$2:$U$401,1))</f>
        <v/>
      </c>
      <c r="G45" s="10" t="str">
        <f aca="false">IF(OR(D45="",F45=""),"",(F45-D45)*100)</f>
        <v/>
      </c>
      <c r="H45" s="7" t="str">
        <f aca="false">IF(_xlfn.MAXIFS(Resultados!$C$2:$C$401,Resultados!$D$2:$D$401,$A45,Resultados!$U$2:$U$401,1)=0,"",_xlfn.MAXIFS(Resultados!$C$2:$C$401,Resultados!$D$2:$D$401,$A45,Resultados!$U$2:$U$401,1))</f>
        <v/>
      </c>
      <c r="I45" s="7" t="str">
        <f aca="false">IF(H45="","",EDATE(H45,Unidades!F41))</f>
        <v/>
      </c>
      <c r="J45" s="0" t="str">
        <f aca="false">IF(Unidades!E41&lt;&gt;"ativa","suspensa",IF(H45="","sem visita",IF(I45&lt;$K$3,"atrasada",IF(I45&lt;=$K$3+30,"próximos 30 dias","em dia"))))</f>
        <v>sem visita</v>
      </c>
      <c r="K45" s="9" t="str">
        <f aca="false">IF(E45="","",SUMIFS(Resultados!$N$2:$N$401,Resultados!$D$2:$D$401,$A45,Resultados!$B$2:$B$401,$F$3,Resultados!$C$2:$C$401,E45,Resultados!$U$2:$U$401,1))</f>
        <v/>
      </c>
      <c r="L45" s="9" t="str">
        <f aca="false">IF(E45="","",SUMIFS(Resultados!$O$2:$O$401,Resultados!$D$2:$D$401,$A45,Resultados!$B$2:$B$401,$F$3,Resultados!$C$2:$C$401,E45,Resultados!$U$2:$U$401,1))</f>
        <v/>
      </c>
      <c r="M45" s="9" t="str">
        <f aca="false">IF(E45="","",SUMIFS(Resultados!$P$2:$P$401,Resultados!$D$2:$D$401,$A45,Resultados!$B$2:$B$401,$F$3,Resultados!$C$2:$C$401,E45,Resultados!$U$2:$U$401,1))</f>
        <v/>
      </c>
      <c r="N45" s="9" t="str">
        <f aca="false">IF(E45="","",SUMIFS(Resultados!$Q$2:$Q$401,Resultados!$D$2:$D$401,$A45,Resultados!$B$2:$B$401,$F$3,Resultados!$C$2:$C$401,E45,Resultados!$U$2:$U$401,1))</f>
        <v/>
      </c>
    </row>
    <row r="46" customFormat="false" ht="15" hidden="false" customHeight="false" outlineLevel="0" collapsed="false">
      <c r="A46" s="0" t="str">
        <f aca="false">Unidades!B42</f>
        <v>Clínica Modelo Zanaga</v>
      </c>
      <c r="B46" s="0" t="str">
        <f aca="false">Unidades!C42</f>
        <v>A classificar</v>
      </c>
      <c r="C46" s="7" t="str">
        <f aca="false">IF(_xlfn.MAXIFS(Resultados!$C$2:$C$401,Resultados!$D$2:$D$401,$A46,Resultados!$B$2:$B$401,$C$3,Resultados!$U$2:$U$401,1)=0,"",_xlfn.MAXIFS(Resultados!$C$2:$C$401,Resultados!$D$2:$D$401,$A46,Resultados!$B$2:$B$401,$C$3,Resultados!$U$2:$U$401,1))</f>
        <v/>
      </c>
      <c r="D46" s="9" t="str">
        <f aca="false">IF(C46="","",SUMIFS(Resultados!$R$2:$R$401,Resultados!$D$2:$D$401,$A46,Resultados!$B$2:$B$401,$C$3,Resultados!$C$2:$C$401,C46,Resultados!$U$2:$U$401,1))</f>
        <v/>
      </c>
      <c r="E46" s="7" t="n">
        <f aca="false">IF(_xlfn.MAXIFS(Resultados!$C$2:$C$401,Resultados!$D$2:$D$401,$A46,Resultados!$B$2:$B$401,$F$3,Resultados!$U$2:$U$401,1)=0,"",_xlfn.MAXIFS(Resultados!$C$2:$C$401,Resultados!$D$2:$D$401,$A46,Resultados!$B$2:$B$401,$F$3,Resultados!$U$2:$U$401,1))</f>
        <v>46240</v>
      </c>
      <c r="F46" s="9" t="n">
        <f aca="false">IF(E46="","",SUMIFS(Resultados!$R$2:$R$401,Resultados!$D$2:$D$401,$A46,Resultados!$B$2:$B$401,$F$3,Resultados!$C$2:$C$401,E46,Resultados!$U$2:$U$401,1))</f>
        <v>0.910714285714286</v>
      </c>
      <c r="G46" s="10" t="str">
        <f aca="false">IF(OR(D46="",F46=""),"",(F46-D46)*100)</f>
        <v/>
      </c>
      <c r="H46" s="7" t="n">
        <f aca="false">IF(_xlfn.MAXIFS(Resultados!$C$2:$C$401,Resultados!$D$2:$D$401,$A46,Resultados!$U$2:$U$401,1)=0,"",_xlfn.MAXIFS(Resultados!$C$2:$C$401,Resultados!$D$2:$D$401,$A46,Resultados!$U$2:$U$401,1))</f>
        <v>46240</v>
      </c>
      <c r="I46" s="7" t="n">
        <f aca="false">IF(H46="","",EDATE(H46,Unidades!F42))</f>
        <v>46424</v>
      </c>
      <c r="J46" s="0" t="str">
        <f aca="false">IF(Unidades!E42&lt;&gt;"ativa","suspensa",IF(H46="","sem visita",IF(I46&lt;$K$3,"atrasada",IF(I46&lt;=$K$3+30,"próximos 30 dias","em dia"))))</f>
        <v>em dia</v>
      </c>
      <c r="K46" s="9" t="n">
        <f aca="false">IF(E46="","",SUMIFS(Resultados!$N$2:$N$401,Resultados!$D$2:$D$401,$A46,Resultados!$B$2:$B$401,$F$3,Resultados!$C$2:$C$401,E46,Resultados!$U$2:$U$401,1))</f>
        <v>0.642857142857143</v>
      </c>
      <c r="L46" s="9" t="n">
        <f aca="false">IF(E46="","",SUMIFS(Resultados!$O$2:$O$401,Resultados!$D$2:$D$401,$A46,Resultados!$B$2:$B$401,$F$3,Resultados!$C$2:$C$401,E46,Resultados!$U$2:$U$401,1))</f>
        <v>1</v>
      </c>
      <c r="M46" s="9" t="n">
        <f aca="false">IF(E46="","",SUMIFS(Resultados!$P$2:$P$401,Resultados!$D$2:$D$401,$A46,Resultados!$B$2:$B$401,$F$3,Resultados!$C$2:$C$401,E46,Resultados!$U$2:$U$401,1))</f>
        <v>1</v>
      </c>
      <c r="N46" s="9" t="n">
        <f aca="false">IF(E46="","",SUMIFS(Resultados!$Q$2:$Q$401,Resultados!$D$2:$D$401,$A46,Resultados!$B$2:$B$401,$F$3,Resultados!$C$2:$C$401,E46,Resultados!$U$2:$U$401,1))</f>
        <v>1</v>
      </c>
    </row>
    <row r="47" customFormat="false" ht="15" hidden="false" customHeight="false" outlineLevel="0" collapsed="false">
      <c r="A47" s="0" t="str">
        <f aca="false">Unidades!B43</f>
        <v>Farmácia Central</v>
      </c>
      <c r="B47" s="0" t="str">
        <f aca="false">Unidades!C43</f>
        <v>Assistência Farmacêutica</v>
      </c>
      <c r="C47" s="7" t="str">
        <f aca="false">IF(_xlfn.MAXIFS(Resultados!$C$2:$C$401,Resultados!$D$2:$D$401,$A47,Resultados!$B$2:$B$401,$C$3,Resultados!$U$2:$U$401,1)=0,"",_xlfn.MAXIFS(Resultados!$C$2:$C$401,Resultados!$D$2:$D$401,$A47,Resultados!$B$2:$B$401,$C$3,Resultados!$U$2:$U$401,1))</f>
        <v/>
      </c>
      <c r="D47" s="9" t="str">
        <f aca="false">IF(C47="","",SUMIFS(Resultados!$R$2:$R$401,Resultados!$D$2:$D$401,$A47,Resultados!$B$2:$B$401,$C$3,Resultados!$C$2:$C$401,C47,Resultados!$U$2:$U$401,1))</f>
        <v/>
      </c>
      <c r="E47" s="7" t="n">
        <f aca="false">IF(_xlfn.MAXIFS(Resultados!$C$2:$C$401,Resultados!$D$2:$D$401,$A47,Resultados!$B$2:$B$401,$F$3,Resultados!$U$2:$U$401,1)=0,"",_xlfn.MAXIFS(Resultados!$C$2:$C$401,Resultados!$D$2:$D$401,$A47,Resultados!$B$2:$B$401,$F$3,Resultados!$U$2:$U$401,1))</f>
        <v>46258</v>
      </c>
      <c r="F47" s="9" t="n">
        <f aca="false">IF(E47="","",SUMIFS(Resultados!$R$2:$R$401,Resultados!$D$2:$D$401,$A47,Resultados!$B$2:$B$401,$F$3,Resultados!$C$2:$C$401,E47,Resultados!$U$2:$U$401,1))</f>
        <v>0.982142857142857</v>
      </c>
      <c r="G47" s="10" t="str">
        <f aca="false">IF(OR(D47="",F47=""),"",(F47-D47)*100)</f>
        <v/>
      </c>
      <c r="H47" s="7" t="n">
        <f aca="false">IF(_xlfn.MAXIFS(Resultados!$C$2:$C$401,Resultados!$D$2:$D$401,$A47,Resultados!$U$2:$U$401,1)=0,"",_xlfn.MAXIFS(Resultados!$C$2:$C$401,Resultados!$D$2:$D$401,$A47,Resultados!$U$2:$U$401,1))</f>
        <v>46258</v>
      </c>
      <c r="I47" s="7" t="n">
        <f aca="false">IF(H47="","",EDATE(H47,Unidades!F43))</f>
        <v>46442</v>
      </c>
      <c r="J47" s="0" t="str">
        <f aca="false">IF(Unidades!E43&lt;&gt;"ativa","suspensa",IF(H47="","sem visita",IF(I47&lt;$K$3,"atrasada",IF(I47&lt;=$K$3+30,"próximos 30 dias","em dia"))))</f>
        <v>em dia</v>
      </c>
      <c r="K47" s="9" t="n">
        <f aca="false">IF(E47="","",SUMIFS(Resultados!$N$2:$N$401,Resultados!$D$2:$D$401,$A47,Resultados!$B$2:$B$401,$F$3,Resultados!$C$2:$C$401,E47,Resultados!$U$2:$U$401,1))</f>
        <v>0.928571428571429</v>
      </c>
      <c r="L47" s="9" t="n">
        <f aca="false">IF(E47="","",SUMIFS(Resultados!$O$2:$O$401,Resultados!$D$2:$D$401,$A47,Resultados!$B$2:$B$401,$F$3,Resultados!$C$2:$C$401,E47,Resultados!$U$2:$U$401,1))</f>
        <v>1</v>
      </c>
      <c r="M47" s="9" t="n">
        <f aca="false">IF(E47="","",SUMIFS(Resultados!$P$2:$P$401,Resultados!$D$2:$D$401,$A47,Resultados!$B$2:$B$401,$F$3,Resultados!$C$2:$C$401,E47,Resultados!$U$2:$U$401,1))</f>
        <v>1</v>
      </c>
      <c r="N47" s="9" t="n">
        <f aca="false">IF(E47="","",SUMIFS(Resultados!$Q$2:$Q$401,Resultados!$D$2:$D$401,$A47,Resultados!$B$2:$B$401,$F$3,Resultados!$C$2:$C$401,E47,Resultados!$U$2:$U$401,1))</f>
        <v>1</v>
      </c>
    </row>
    <row r="48" customFormat="false" ht="15" hidden="false" customHeight="false" outlineLevel="0" collapsed="false">
      <c r="A48" s="0" t="str">
        <f aca="false">Unidades!B44</f>
        <v>CEO - Centro de Especialidades Odontológicas</v>
      </c>
      <c r="B48" s="0" t="str">
        <f aca="false">Unidades!C44</f>
        <v>Atenção Especializada</v>
      </c>
      <c r="C48" s="7" t="str">
        <f aca="false">IF(_xlfn.MAXIFS(Resultados!$C$2:$C$401,Resultados!$D$2:$D$401,$A48,Resultados!$B$2:$B$401,$C$3,Resultados!$U$2:$U$401,1)=0,"",_xlfn.MAXIFS(Resultados!$C$2:$C$401,Resultados!$D$2:$D$401,$A48,Resultados!$B$2:$B$401,$C$3,Resultados!$U$2:$U$401,1))</f>
        <v/>
      </c>
      <c r="D48" s="9" t="str">
        <f aca="false">IF(C48="","",SUMIFS(Resultados!$R$2:$R$401,Resultados!$D$2:$D$401,$A48,Resultados!$B$2:$B$401,$C$3,Resultados!$C$2:$C$401,C48,Resultados!$U$2:$U$401,1))</f>
        <v/>
      </c>
      <c r="E48" s="7" t="n">
        <f aca="false">IF(_xlfn.MAXIFS(Resultados!$C$2:$C$401,Resultados!$D$2:$D$401,$A48,Resultados!$B$2:$B$401,$F$3,Resultados!$U$2:$U$401,1)=0,"",_xlfn.MAXIFS(Resultados!$C$2:$C$401,Resultados!$D$2:$D$401,$A48,Resultados!$B$2:$B$401,$F$3,Resultados!$U$2:$U$401,1))</f>
        <v>46188</v>
      </c>
      <c r="F48" s="9" t="n">
        <f aca="false">IF(E48="","",SUMIFS(Resultados!$R$2:$R$401,Resultados!$D$2:$D$401,$A48,Resultados!$B$2:$B$401,$F$3,Resultados!$C$2:$C$401,E48,Resultados!$U$2:$U$401,1))</f>
        <v>0.839285714285714</v>
      </c>
      <c r="G48" s="10" t="str">
        <f aca="false">IF(OR(D48="",F48=""),"",(F48-D48)*100)</f>
        <v/>
      </c>
      <c r="H48" s="7" t="n">
        <f aca="false">IF(_xlfn.MAXIFS(Resultados!$C$2:$C$401,Resultados!$D$2:$D$401,$A48,Resultados!$U$2:$U$401,1)=0,"",_xlfn.MAXIFS(Resultados!$C$2:$C$401,Resultados!$D$2:$D$401,$A48,Resultados!$U$2:$U$401,1))</f>
        <v>46188</v>
      </c>
      <c r="I48" s="7" t="n">
        <f aca="false">IF(H48="","",EDATE(H48,Unidades!F44))</f>
        <v>46371</v>
      </c>
      <c r="J48" s="0" t="str">
        <f aca="false">IF(Unidades!E44&lt;&gt;"ativa","suspensa",IF(H48="","sem visita",IF(I48&lt;$K$3,"atrasada",IF(I48&lt;=$K$3+30,"próximos 30 dias","em dia"))))</f>
        <v>em dia</v>
      </c>
      <c r="K48" s="9" t="n">
        <f aca="false">IF(E48="","",SUMIFS(Resultados!$N$2:$N$401,Resultados!$D$2:$D$401,$A48,Resultados!$B$2:$B$401,$F$3,Resultados!$C$2:$C$401,E48,Resultados!$U$2:$U$401,1))</f>
        <v>0.857142857142857</v>
      </c>
      <c r="L48" s="9" t="n">
        <f aca="false">IF(E48="","",SUMIFS(Resultados!$O$2:$O$401,Resultados!$D$2:$D$401,$A48,Resultados!$B$2:$B$401,$F$3,Resultados!$C$2:$C$401,E48,Resultados!$U$2:$U$401,1))</f>
        <v>1</v>
      </c>
      <c r="M48" s="9" t="n">
        <f aca="false">IF(E48="","",SUMIFS(Resultados!$P$2:$P$401,Resultados!$D$2:$D$401,$A48,Resultados!$B$2:$B$401,$F$3,Resultados!$C$2:$C$401,E48,Resultados!$U$2:$U$401,1))</f>
        <v>0.5</v>
      </c>
      <c r="N48" s="9" t="n">
        <f aca="false">IF(E48="","",SUMIFS(Resultados!$Q$2:$Q$401,Resultados!$D$2:$D$401,$A48,Resultados!$B$2:$B$401,$F$3,Resultados!$C$2:$C$401,E48,Resultados!$U$2:$U$401,1))</f>
        <v>1</v>
      </c>
    </row>
    <row r="49" customFormat="false" ht="15" hidden="false" customHeight="false" outlineLevel="0" collapsed="false">
      <c r="A49" s="0" t="str">
        <f aca="false">Unidades!B45</f>
        <v>UPA São José</v>
      </c>
      <c r="B49" s="0" t="str">
        <f aca="false">Unidades!C45</f>
        <v>Urgência e Emergência</v>
      </c>
      <c r="C49" s="7" t="n">
        <f aca="false">IF(_xlfn.MAXIFS(Resultados!$C$2:$C$401,Resultados!$D$2:$D$401,$A49,Resultados!$B$2:$B$401,$C$3,Resultados!$U$2:$U$401,1)=0,"",_xlfn.MAXIFS(Resultados!$C$2:$C$401,Resultados!$D$2:$D$401,$A49,Resultados!$B$2:$B$401,$C$3,Resultados!$U$2:$U$401,1))</f>
        <v>45222</v>
      </c>
      <c r="D49" s="9" t="n">
        <f aca="false">IF(C49="","",SUMIFS(Resultados!$R$2:$R$401,Resultados!$D$2:$D$401,$A49,Resultados!$B$2:$B$401,$C$3,Resultados!$C$2:$C$401,C49,Resultados!$U$2:$U$401,1))</f>
        <v>0.6875</v>
      </c>
      <c r="E49" s="7" t="str">
        <f aca="false">IF(_xlfn.MAXIFS(Resultados!$C$2:$C$401,Resultados!$D$2:$D$401,$A49,Resultados!$B$2:$B$401,$F$3,Resultados!$U$2:$U$401,1)=0,"",_xlfn.MAXIFS(Resultados!$C$2:$C$401,Resultados!$D$2:$D$401,$A49,Resultados!$B$2:$B$401,$F$3,Resultados!$U$2:$U$401,1))</f>
        <v/>
      </c>
      <c r="F49" s="9" t="str">
        <f aca="false">IF(E49="","",SUMIFS(Resultados!$R$2:$R$401,Resultados!$D$2:$D$401,$A49,Resultados!$B$2:$B$401,$F$3,Resultados!$C$2:$C$401,E49,Resultados!$U$2:$U$401,1))</f>
        <v/>
      </c>
      <c r="G49" s="10" t="str">
        <f aca="false">IF(OR(D49="",F49=""),"",(F49-D49)*100)</f>
        <v/>
      </c>
      <c r="H49" s="7" t="n">
        <f aca="false">IF(_xlfn.MAXIFS(Resultados!$C$2:$C$401,Resultados!$D$2:$D$401,$A49,Resultados!$U$2:$U$401,1)=0,"",_xlfn.MAXIFS(Resultados!$C$2:$C$401,Resultados!$D$2:$D$401,$A49,Resultados!$U$2:$U$401,1))</f>
        <v>45222</v>
      </c>
      <c r="I49" s="7" t="n">
        <f aca="false">IF(H49="","",EDATE(H49,Unidades!F45))</f>
        <v>45405</v>
      </c>
      <c r="J49" s="0" t="str">
        <f aca="false">IF(Unidades!E45&lt;&gt;"ativa","suspensa",IF(H49="","sem visita",IF(I49&lt;$K$3,"atrasada",IF(I49&lt;=$K$3+30,"próximos 30 dias","em dia"))))</f>
        <v>atrasada</v>
      </c>
      <c r="K49" s="9" t="str">
        <f aca="false">IF(E49="","",SUMIFS(Resultados!$N$2:$N$401,Resultados!$D$2:$D$401,$A49,Resultados!$B$2:$B$401,$F$3,Resultados!$C$2:$C$401,E49,Resultados!$U$2:$U$401,1))</f>
        <v/>
      </c>
      <c r="L49" s="9" t="str">
        <f aca="false">IF(E49="","",SUMIFS(Resultados!$O$2:$O$401,Resultados!$D$2:$D$401,$A49,Resultados!$B$2:$B$401,$F$3,Resultados!$C$2:$C$401,E49,Resultados!$U$2:$U$401,1))</f>
        <v/>
      </c>
      <c r="M49" s="9" t="str">
        <f aca="false">IF(E49="","",SUMIFS(Resultados!$P$2:$P$401,Resultados!$D$2:$D$401,$A49,Resultados!$B$2:$B$401,$F$3,Resultados!$C$2:$C$401,E49,Resultados!$U$2:$U$401,1))</f>
        <v/>
      </c>
      <c r="N49" s="9" t="str">
        <f aca="false">IF(E49="","",SUMIFS(Resultados!$Q$2:$Q$401,Resultados!$D$2:$D$401,$A49,Resultados!$B$2:$B$401,$F$3,Resultados!$C$2:$C$401,E49,Resultados!$U$2:$U$401,1))</f>
        <v/>
      </c>
    </row>
    <row r="50" customFormat="false" ht="15" hidden="false" customHeight="false" outlineLevel="0" collapsed="false">
      <c r="A50" s="0" t="str">
        <f aca="false">Unidades!B46</f>
        <v>SAMU 192 - Serviço de Atendimento Móvel de Urgência</v>
      </c>
      <c r="B50" s="0" t="str">
        <f aca="false">Unidades!C46</f>
        <v>Urgência e Emergência</v>
      </c>
      <c r="C50" s="7" t="str">
        <f aca="false">IF(_xlfn.MAXIFS(Resultados!$C$2:$C$401,Resultados!$D$2:$D$401,$A50,Resultados!$B$2:$B$401,$C$3,Resultados!$U$2:$U$401,1)=0,"",_xlfn.MAXIFS(Resultados!$C$2:$C$401,Resultados!$D$2:$D$401,$A50,Resultados!$B$2:$B$401,$C$3,Resultados!$U$2:$U$401,1))</f>
        <v/>
      </c>
      <c r="D50" s="9" t="str">
        <f aca="false">IF(C50="","",SUMIFS(Resultados!$R$2:$R$401,Resultados!$D$2:$D$401,$A50,Resultados!$B$2:$B$401,$C$3,Resultados!$C$2:$C$401,C50,Resultados!$U$2:$U$401,1))</f>
        <v/>
      </c>
      <c r="E50" s="7" t="str">
        <f aca="false">IF(_xlfn.MAXIFS(Resultados!$C$2:$C$401,Resultados!$D$2:$D$401,$A50,Resultados!$B$2:$B$401,$F$3,Resultados!$U$2:$U$401,1)=0,"",_xlfn.MAXIFS(Resultados!$C$2:$C$401,Resultados!$D$2:$D$401,$A50,Resultados!$B$2:$B$401,$F$3,Resultados!$U$2:$U$401,1))</f>
        <v/>
      </c>
      <c r="F50" s="9" t="str">
        <f aca="false">IF(E50="","",SUMIFS(Resultados!$R$2:$R$401,Resultados!$D$2:$D$401,$A50,Resultados!$B$2:$B$401,$F$3,Resultados!$C$2:$C$401,E50,Resultados!$U$2:$U$401,1))</f>
        <v/>
      </c>
      <c r="G50" s="10" t="str">
        <f aca="false">IF(OR(D50="",F50=""),"",(F50-D50)*100)</f>
        <v/>
      </c>
      <c r="H50" s="7" t="str">
        <f aca="false">IF(_xlfn.MAXIFS(Resultados!$C$2:$C$401,Resultados!$D$2:$D$401,$A50,Resultados!$U$2:$U$401,1)=0,"",_xlfn.MAXIFS(Resultados!$C$2:$C$401,Resultados!$D$2:$D$401,$A50,Resultados!$U$2:$U$401,1))</f>
        <v/>
      </c>
      <c r="I50" s="7" t="str">
        <f aca="false">IF(H50="","",EDATE(H50,Unidades!F46))</f>
        <v/>
      </c>
      <c r="J50" s="0" t="str">
        <f aca="false">IF(Unidades!E46&lt;&gt;"ativa","suspensa",IF(H50="","sem visita",IF(I50&lt;$K$3,"atrasada",IF(I50&lt;=$K$3+30,"próximos 30 dias","em dia"))))</f>
        <v>sem visita</v>
      </c>
      <c r="K50" s="9" t="str">
        <f aca="false">IF(E50="","",SUMIFS(Resultados!$N$2:$N$401,Resultados!$D$2:$D$401,$A50,Resultados!$B$2:$B$401,$F$3,Resultados!$C$2:$C$401,E50,Resultados!$U$2:$U$401,1))</f>
        <v/>
      </c>
      <c r="L50" s="9" t="str">
        <f aca="false">IF(E50="","",SUMIFS(Resultados!$O$2:$O$401,Resultados!$D$2:$D$401,$A50,Resultados!$B$2:$B$401,$F$3,Resultados!$C$2:$C$401,E50,Resultados!$U$2:$U$401,1))</f>
        <v/>
      </c>
      <c r="M50" s="9" t="str">
        <f aca="false">IF(E50="","",SUMIFS(Resultados!$P$2:$P$401,Resultados!$D$2:$D$401,$A50,Resultados!$B$2:$B$401,$F$3,Resultados!$C$2:$C$401,E50,Resultados!$U$2:$U$401,1))</f>
        <v/>
      </c>
      <c r="N50" s="9" t="str">
        <f aca="false">IF(E50="","",SUMIFS(Resultados!$Q$2:$Q$401,Resultados!$D$2:$D$401,$A50,Resultados!$B$2:$B$401,$F$3,Resultados!$C$2:$C$401,E50,Resultados!$U$2:$U$401,1))</f>
        <v/>
      </c>
    </row>
    <row r="51" customFormat="false" ht="15" hidden="false" customHeight="false" outlineLevel="0" collapsed="false">
      <c r="A51" s="0" t="str">
        <f aca="false">Unidades!B47</f>
        <v>Serviço de Transporte em Saúde</v>
      </c>
      <c r="B51" s="0" t="str">
        <f aca="false">Unidades!C47</f>
        <v>Apoio Diagnóstico e Terapêutico</v>
      </c>
      <c r="C51" s="7" t="str">
        <f aca="false">IF(_xlfn.MAXIFS(Resultados!$C$2:$C$401,Resultados!$D$2:$D$401,$A51,Resultados!$B$2:$B$401,$C$3,Resultados!$U$2:$U$401,1)=0,"",_xlfn.MAXIFS(Resultados!$C$2:$C$401,Resultados!$D$2:$D$401,$A51,Resultados!$B$2:$B$401,$C$3,Resultados!$U$2:$U$401,1))</f>
        <v/>
      </c>
      <c r="D51" s="9" t="str">
        <f aca="false">IF(C51="","",SUMIFS(Resultados!$R$2:$R$401,Resultados!$D$2:$D$401,$A51,Resultados!$B$2:$B$401,$C$3,Resultados!$C$2:$C$401,C51,Resultados!$U$2:$U$401,1))</f>
        <v/>
      </c>
      <c r="E51" s="7" t="str">
        <f aca="false">IF(_xlfn.MAXIFS(Resultados!$C$2:$C$401,Resultados!$D$2:$D$401,$A51,Resultados!$B$2:$B$401,$F$3,Resultados!$U$2:$U$401,1)=0,"",_xlfn.MAXIFS(Resultados!$C$2:$C$401,Resultados!$D$2:$D$401,$A51,Resultados!$B$2:$B$401,$F$3,Resultados!$U$2:$U$401,1))</f>
        <v/>
      </c>
      <c r="F51" s="9" t="str">
        <f aca="false">IF(E51="","",SUMIFS(Resultados!$R$2:$R$401,Resultados!$D$2:$D$401,$A51,Resultados!$B$2:$B$401,$F$3,Resultados!$C$2:$C$401,E51,Resultados!$U$2:$U$401,1))</f>
        <v/>
      </c>
      <c r="G51" s="10" t="str">
        <f aca="false">IF(OR(D51="",F51=""),"",(F51-D51)*100)</f>
        <v/>
      </c>
      <c r="H51" s="7" t="str">
        <f aca="false">IF(_xlfn.MAXIFS(Resultados!$C$2:$C$401,Resultados!$D$2:$D$401,$A51,Resultados!$U$2:$U$401,1)=0,"",_xlfn.MAXIFS(Resultados!$C$2:$C$401,Resultados!$D$2:$D$401,$A51,Resultados!$U$2:$U$401,1))</f>
        <v/>
      </c>
      <c r="I51" s="7" t="str">
        <f aca="false">IF(H51="","",EDATE(H51,Unidades!F47))</f>
        <v/>
      </c>
      <c r="J51" s="0" t="str">
        <f aca="false">IF(Unidades!E47&lt;&gt;"ativa","suspensa",IF(H51="","sem visita",IF(I51&lt;$K$3,"atrasada",IF(I51&lt;=$K$3+30,"próximos 30 dias","em dia"))))</f>
        <v>sem visita</v>
      </c>
      <c r="K51" s="9" t="str">
        <f aca="false">IF(E51="","",SUMIFS(Resultados!$N$2:$N$401,Resultados!$D$2:$D$401,$A51,Resultados!$B$2:$B$401,$F$3,Resultados!$C$2:$C$401,E51,Resultados!$U$2:$U$401,1))</f>
        <v/>
      </c>
      <c r="L51" s="9" t="str">
        <f aca="false">IF(E51="","",SUMIFS(Resultados!$O$2:$O$401,Resultados!$D$2:$D$401,$A51,Resultados!$B$2:$B$401,$F$3,Resultados!$C$2:$C$401,E51,Resultados!$U$2:$U$401,1))</f>
        <v/>
      </c>
      <c r="M51" s="9" t="str">
        <f aca="false">IF(E51="","",SUMIFS(Resultados!$P$2:$P$401,Resultados!$D$2:$D$401,$A51,Resultados!$B$2:$B$401,$F$3,Resultados!$C$2:$C$401,E51,Resultados!$U$2:$U$401,1))</f>
        <v/>
      </c>
      <c r="N51" s="9" t="str">
        <f aca="false">IF(E51="","",SUMIFS(Resultados!$Q$2:$Q$401,Resultados!$D$2:$D$401,$A51,Resultados!$B$2:$B$401,$F$3,Resultados!$C$2:$C$401,E51,Resultados!$U$2:$U$401,1))</f>
        <v/>
      </c>
    </row>
    <row r="53" customFormat="false" ht="15" hidden="false" customHeight="false" outlineLevel="0" collapsed="false">
      <c r="A53" s="11" t="s">
        <v>38</v>
      </c>
    </row>
    <row r="54" customFormat="false" ht="15" hidden="false" customHeight="false" outlineLevel="0" collapsed="false">
      <c r="A54" s="0" t="s">
        <v>39</v>
      </c>
      <c r="D54" s="0" t="n">
        <f aca="false">COUNT(F6:F51)</f>
        <v>32</v>
      </c>
    </row>
    <row r="55" customFormat="false" ht="15" hidden="false" customHeight="false" outlineLevel="0" collapsed="false">
      <c r="A55" s="0" t="s">
        <v>40</v>
      </c>
      <c r="D55" s="9" t="n">
        <f aca="false">IFERROR(AVERAGE(F6:F51),"")</f>
        <v>0.819614955357143</v>
      </c>
    </row>
    <row r="56" customFormat="false" ht="15" hidden="false" customHeight="false" outlineLevel="0" collapsed="false">
      <c r="A56" s="0" t="s">
        <v>41</v>
      </c>
      <c r="D56" s="0" t="n">
        <f aca="false">COUNTIF(F6:F51,"&gt;="&amp;Faixas!$C$4)</f>
        <v>19</v>
      </c>
    </row>
    <row r="57" customFormat="false" ht="15" hidden="false" customHeight="false" outlineLevel="0" collapsed="false">
      <c r="A57" s="0" t="s">
        <v>42</v>
      </c>
      <c r="D57" s="0" t="n">
        <f aca="false">COUNTIFS(F6:F51,"&gt;="&amp;Faixas!$C$3,F6:F51,"&lt;"&amp;Faixas!$C$4)</f>
        <v>12</v>
      </c>
    </row>
    <row r="58" customFormat="false" ht="15" hidden="false" customHeight="false" outlineLevel="0" collapsed="false">
      <c r="A58" s="0" t="s">
        <v>43</v>
      </c>
      <c r="D58" s="0" t="n">
        <f aca="false">COUNTIF(F6:F51,"&lt;"&amp;Faixas!$C$3)</f>
        <v>1</v>
      </c>
    </row>
    <row r="59" customFormat="false" ht="15" hidden="false" customHeight="false" outlineLevel="0" collapsed="false">
      <c r="A59" s="0" t="s">
        <v>44</v>
      </c>
      <c r="D59" s="0" t="n">
        <f aca="false">COUNTIF(J6:J51,"atrasada")</f>
        <v>11</v>
      </c>
    </row>
  </sheetData>
  <autoFilter ref="A5:N51"/>
  <conditionalFormatting sqref="D6:D51">
    <cfRule type="expression" priority="2" aboveAverage="0" equalAverage="0" bottom="0" percent="0" rank="0" text="" dxfId="10">
      <formula>AND(ISNUMBER(D6),D6&lt;Faixas!$C$3)</formula>
    </cfRule>
    <cfRule type="expression" priority="3" aboveAverage="0" equalAverage="0" bottom="0" percent="0" rank="0" text="" dxfId="11">
      <formula>AND(ISNUMBER(D6),D6&gt;=Faixas!$C$3,D6&lt;Faixas!$C$4)</formula>
    </cfRule>
    <cfRule type="expression" priority="4" aboveAverage="0" equalAverage="0" bottom="0" percent="0" rank="0" text="" dxfId="12">
      <formula>AND(ISNUMBER(D6),D6&gt;=Faixas!$C$4)</formula>
    </cfRule>
  </conditionalFormatting>
  <conditionalFormatting sqref="F6:F51">
    <cfRule type="expression" priority="5" aboveAverage="0" equalAverage="0" bottom="0" percent="0" rank="0" text="" dxfId="10">
      <formula>AND(ISNUMBER(F6),F6&lt;Faixas!$C$3)</formula>
    </cfRule>
    <cfRule type="expression" priority="6" aboveAverage="0" equalAverage="0" bottom="0" percent="0" rank="0" text="" dxfId="11">
      <formula>AND(ISNUMBER(F6),F6&gt;=Faixas!$C$3,F6&lt;Faixas!$C$4)</formula>
    </cfRule>
    <cfRule type="expression" priority="7" aboveAverage="0" equalAverage="0" bottom="0" percent="0" rank="0" text="" dxfId="12">
      <formula>AND(ISNUMBER(F6),F6&gt;=Faixas!$C$4)</formula>
    </cfRule>
  </conditionalFormatting>
  <conditionalFormatting sqref="K6:N51">
    <cfRule type="expression" priority="8" aboveAverage="0" equalAverage="0" bottom="0" percent="0" rank="0" text="" dxfId="10">
      <formula>AND(ISNUMBER(K6),K6&lt;Faixas!$C$3)</formula>
    </cfRule>
    <cfRule type="expression" priority="9" aboveAverage="0" equalAverage="0" bottom="0" percent="0" rank="0" text="" dxfId="11">
      <formula>AND(ISNUMBER(K6),K6&gt;=Faixas!$C$3,K6&lt;Faixas!$C$4)</formula>
    </cfRule>
    <cfRule type="expression" priority="10" aboveAverage="0" equalAverage="0" bottom="0" percent="0" rank="0" text="" dxfId="12">
      <formula>AND(ISNUMBER(K6),K6&gt;=Faixas!$C$4)</formula>
    </cfRule>
  </conditionalFormatting>
  <conditionalFormatting sqref="J6:J51">
    <cfRule type="expression" priority="11" aboveAverage="0" equalAverage="0" bottom="0" percent="0" rank="0" text="" dxfId="13">
      <formula>J6="atrasada"</formula>
    </cfRule>
    <cfRule type="expression" priority="12" aboveAverage="0" equalAverage="0" bottom="0" percent="0" rank="0" text="" dxfId="14">
      <formula>J6="próximos 30 dias"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4" min="3" style="0" width="10"/>
    <col collapsed="false" customWidth="true" hidden="false" outlineLevel="0" max="6" min="5" style="0" width="14"/>
  </cols>
  <sheetData>
    <row r="1" customFormat="false" ht="28.35" hidden="false" customHeight="false" outlineLevel="0" collapsed="false">
      <c r="A1" s="8" t="s">
        <v>45</v>
      </c>
      <c r="B1" s="8" t="s">
        <v>46</v>
      </c>
      <c r="C1" s="8" t="s">
        <v>47</v>
      </c>
      <c r="D1" s="8" t="s">
        <v>48</v>
      </c>
      <c r="E1" s="8" t="s">
        <v>49</v>
      </c>
      <c r="F1" s="8" t="s">
        <v>50</v>
      </c>
    </row>
    <row r="2" customFormat="false" ht="15" hidden="false" customHeight="false" outlineLevel="0" collapsed="false">
      <c r="A2" s="0" t="s">
        <v>51</v>
      </c>
      <c r="B2" s="0" t="s">
        <v>52</v>
      </c>
      <c r="C2" s="12" t="n">
        <v>0.25</v>
      </c>
      <c r="D2" s="6" t="n">
        <f aca="false">COUNTIF(Itens!$B$2:$B$100,A2)</f>
        <v>7</v>
      </c>
      <c r="E2" s="13" t="n">
        <v>2</v>
      </c>
      <c r="F2" s="6" t="n">
        <f aca="false">D2*E2</f>
        <v>14</v>
      </c>
    </row>
    <row r="3" customFormat="false" ht="15" hidden="false" customHeight="false" outlineLevel="0" collapsed="false">
      <c r="A3" s="0" t="s">
        <v>53</v>
      </c>
      <c r="B3" s="0" t="s">
        <v>54</v>
      </c>
      <c r="C3" s="12" t="n">
        <v>0.25</v>
      </c>
      <c r="D3" s="6" t="n">
        <f aca="false">COUNTIF(Itens!$B$2:$B$100,A3)</f>
        <v>4</v>
      </c>
      <c r="E3" s="13" t="n">
        <v>2</v>
      </c>
      <c r="F3" s="6" t="n">
        <f aca="false">D3*E3</f>
        <v>8</v>
      </c>
    </row>
    <row r="4" customFormat="false" ht="15" hidden="false" customHeight="false" outlineLevel="0" collapsed="false">
      <c r="A4" s="0" t="s">
        <v>55</v>
      </c>
      <c r="B4" s="0" t="s">
        <v>56</v>
      </c>
      <c r="C4" s="12" t="n">
        <v>0.25</v>
      </c>
      <c r="D4" s="6" t="n">
        <f aca="false">COUNTIF(Itens!$B$2:$B$100,A4)</f>
        <v>1</v>
      </c>
      <c r="E4" s="13" t="n">
        <v>2</v>
      </c>
      <c r="F4" s="6" t="n">
        <f aca="false">D4*E4</f>
        <v>2</v>
      </c>
    </row>
    <row r="5" customFormat="false" ht="15" hidden="false" customHeight="false" outlineLevel="0" collapsed="false">
      <c r="A5" s="0" t="s">
        <v>57</v>
      </c>
      <c r="B5" s="0" t="s">
        <v>58</v>
      </c>
      <c r="C5" s="12" t="n">
        <v>0.25</v>
      </c>
      <c r="D5" s="6" t="n">
        <f aca="false">COUNTIF(Itens!$B$2:$B$100,A5)</f>
        <v>2</v>
      </c>
      <c r="E5" s="13" t="n">
        <v>2</v>
      </c>
      <c r="F5" s="6" t="n">
        <f aca="false">D5*E5</f>
        <v>4</v>
      </c>
    </row>
    <row r="6" customFormat="false" ht="15" hidden="false" customHeight="false" outlineLevel="0" collapsed="false">
      <c r="B6" s="11" t="s">
        <v>59</v>
      </c>
      <c r="C6" s="14" t="n">
        <f aca="false">SUM(C2:C5)</f>
        <v>1</v>
      </c>
      <c r="D6" s="6" t="n">
        <f aca="false">SUM(D2:D5)</f>
        <v>14</v>
      </c>
      <c r="F6" s="6" t="n">
        <f aca="false">SUM(F2:F5)</f>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4"/>
    <col collapsed="false" customWidth="true" hidden="false" outlineLevel="0" max="4" min="4" style="0" width="60"/>
    <col collapsed="false" customWidth="true" hidden="false" outlineLevel="0" max="5" min="5" style="0" width="50"/>
    <col collapsed="false" customWidth="true" hidden="false" outlineLevel="0" max="6" min="6" style="0" width="30"/>
  </cols>
  <sheetData>
    <row r="1" customFormat="false" ht="15" hidden="false" customHeight="false" outlineLevel="0" collapsed="false">
      <c r="A1" s="8" t="s">
        <v>60</v>
      </c>
      <c r="B1" s="8" t="s">
        <v>46</v>
      </c>
      <c r="C1" s="8" t="s">
        <v>61</v>
      </c>
      <c r="D1" s="8" t="s">
        <v>62</v>
      </c>
      <c r="E1" s="8" t="s">
        <v>63</v>
      </c>
      <c r="F1" s="8" t="s">
        <v>64</v>
      </c>
    </row>
    <row r="2" customFormat="false" ht="28.35" hidden="false" customHeight="false" outlineLevel="0" collapsed="false">
      <c r="A2" s="15" t="s">
        <v>65</v>
      </c>
      <c r="B2" s="15" t="s">
        <v>51</v>
      </c>
      <c r="C2" s="15" t="s">
        <v>66</v>
      </c>
      <c r="D2" s="15" t="s">
        <v>67</v>
      </c>
      <c r="E2" s="15" t="s">
        <v>68</v>
      </c>
      <c r="F2" s="15" t="s">
        <v>69</v>
      </c>
    </row>
    <row r="3" customFormat="false" ht="28.35" hidden="false" customHeight="false" outlineLevel="0" collapsed="false">
      <c r="A3" s="15" t="s">
        <v>70</v>
      </c>
      <c r="B3" s="15" t="s">
        <v>51</v>
      </c>
      <c r="C3" s="15" t="s">
        <v>71</v>
      </c>
      <c r="D3" s="15" t="s">
        <v>72</v>
      </c>
      <c r="E3" s="15" t="s">
        <v>68</v>
      </c>
      <c r="F3" s="15" t="s">
        <v>69</v>
      </c>
    </row>
    <row r="4" customFormat="false" ht="28.35" hidden="false" customHeight="false" outlineLevel="0" collapsed="false">
      <c r="A4" s="15" t="s">
        <v>73</v>
      </c>
      <c r="B4" s="15" t="s">
        <v>51</v>
      </c>
      <c r="C4" s="15" t="s">
        <v>74</v>
      </c>
      <c r="D4" s="15" t="s">
        <v>75</v>
      </c>
      <c r="E4" s="15" t="s">
        <v>68</v>
      </c>
      <c r="F4" s="15" t="s">
        <v>69</v>
      </c>
    </row>
    <row r="5" customFormat="false" ht="28.35" hidden="false" customHeight="false" outlineLevel="0" collapsed="false">
      <c r="A5" s="15" t="s">
        <v>76</v>
      </c>
      <c r="B5" s="15" t="s">
        <v>51</v>
      </c>
      <c r="C5" s="15" t="s">
        <v>77</v>
      </c>
      <c r="D5" s="15" t="s">
        <v>78</v>
      </c>
      <c r="E5" s="15" t="s">
        <v>68</v>
      </c>
      <c r="F5" s="15" t="s">
        <v>69</v>
      </c>
    </row>
    <row r="6" customFormat="false" ht="28.35" hidden="false" customHeight="false" outlineLevel="0" collapsed="false">
      <c r="A6" s="15" t="s">
        <v>79</v>
      </c>
      <c r="B6" s="15" t="s">
        <v>51</v>
      </c>
      <c r="C6" s="15" t="s">
        <v>80</v>
      </c>
      <c r="D6" s="15" t="s">
        <v>81</v>
      </c>
      <c r="E6" s="15" t="s">
        <v>68</v>
      </c>
      <c r="F6" s="15" t="s">
        <v>69</v>
      </c>
    </row>
    <row r="7" customFormat="false" ht="28.35" hidden="false" customHeight="false" outlineLevel="0" collapsed="false">
      <c r="A7" s="15" t="s">
        <v>82</v>
      </c>
      <c r="B7" s="15" t="s">
        <v>51</v>
      </c>
      <c r="C7" s="15" t="s">
        <v>83</v>
      </c>
      <c r="D7" s="15" t="s">
        <v>84</v>
      </c>
      <c r="E7" s="15" t="s">
        <v>68</v>
      </c>
      <c r="F7" s="15" t="s">
        <v>69</v>
      </c>
    </row>
    <row r="8" customFormat="false" ht="41.75" hidden="false" customHeight="false" outlineLevel="0" collapsed="false">
      <c r="A8" s="15" t="s">
        <v>85</v>
      </c>
      <c r="B8" s="15" t="s">
        <v>51</v>
      </c>
      <c r="C8" s="15" t="s">
        <v>86</v>
      </c>
      <c r="D8" s="15" t="s">
        <v>87</v>
      </c>
      <c r="E8" s="15" t="s">
        <v>68</v>
      </c>
      <c r="F8" s="15" t="s">
        <v>69</v>
      </c>
    </row>
    <row r="9" customFormat="false" ht="55.2" hidden="false" customHeight="false" outlineLevel="0" collapsed="false">
      <c r="A9" s="15" t="s">
        <v>88</v>
      </c>
      <c r="B9" s="15" t="s">
        <v>53</v>
      </c>
      <c r="C9" s="15" t="s">
        <v>89</v>
      </c>
      <c r="D9" s="15" t="s">
        <v>90</v>
      </c>
      <c r="E9" s="15" t="s">
        <v>91</v>
      </c>
      <c r="F9" s="15" t="s">
        <v>69</v>
      </c>
    </row>
    <row r="10" customFormat="false" ht="41.75" hidden="false" customHeight="false" outlineLevel="0" collapsed="false">
      <c r="A10" s="15" t="s">
        <v>92</v>
      </c>
      <c r="B10" s="15" t="s">
        <v>53</v>
      </c>
      <c r="C10" s="15" t="s">
        <v>93</v>
      </c>
      <c r="D10" s="15" t="s">
        <v>94</v>
      </c>
      <c r="E10" s="15" t="s">
        <v>95</v>
      </c>
      <c r="F10" s="15" t="s">
        <v>69</v>
      </c>
    </row>
    <row r="11" customFormat="false" ht="41.75" hidden="false" customHeight="false" outlineLevel="0" collapsed="false">
      <c r="A11" s="15" t="s">
        <v>96</v>
      </c>
      <c r="B11" s="15" t="s">
        <v>53</v>
      </c>
      <c r="C11" s="15" t="s">
        <v>97</v>
      </c>
      <c r="D11" s="15" t="s">
        <v>98</v>
      </c>
      <c r="E11" s="15" t="s">
        <v>99</v>
      </c>
      <c r="F11" s="15" t="s">
        <v>69</v>
      </c>
    </row>
    <row r="12" customFormat="false" ht="55.2" hidden="false" customHeight="false" outlineLevel="0" collapsed="false">
      <c r="A12" s="15" t="s">
        <v>100</v>
      </c>
      <c r="B12" s="15" t="s">
        <v>53</v>
      </c>
      <c r="C12" s="15" t="s">
        <v>101</v>
      </c>
      <c r="D12" s="15" t="s">
        <v>102</v>
      </c>
      <c r="E12" s="15" t="s">
        <v>103</v>
      </c>
      <c r="F12" s="15" t="s">
        <v>69</v>
      </c>
    </row>
    <row r="13" customFormat="false" ht="41.75" hidden="false" customHeight="false" outlineLevel="0" collapsed="false">
      <c r="A13" s="15" t="s">
        <v>104</v>
      </c>
      <c r="B13" s="15" t="s">
        <v>55</v>
      </c>
      <c r="C13" s="15" t="s">
        <v>105</v>
      </c>
      <c r="D13" s="15" t="s">
        <v>106</v>
      </c>
      <c r="E13" s="15" t="s">
        <v>107</v>
      </c>
      <c r="F13" s="15" t="s">
        <v>108</v>
      </c>
    </row>
    <row r="14" customFormat="false" ht="41.75" hidden="false" customHeight="false" outlineLevel="0" collapsed="false">
      <c r="A14" s="15" t="s">
        <v>109</v>
      </c>
      <c r="B14" s="15" t="s">
        <v>57</v>
      </c>
      <c r="C14" s="15" t="s">
        <v>110</v>
      </c>
      <c r="D14" s="15" t="s">
        <v>111</v>
      </c>
      <c r="E14" s="15" t="s">
        <v>112</v>
      </c>
      <c r="F14" s="15" t="s">
        <v>108</v>
      </c>
    </row>
    <row r="15" customFormat="false" ht="41.75" hidden="false" customHeight="false" outlineLevel="0" collapsed="false">
      <c r="A15" s="15" t="s">
        <v>113</v>
      </c>
      <c r="B15" s="15" t="s">
        <v>57</v>
      </c>
      <c r="C15" s="15" t="s">
        <v>114</v>
      </c>
      <c r="D15" s="15" t="s">
        <v>115</v>
      </c>
      <c r="E15" s="15" t="s">
        <v>116</v>
      </c>
      <c r="F15" s="15"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2"/>
  </cols>
  <sheetData>
    <row r="1" customFormat="false" ht="28.35" hidden="false" customHeight="false" outlineLevel="0" collapsed="false">
      <c r="A1" s="8" t="s">
        <v>117</v>
      </c>
      <c r="B1" s="8" t="s">
        <v>118</v>
      </c>
      <c r="C1" s="8" t="s">
        <v>119</v>
      </c>
    </row>
    <row r="2" customFormat="false" ht="15" hidden="false" customHeight="false" outlineLevel="0" collapsed="false">
      <c r="A2" s="0" t="s">
        <v>120</v>
      </c>
      <c r="B2" s="0" t="s">
        <v>121</v>
      </c>
      <c r="C2" s="12" t="n">
        <v>0</v>
      </c>
    </row>
    <row r="3" customFormat="false" ht="15" hidden="false" customHeight="false" outlineLevel="0" collapsed="false">
      <c r="A3" s="0" t="s">
        <v>122</v>
      </c>
      <c r="B3" s="0" t="s">
        <v>123</v>
      </c>
      <c r="C3" s="12" t="n">
        <v>0.4</v>
      </c>
    </row>
    <row r="4" customFormat="false" ht="15" hidden="false" customHeight="false" outlineLevel="0" collapsed="false">
      <c r="A4" s="0" t="s">
        <v>124</v>
      </c>
      <c r="B4" s="0" t="s">
        <v>125</v>
      </c>
      <c r="C4" s="12" t="n">
        <v>0.8</v>
      </c>
    </row>
    <row r="6" customFormat="false" ht="15" hidden="false" customHeight="false" outlineLevel="0" collapsed="false">
      <c r="A6" s="0"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34"/>
    <col collapsed="false" customWidth="true" hidden="false" outlineLevel="0" max="4" min="4" style="0" width="24"/>
    <col collapsed="false" customWidth="true" hidden="false" outlineLevel="0" max="5" min="5" style="0" width="10"/>
    <col collapsed="false" customWidth="true" hidden="false" outlineLevel="0" max="6" min="6" style="0" width="12"/>
    <col collapsed="false" customWidth="true" hidden="false" outlineLevel="0" max="7" min="7" style="0" width="14"/>
    <col collapsed="false" customWidth="true" hidden="false" outlineLevel="0" max="8" min="8" style="0" width="70"/>
  </cols>
  <sheetData>
    <row r="1" customFormat="false" ht="28.35" hidden="false" customHeight="false" outlineLevel="0" collapsed="false">
      <c r="A1" s="8" t="s">
        <v>127</v>
      </c>
      <c r="B1" s="8" t="s">
        <v>24</v>
      </c>
      <c r="C1" s="8" t="s">
        <v>25</v>
      </c>
      <c r="D1" s="8" t="s">
        <v>128</v>
      </c>
      <c r="E1" s="8" t="s">
        <v>129</v>
      </c>
      <c r="F1" s="8" t="s">
        <v>130</v>
      </c>
      <c r="G1" s="8" t="s">
        <v>131</v>
      </c>
      <c r="H1" s="8" t="s">
        <v>132</v>
      </c>
    </row>
    <row r="2" customFormat="false" ht="15" hidden="false" customHeight="false" outlineLevel="0" collapsed="false">
      <c r="A2" s="0" t="n">
        <v>1</v>
      </c>
      <c r="B2" s="0" t="s">
        <v>133</v>
      </c>
      <c r="C2" s="0" t="s">
        <v>134</v>
      </c>
      <c r="D2" s="0" t="s">
        <v>135</v>
      </c>
      <c r="E2" s="13" t="s">
        <v>136</v>
      </c>
      <c r="F2" s="13" t="n">
        <v>6</v>
      </c>
      <c r="G2" s="13"/>
    </row>
    <row r="3" customFormat="false" ht="15" hidden="false" customHeight="false" outlineLevel="0" collapsed="false">
      <c r="A3" s="0" t="n">
        <v>2</v>
      </c>
      <c r="B3" s="0" t="s">
        <v>137</v>
      </c>
      <c r="C3" s="0" t="s">
        <v>138</v>
      </c>
      <c r="D3" s="0" t="s">
        <v>139</v>
      </c>
      <c r="E3" s="13" t="s">
        <v>136</v>
      </c>
      <c r="F3" s="13" t="n">
        <v>6</v>
      </c>
      <c r="G3" s="13"/>
    </row>
    <row r="4" customFormat="false" ht="15" hidden="false" customHeight="false" outlineLevel="0" collapsed="false">
      <c r="A4" s="0" t="n">
        <v>3</v>
      </c>
      <c r="B4" s="0" t="s">
        <v>140</v>
      </c>
      <c r="C4" s="0" t="s">
        <v>141</v>
      </c>
      <c r="D4" s="0" t="s">
        <v>142</v>
      </c>
      <c r="E4" s="13" t="s">
        <v>136</v>
      </c>
      <c r="F4" s="13" t="n">
        <v>6</v>
      </c>
      <c r="G4" s="13"/>
      <c r="H4" s="6" t="s">
        <v>143</v>
      </c>
    </row>
    <row r="5" customFormat="false" ht="15" hidden="false" customHeight="false" outlineLevel="0" collapsed="false">
      <c r="A5" s="0" t="n">
        <v>4</v>
      </c>
      <c r="B5" s="0" t="s">
        <v>144</v>
      </c>
      <c r="C5" s="0" t="s">
        <v>145</v>
      </c>
      <c r="D5" s="0" t="s">
        <v>146</v>
      </c>
      <c r="E5" s="13" t="s">
        <v>136</v>
      </c>
      <c r="F5" s="13" t="n">
        <v>6</v>
      </c>
      <c r="G5" s="13"/>
      <c r="H5" s="6" t="s">
        <v>147</v>
      </c>
    </row>
    <row r="6" customFormat="false" ht="15" hidden="false" customHeight="false" outlineLevel="0" collapsed="false">
      <c r="A6" s="0" t="n">
        <v>5</v>
      </c>
      <c r="B6" s="0" t="s">
        <v>148</v>
      </c>
      <c r="C6" s="0" t="s">
        <v>149</v>
      </c>
      <c r="D6" s="0" t="s">
        <v>148</v>
      </c>
      <c r="E6" s="13" t="s">
        <v>136</v>
      </c>
      <c r="F6" s="13" t="n">
        <v>6</v>
      </c>
      <c r="G6" s="13"/>
    </row>
    <row r="7" customFormat="false" ht="15" hidden="false" customHeight="false" outlineLevel="0" collapsed="false">
      <c r="A7" s="0" t="n">
        <v>6</v>
      </c>
      <c r="B7" s="0" t="s">
        <v>150</v>
      </c>
      <c r="C7" s="0" t="s">
        <v>138</v>
      </c>
      <c r="D7" s="0" t="s">
        <v>150</v>
      </c>
      <c r="E7" s="13" t="s">
        <v>136</v>
      </c>
      <c r="F7" s="13" t="n">
        <v>6</v>
      </c>
      <c r="G7" s="13"/>
      <c r="H7" s="6" t="s">
        <v>151</v>
      </c>
    </row>
    <row r="8" customFormat="false" ht="15" hidden="false" customHeight="false" outlineLevel="0" collapsed="false">
      <c r="A8" s="0" t="n">
        <v>7</v>
      </c>
      <c r="B8" s="0" t="s">
        <v>152</v>
      </c>
      <c r="C8" s="0" t="s">
        <v>153</v>
      </c>
      <c r="D8" s="0" t="s">
        <v>152</v>
      </c>
      <c r="E8" s="13" t="s">
        <v>136</v>
      </c>
      <c r="F8" s="13" t="n">
        <v>6</v>
      </c>
      <c r="G8" s="13"/>
      <c r="H8" s="6" t="s">
        <v>154</v>
      </c>
    </row>
    <row r="9" customFormat="false" ht="15" hidden="false" customHeight="false" outlineLevel="0" collapsed="false">
      <c r="A9" s="0" t="n">
        <v>8</v>
      </c>
      <c r="B9" s="0" t="s">
        <v>155</v>
      </c>
      <c r="C9" s="0" t="s">
        <v>153</v>
      </c>
      <c r="D9" s="0" t="s">
        <v>155</v>
      </c>
      <c r="E9" s="13" t="s">
        <v>136</v>
      </c>
      <c r="F9" s="13" t="n">
        <v>6</v>
      </c>
      <c r="G9" s="13"/>
    </row>
    <row r="10" customFormat="false" ht="15" hidden="false" customHeight="false" outlineLevel="0" collapsed="false">
      <c r="A10" s="0" t="n">
        <v>9</v>
      </c>
      <c r="B10" s="0" t="s">
        <v>156</v>
      </c>
      <c r="C10" s="0" t="s">
        <v>153</v>
      </c>
      <c r="D10" s="0" t="s">
        <v>156</v>
      </c>
      <c r="E10" s="13" t="s">
        <v>136</v>
      </c>
      <c r="F10" s="13" t="n">
        <v>6</v>
      </c>
      <c r="G10" s="13"/>
    </row>
    <row r="11" customFormat="false" ht="15" hidden="false" customHeight="false" outlineLevel="0" collapsed="false">
      <c r="A11" s="0" t="n">
        <v>10</v>
      </c>
      <c r="B11" s="0" t="s">
        <v>157</v>
      </c>
      <c r="C11" s="0" t="s">
        <v>158</v>
      </c>
      <c r="D11" s="0" t="s">
        <v>159</v>
      </c>
      <c r="E11" s="13" t="s">
        <v>136</v>
      </c>
      <c r="F11" s="13" t="n">
        <v>6</v>
      </c>
      <c r="G11" s="13"/>
      <c r="H11" s="6" t="s">
        <v>160</v>
      </c>
    </row>
    <row r="12" customFormat="false" ht="15" hidden="false" customHeight="false" outlineLevel="0" collapsed="false">
      <c r="A12" s="0" t="n">
        <v>11</v>
      </c>
      <c r="B12" s="0" t="s">
        <v>161</v>
      </c>
      <c r="C12" s="0" t="s">
        <v>138</v>
      </c>
      <c r="D12" s="0" t="s">
        <v>161</v>
      </c>
      <c r="E12" s="13" t="s">
        <v>136</v>
      </c>
      <c r="F12" s="13" t="n">
        <v>6</v>
      </c>
      <c r="G12" s="13"/>
    </row>
    <row r="13" customFormat="false" ht="15" hidden="false" customHeight="false" outlineLevel="0" collapsed="false">
      <c r="A13" s="0" t="n">
        <v>12</v>
      </c>
      <c r="B13" s="0" t="s">
        <v>162</v>
      </c>
      <c r="C13" s="0" t="s">
        <v>138</v>
      </c>
      <c r="D13" s="0" t="s">
        <v>162</v>
      </c>
      <c r="E13" s="13" t="s">
        <v>136</v>
      </c>
      <c r="F13" s="13" t="n">
        <v>6</v>
      </c>
      <c r="G13" s="13"/>
      <c r="H13" s="6" t="s">
        <v>151</v>
      </c>
    </row>
    <row r="14" customFormat="false" ht="15" hidden="false" customHeight="false" outlineLevel="0" collapsed="false">
      <c r="A14" s="0" t="n">
        <v>13</v>
      </c>
      <c r="B14" s="0" t="s">
        <v>163</v>
      </c>
      <c r="C14" s="0" t="s">
        <v>158</v>
      </c>
      <c r="D14" s="0" t="s">
        <v>164</v>
      </c>
      <c r="E14" s="13" t="s">
        <v>136</v>
      </c>
      <c r="F14" s="13" t="n">
        <v>6</v>
      </c>
      <c r="G14" s="13"/>
    </row>
    <row r="15" customFormat="false" ht="15" hidden="false" customHeight="false" outlineLevel="0" collapsed="false">
      <c r="A15" s="0" t="n">
        <v>14</v>
      </c>
      <c r="B15" s="0" t="s">
        <v>165</v>
      </c>
      <c r="C15" s="0" t="s">
        <v>138</v>
      </c>
      <c r="D15" s="0" t="s">
        <v>165</v>
      </c>
      <c r="E15" s="13" t="s">
        <v>136</v>
      </c>
      <c r="F15" s="13" t="n">
        <v>6</v>
      </c>
      <c r="G15" s="13"/>
      <c r="H15" s="6" t="s">
        <v>151</v>
      </c>
    </row>
    <row r="16" customFormat="false" ht="15" hidden="false" customHeight="false" outlineLevel="0" collapsed="false">
      <c r="A16" s="0" t="n">
        <v>15</v>
      </c>
      <c r="B16" s="0" t="s">
        <v>166</v>
      </c>
      <c r="C16" s="0" t="s">
        <v>153</v>
      </c>
      <c r="D16" s="0" t="s">
        <v>166</v>
      </c>
      <c r="E16" s="13" t="s">
        <v>136</v>
      </c>
      <c r="F16" s="13" t="n">
        <v>6</v>
      </c>
      <c r="G16" s="13"/>
      <c r="H16" s="6" t="s">
        <v>151</v>
      </c>
    </row>
    <row r="17" customFormat="false" ht="15" hidden="false" customHeight="false" outlineLevel="0" collapsed="false">
      <c r="A17" s="0" t="n">
        <v>16</v>
      </c>
      <c r="B17" s="0" t="s">
        <v>167</v>
      </c>
      <c r="C17" s="0" t="s">
        <v>153</v>
      </c>
      <c r="D17" s="0" t="s">
        <v>167</v>
      </c>
      <c r="E17" s="13" t="s">
        <v>136</v>
      </c>
      <c r="F17" s="13" t="n">
        <v>6</v>
      </c>
      <c r="G17" s="13"/>
      <c r="H17" s="6" t="s">
        <v>151</v>
      </c>
    </row>
    <row r="18" customFormat="false" ht="15" hidden="false" customHeight="false" outlineLevel="0" collapsed="false">
      <c r="A18" s="0" t="n">
        <v>17</v>
      </c>
      <c r="B18" s="0" t="s">
        <v>168</v>
      </c>
      <c r="C18" s="0" t="s">
        <v>153</v>
      </c>
      <c r="D18" s="0" t="s">
        <v>168</v>
      </c>
      <c r="E18" s="13" t="s">
        <v>136</v>
      </c>
      <c r="F18" s="13" t="n">
        <v>6</v>
      </c>
      <c r="G18" s="13"/>
    </row>
    <row r="19" customFormat="false" ht="15" hidden="false" customHeight="false" outlineLevel="0" collapsed="false">
      <c r="A19" s="0" t="n">
        <v>18</v>
      </c>
      <c r="B19" s="0" t="s">
        <v>169</v>
      </c>
      <c r="C19" s="0" t="s">
        <v>153</v>
      </c>
      <c r="D19" s="0" t="s">
        <v>169</v>
      </c>
      <c r="E19" s="13" t="s">
        <v>136</v>
      </c>
      <c r="F19" s="13" t="n">
        <v>6</v>
      </c>
      <c r="G19" s="13"/>
    </row>
    <row r="20" customFormat="false" ht="15" hidden="false" customHeight="false" outlineLevel="0" collapsed="false">
      <c r="A20" s="0" t="n">
        <v>19</v>
      </c>
      <c r="B20" s="0" t="s">
        <v>170</v>
      </c>
      <c r="C20" s="0" t="s">
        <v>171</v>
      </c>
      <c r="D20" s="0" t="s">
        <v>170</v>
      </c>
      <c r="E20" s="13" t="s">
        <v>136</v>
      </c>
      <c r="F20" s="13" t="n">
        <v>6</v>
      </c>
      <c r="G20" s="13"/>
    </row>
    <row r="21" customFormat="false" ht="15" hidden="false" customHeight="false" outlineLevel="0" collapsed="false">
      <c r="A21" s="0" t="n">
        <v>20</v>
      </c>
      <c r="B21" s="0" t="s">
        <v>172</v>
      </c>
      <c r="C21" s="0" t="s">
        <v>171</v>
      </c>
      <c r="D21" s="0" t="s">
        <v>172</v>
      </c>
      <c r="E21" s="13" t="s">
        <v>136</v>
      </c>
      <c r="F21" s="13" t="n">
        <v>6</v>
      </c>
      <c r="G21" s="13"/>
      <c r="H21" s="6" t="s">
        <v>173</v>
      </c>
    </row>
    <row r="22" customFormat="false" ht="15" hidden="false" customHeight="false" outlineLevel="0" collapsed="false">
      <c r="A22" s="0" t="n">
        <v>21</v>
      </c>
      <c r="B22" s="0" t="s">
        <v>174</v>
      </c>
      <c r="C22" s="0" t="s">
        <v>138</v>
      </c>
      <c r="D22" s="0" t="s">
        <v>174</v>
      </c>
      <c r="E22" s="13" t="s">
        <v>136</v>
      </c>
      <c r="F22" s="13" t="n">
        <v>6</v>
      </c>
      <c r="G22" s="13"/>
      <c r="H22" s="6" t="s">
        <v>175</v>
      </c>
    </row>
    <row r="23" customFormat="false" ht="15" hidden="false" customHeight="false" outlineLevel="0" collapsed="false">
      <c r="A23" s="0" t="n">
        <v>22</v>
      </c>
      <c r="B23" s="0" t="s">
        <v>176</v>
      </c>
      <c r="C23" s="0" t="s">
        <v>177</v>
      </c>
      <c r="D23" s="0" t="s">
        <v>178</v>
      </c>
      <c r="E23" s="13" t="s">
        <v>136</v>
      </c>
      <c r="F23" s="13" t="n">
        <v>6</v>
      </c>
      <c r="G23" s="13"/>
    </row>
    <row r="24" customFormat="false" ht="15" hidden="false" customHeight="false" outlineLevel="0" collapsed="false">
      <c r="A24" s="0" t="n">
        <v>23</v>
      </c>
      <c r="B24" s="0" t="s">
        <v>179</v>
      </c>
      <c r="C24" s="0" t="s">
        <v>171</v>
      </c>
      <c r="D24" s="0" t="s">
        <v>179</v>
      </c>
      <c r="E24" s="13" t="s">
        <v>136</v>
      </c>
      <c r="F24" s="13" t="n">
        <v>6</v>
      </c>
      <c r="G24" s="13"/>
      <c r="H24" s="6" t="s">
        <v>173</v>
      </c>
    </row>
    <row r="25" customFormat="false" ht="15" hidden="false" customHeight="false" outlineLevel="0" collapsed="false">
      <c r="A25" s="0" t="n">
        <v>24</v>
      </c>
      <c r="B25" s="0" t="s">
        <v>180</v>
      </c>
      <c r="C25" s="0" t="s">
        <v>181</v>
      </c>
      <c r="D25" s="0" t="s">
        <v>182</v>
      </c>
      <c r="E25" s="13" t="s">
        <v>136</v>
      </c>
      <c r="F25" s="13" t="n">
        <v>6</v>
      </c>
      <c r="G25" s="13"/>
    </row>
    <row r="26" customFormat="false" ht="15" hidden="false" customHeight="false" outlineLevel="0" collapsed="false">
      <c r="A26" s="0" t="n">
        <v>25</v>
      </c>
      <c r="B26" s="0" t="s">
        <v>183</v>
      </c>
      <c r="C26" s="0" t="s">
        <v>177</v>
      </c>
      <c r="D26" s="0" t="s">
        <v>184</v>
      </c>
      <c r="E26" s="13" t="s">
        <v>136</v>
      </c>
      <c r="F26" s="13" t="n">
        <v>6</v>
      </c>
      <c r="G26" s="13"/>
      <c r="H26" s="6" t="s">
        <v>185</v>
      </c>
    </row>
    <row r="27" customFormat="false" ht="15" hidden="false" customHeight="false" outlineLevel="0" collapsed="false">
      <c r="A27" s="0" t="n">
        <v>26</v>
      </c>
      <c r="B27" s="0" t="s">
        <v>186</v>
      </c>
      <c r="C27" s="0" t="s">
        <v>187</v>
      </c>
      <c r="D27" s="0" t="s">
        <v>186</v>
      </c>
      <c r="E27" s="13" t="s">
        <v>136</v>
      </c>
      <c r="F27" s="13" t="n">
        <v>6</v>
      </c>
      <c r="G27" s="13"/>
    </row>
    <row r="28" customFormat="false" ht="15" hidden="false" customHeight="false" outlineLevel="0" collapsed="false">
      <c r="A28" s="0" t="n">
        <v>27</v>
      </c>
      <c r="B28" s="0" t="s">
        <v>188</v>
      </c>
      <c r="C28" s="0" t="s">
        <v>138</v>
      </c>
      <c r="D28" s="0" t="s">
        <v>188</v>
      </c>
      <c r="E28" s="13" t="s">
        <v>136</v>
      </c>
      <c r="F28" s="13" t="n">
        <v>6</v>
      </c>
      <c r="G28" s="13"/>
    </row>
    <row r="29" customFormat="false" ht="15" hidden="false" customHeight="false" outlineLevel="0" collapsed="false">
      <c r="A29" s="0" t="n">
        <v>28</v>
      </c>
      <c r="B29" s="0" t="s">
        <v>189</v>
      </c>
      <c r="C29" s="0" t="s">
        <v>181</v>
      </c>
      <c r="D29" s="0" t="s">
        <v>190</v>
      </c>
      <c r="E29" s="13" t="s">
        <v>136</v>
      </c>
      <c r="F29" s="13" t="n">
        <v>6</v>
      </c>
      <c r="G29" s="13"/>
    </row>
    <row r="30" customFormat="false" ht="15" hidden="false" customHeight="false" outlineLevel="0" collapsed="false">
      <c r="A30" s="0" t="n">
        <v>29</v>
      </c>
      <c r="B30" s="0" t="s">
        <v>191</v>
      </c>
      <c r="C30" s="0" t="s">
        <v>177</v>
      </c>
      <c r="D30" s="0" t="s">
        <v>192</v>
      </c>
      <c r="E30" s="13" t="s">
        <v>136</v>
      </c>
      <c r="F30" s="13" t="n">
        <v>6</v>
      </c>
      <c r="G30" s="13"/>
    </row>
    <row r="31" customFormat="false" ht="15" hidden="false" customHeight="false" outlineLevel="0" collapsed="false">
      <c r="A31" s="0" t="n">
        <v>30</v>
      </c>
      <c r="B31" s="0" t="s">
        <v>193</v>
      </c>
      <c r="C31" s="0" t="s">
        <v>138</v>
      </c>
      <c r="D31" s="0" t="s">
        <v>193</v>
      </c>
      <c r="E31" s="13" t="s">
        <v>136</v>
      </c>
      <c r="F31" s="13" t="n">
        <v>6</v>
      </c>
      <c r="G31" s="13"/>
    </row>
    <row r="32" customFormat="false" ht="15" hidden="false" customHeight="false" outlineLevel="0" collapsed="false">
      <c r="A32" s="0" t="n">
        <v>31</v>
      </c>
      <c r="B32" s="0" t="s">
        <v>194</v>
      </c>
      <c r="C32" s="0" t="s">
        <v>158</v>
      </c>
      <c r="D32" s="0" t="s">
        <v>195</v>
      </c>
      <c r="E32" s="13" t="s">
        <v>136</v>
      </c>
      <c r="F32" s="13" t="n">
        <v>6</v>
      </c>
      <c r="G32" s="13"/>
    </row>
    <row r="33" customFormat="false" ht="15" hidden="false" customHeight="false" outlineLevel="0" collapsed="false">
      <c r="A33" s="0" t="n">
        <v>32</v>
      </c>
      <c r="B33" s="0" t="s">
        <v>196</v>
      </c>
      <c r="C33" s="0" t="s">
        <v>145</v>
      </c>
      <c r="D33" s="0" t="s">
        <v>197</v>
      </c>
      <c r="E33" s="13" t="s">
        <v>136</v>
      </c>
      <c r="F33" s="13" t="n">
        <v>6</v>
      </c>
      <c r="G33" s="13"/>
      <c r="H33" s="6" t="s">
        <v>198</v>
      </c>
    </row>
    <row r="34" customFormat="false" ht="15" hidden="false" customHeight="false" outlineLevel="0" collapsed="false">
      <c r="A34" s="0" t="n">
        <v>33</v>
      </c>
      <c r="B34" s="0" t="s">
        <v>199</v>
      </c>
      <c r="C34" s="0" t="s">
        <v>138</v>
      </c>
      <c r="D34" s="0" t="s">
        <v>199</v>
      </c>
      <c r="E34" s="13" t="s">
        <v>136</v>
      </c>
      <c r="F34" s="13" t="n">
        <v>6</v>
      </c>
      <c r="G34" s="13"/>
    </row>
    <row r="35" customFormat="false" ht="15" hidden="false" customHeight="false" outlineLevel="0" collapsed="false">
      <c r="A35" s="0" t="n">
        <v>34</v>
      </c>
      <c r="B35" s="0" t="s">
        <v>200</v>
      </c>
      <c r="C35" s="0" t="s">
        <v>138</v>
      </c>
      <c r="D35" s="0" t="s">
        <v>201</v>
      </c>
      <c r="E35" s="13" t="s">
        <v>136</v>
      </c>
      <c r="F35" s="13" t="n">
        <v>6</v>
      </c>
      <c r="G35" s="13"/>
    </row>
    <row r="36" customFormat="false" ht="15" hidden="false" customHeight="false" outlineLevel="0" collapsed="false">
      <c r="A36" s="0" t="n">
        <v>35</v>
      </c>
      <c r="B36" s="0" t="s">
        <v>202</v>
      </c>
      <c r="C36" s="0" t="s">
        <v>153</v>
      </c>
      <c r="D36" s="0" t="s">
        <v>202</v>
      </c>
      <c r="E36" s="13" t="s">
        <v>136</v>
      </c>
      <c r="F36" s="13" t="n">
        <v>6</v>
      </c>
      <c r="G36" s="13"/>
    </row>
    <row r="37" customFormat="false" ht="15" hidden="false" customHeight="false" outlineLevel="0" collapsed="false">
      <c r="A37" s="0" t="n">
        <v>36</v>
      </c>
      <c r="B37" s="0" t="s">
        <v>203</v>
      </c>
      <c r="C37" s="0" t="s">
        <v>153</v>
      </c>
      <c r="D37" s="0" t="s">
        <v>203</v>
      </c>
      <c r="E37" s="13" t="s">
        <v>136</v>
      </c>
      <c r="F37" s="13" t="n">
        <v>6</v>
      </c>
      <c r="G37" s="13"/>
    </row>
    <row r="38" customFormat="false" ht="15" hidden="false" customHeight="false" outlineLevel="0" collapsed="false">
      <c r="A38" s="0" t="n">
        <v>37</v>
      </c>
      <c r="B38" s="0" t="s">
        <v>204</v>
      </c>
      <c r="C38" s="0" t="s">
        <v>177</v>
      </c>
      <c r="D38" s="0" t="s">
        <v>205</v>
      </c>
      <c r="E38" s="13" t="s">
        <v>136</v>
      </c>
      <c r="F38" s="13" t="n">
        <v>6</v>
      </c>
      <c r="G38" s="13"/>
    </row>
    <row r="39" customFormat="false" ht="15" hidden="false" customHeight="false" outlineLevel="0" collapsed="false">
      <c r="A39" s="0" t="n">
        <v>38</v>
      </c>
      <c r="B39" s="0" t="s">
        <v>206</v>
      </c>
      <c r="C39" s="0" t="s">
        <v>138</v>
      </c>
      <c r="D39" s="0" t="s">
        <v>206</v>
      </c>
      <c r="E39" s="13" t="s">
        <v>136</v>
      </c>
      <c r="F39" s="13" t="n">
        <v>6</v>
      </c>
      <c r="G39" s="13"/>
    </row>
    <row r="40" customFormat="false" ht="15" hidden="false" customHeight="false" outlineLevel="0" collapsed="false">
      <c r="A40" s="0" t="n">
        <v>39</v>
      </c>
      <c r="B40" s="0" t="s">
        <v>207</v>
      </c>
      <c r="C40" s="0" t="s">
        <v>138</v>
      </c>
      <c r="D40" s="0" t="s">
        <v>207</v>
      </c>
      <c r="E40" s="13" t="s">
        <v>136</v>
      </c>
      <c r="F40" s="13" t="n">
        <v>6</v>
      </c>
      <c r="G40" s="13"/>
    </row>
    <row r="41" customFormat="false" ht="15" hidden="false" customHeight="false" outlineLevel="0" collapsed="false">
      <c r="A41" s="0" t="n">
        <v>40</v>
      </c>
      <c r="B41" s="0" t="s">
        <v>208</v>
      </c>
      <c r="C41" s="0" t="s">
        <v>138</v>
      </c>
      <c r="D41" s="0" t="s">
        <v>209</v>
      </c>
      <c r="E41" s="13" t="s">
        <v>136</v>
      </c>
      <c r="F41" s="13" t="n">
        <v>6</v>
      </c>
      <c r="G41" s="13"/>
    </row>
    <row r="42" customFormat="false" ht="15" hidden="false" customHeight="false" outlineLevel="0" collapsed="false">
      <c r="A42" s="0" t="n">
        <v>41</v>
      </c>
      <c r="B42" s="0" t="s">
        <v>210</v>
      </c>
      <c r="C42" s="0" t="s">
        <v>187</v>
      </c>
      <c r="D42" s="0" t="s">
        <v>211</v>
      </c>
      <c r="E42" s="13" t="s">
        <v>136</v>
      </c>
      <c r="F42" s="13" t="n">
        <v>6</v>
      </c>
      <c r="G42" s="13"/>
      <c r="H42" s="6" t="s">
        <v>212</v>
      </c>
    </row>
    <row r="43" customFormat="false" ht="15" hidden="false" customHeight="false" outlineLevel="0" collapsed="false">
      <c r="A43" s="0" t="n">
        <v>42</v>
      </c>
      <c r="B43" s="0" t="s">
        <v>213</v>
      </c>
      <c r="C43" s="0" t="s">
        <v>214</v>
      </c>
      <c r="D43" s="0" t="s">
        <v>215</v>
      </c>
      <c r="E43" s="13" t="s">
        <v>136</v>
      </c>
      <c r="F43" s="13" t="n">
        <v>6</v>
      </c>
      <c r="G43" s="13"/>
      <c r="H43" s="6" t="s">
        <v>151</v>
      </c>
    </row>
    <row r="44" customFormat="false" ht="15" hidden="false" customHeight="false" outlineLevel="0" collapsed="false">
      <c r="A44" s="0" t="n">
        <v>43</v>
      </c>
      <c r="B44" s="0" t="s">
        <v>216</v>
      </c>
      <c r="C44" s="0" t="s">
        <v>177</v>
      </c>
      <c r="D44" s="0" t="s">
        <v>217</v>
      </c>
      <c r="E44" s="13" t="s">
        <v>136</v>
      </c>
      <c r="F44" s="13" t="n">
        <v>6</v>
      </c>
      <c r="G44" s="13"/>
      <c r="H44" s="6" t="s">
        <v>151</v>
      </c>
    </row>
    <row r="45" customFormat="false" ht="15" hidden="false" customHeight="false" outlineLevel="0" collapsed="false">
      <c r="A45" s="0" t="n">
        <v>44</v>
      </c>
      <c r="B45" s="0" t="s">
        <v>218</v>
      </c>
      <c r="C45" s="0" t="s">
        <v>145</v>
      </c>
      <c r="E45" s="13" t="s">
        <v>136</v>
      </c>
      <c r="F45" s="13" t="n">
        <v>6</v>
      </c>
      <c r="G45" s="13"/>
      <c r="H45" s="6" t="s">
        <v>219</v>
      </c>
    </row>
    <row r="46" customFormat="false" ht="15" hidden="false" customHeight="false" outlineLevel="0" collapsed="false">
      <c r="A46" s="0" t="n">
        <v>45</v>
      </c>
      <c r="B46" s="0" t="s">
        <v>220</v>
      </c>
      <c r="C46" s="0" t="s">
        <v>145</v>
      </c>
      <c r="E46" s="13" t="s">
        <v>136</v>
      </c>
      <c r="F46" s="13" t="n">
        <v>6</v>
      </c>
      <c r="G46" s="13"/>
      <c r="H46" s="6" t="s">
        <v>221</v>
      </c>
    </row>
    <row r="47" customFormat="false" ht="15" hidden="false" customHeight="false" outlineLevel="0" collapsed="false">
      <c r="A47" s="0" t="n">
        <v>46</v>
      </c>
      <c r="B47" s="0" t="s">
        <v>222</v>
      </c>
      <c r="C47" s="0" t="s">
        <v>149</v>
      </c>
      <c r="E47" s="13" t="s">
        <v>136</v>
      </c>
      <c r="F47" s="13" t="n">
        <v>6</v>
      </c>
      <c r="G47" s="13"/>
      <c r="H47" s="6"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8"/>
    <col collapsed="false" customWidth="true" hidden="false" outlineLevel="0" max="4" min="4" style="0" width="13"/>
    <col collapsed="false" customWidth="true" hidden="false" outlineLevel="0" max="5" min="5" style="0" width="10"/>
    <col collapsed="false" customWidth="true" hidden="false" outlineLevel="0" max="6" min="6" style="0" width="12"/>
    <col collapsed="false" customWidth="true" hidden="false" outlineLevel="0" max="7" min="7" style="0" width="44"/>
    <col collapsed="false" customWidth="true" hidden="false" outlineLevel="0" max="8" min="8" style="0" width="90"/>
  </cols>
  <sheetData>
    <row r="1" customFormat="false" ht="41.75" hidden="false" customHeight="false" outlineLevel="0" collapsed="false">
      <c r="A1" s="8" t="s">
        <v>127</v>
      </c>
      <c r="B1" s="8" t="s">
        <v>24</v>
      </c>
      <c r="C1" s="8" t="s">
        <v>223</v>
      </c>
      <c r="D1" s="8" t="s">
        <v>224</v>
      </c>
      <c r="E1" s="8" t="s">
        <v>225</v>
      </c>
      <c r="F1" s="8" t="s">
        <v>129</v>
      </c>
      <c r="G1" s="8" t="s">
        <v>226</v>
      </c>
      <c r="H1" s="8" t="s">
        <v>227</v>
      </c>
    </row>
    <row r="2" customFormat="false" ht="15" hidden="false" customHeight="false" outlineLevel="0" collapsed="false">
      <c r="A2" s="13" t="n">
        <v>1</v>
      </c>
      <c r="B2" s="13" t="s">
        <v>200</v>
      </c>
      <c r="C2" s="13" t="s">
        <v>20</v>
      </c>
      <c r="D2" s="16" t="n">
        <v>45251</v>
      </c>
      <c r="E2" s="13" t="s">
        <v>228</v>
      </c>
      <c r="F2" s="13" t="s">
        <v>229</v>
      </c>
      <c r="G2" s="13" t="s">
        <v>230</v>
      </c>
      <c r="H2" s="13"/>
    </row>
    <row r="3" customFormat="false" ht="15" hidden="false" customHeight="false" outlineLevel="0" collapsed="false">
      <c r="A3" s="13" t="n">
        <v>2</v>
      </c>
      <c r="B3" s="13" t="s">
        <v>193</v>
      </c>
      <c r="C3" s="13" t="s">
        <v>20</v>
      </c>
      <c r="D3" s="16" t="n">
        <v>45271</v>
      </c>
      <c r="E3" s="13" t="s">
        <v>228</v>
      </c>
      <c r="F3" s="13" t="s">
        <v>229</v>
      </c>
      <c r="G3" s="13" t="s">
        <v>231</v>
      </c>
      <c r="H3" s="13"/>
    </row>
    <row r="4" customFormat="false" ht="15" hidden="false" customHeight="false" outlineLevel="0" collapsed="false">
      <c r="A4" s="13" t="n">
        <v>3</v>
      </c>
      <c r="B4" s="13" t="s">
        <v>137</v>
      </c>
      <c r="C4" s="13" t="s">
        <v>20</v>
      </c>
      <c r="D4" s="16" t="n">
        <v>45231</v>
      </c>
      <c r="E4" s="13" t="s">
        <v>232</v>
      </c>
      <c r="F4" s="13" t="s">
        <v>229</v>
      </c>
      <c r="G4" s="13" t="s">
        <v>233</v>
      </c>
      <c r="H4" s="13" t="s">
        <v>234</v>
      </c>
    </row>
    <row r="5" customFormat="false" ht="15" hidden="false" customHeight="false" outlineLevel="0" collapsed="false">
      <c r="A5" s="13" t="n">
        <v>4</v>
      </c>
      <c r="B5" s="13" t="s">
        <v>199</v>
      </c>
      <c r="C5" s="13" t="s">
        <v>20</v>
      </c>
      <c r="D5" s="16" t="n">
        <v>45229</v>
      </c>
      <c r="E5" s="13" t="s">
        <v>228</v>
      </c>
      <c r="F5" s="13" t="s">
        <v>229</v>
      </c>
      <c r="G5" s="13" t="s">
        <v>235</v>
      </c>
      <c r="H5" s="13"/>
    </row>
    <row r="6" customFormat="false" ht="15" hidden="false" customHeight="false" outlineLevel="0" collapsed="false">
      <c r="A6" s="13" t="n">
        <v>5</v>
      </c>
      <c r="B6" s="13" t="s">
        <v>207</v>
      </c>
      <c r="C6" s="13" t="s">
        <v>20</v>
      </c>
      <c r="D6" s="16" t="n">
        <v>45166</v>
      </c>
      <c r="E6" s="13" t="s">
        <v>228</v>
      </c>
      <c r="F6" s="13" t="s">
        <v>229</v>
      </c>
      <c r="G6" s="13" t="s">
        <v>236</v>
      </c>
      <c r="H6" s="13"/>
    </row>
    <row r="7" customFormat="false" ht="15" hidden="false" customHeight="false" outlineLevel="0" collapsed="false">
      <c r="A7" s="13" t="n">
        <v>6</v>
      </c>
      <c r="B7" s="13" t="s">
        <v>161</v>
      </c>
      <c r="C7" s="13" t="s">
        <v>20</v>
      </c>
      <c r="D7" s="16" t="n">
        <v>45271</v>
      </c>
      <c r="E7" s="13" t="s">
        <v>228</v>
      </c>
      <c r="F7" s="13" t="s">
        <v>229</v>
      </c>
      <c r="G7" s="13" t="s">
        <v>237</v>
      </c>
      <c r="H7" s="13"/>
    </row>
    <row r="8" customFormat="false" ht="15" hidden="false" customHeight="false" outlineLevel="0" collapsed="false">
      <c r="A8" s="13" t="n">
        <v>7</v>
      </c>
      <c r="B8" s="13" t="s">
        <v>206</v>
      </c>
      <c r="C8" s="13" t="s">
        <v>20</v>
      </c>
      <c r="D8" s="16" t="n">
        <v>45104</v>
      </c>
      <c r="E8" s="13" t="s">
        <v>228</v>
      </c>
      <c r="F8" s="13" t="s">
        <v>229</v>
      </c>
      <c r="G8" s="13" t="s">
        <v>238</v>
      </c>
      <c r="H8" s="13"/>
    </row>
    <row r="9" customFormat="false" ht="15" hidden="false" customHeight="false" outlineLevel="0" collapsed="false">
      <c r="A9" s="13" t="n">
        <v>8</v>
      </c>
      <c r="B9" s="13" t="s">
        <v>174</v>
      </c>
      <c r="C9" s="13" t="s">
        <v>20</v>
      </c>
      <c r="D9" s="16" t="n">
        <v>45268</v>
      </c>
      <c r="E9" s="13" t="s">
        <v>228</v>
      </c>
      <c r="F9" s="13" t="s">
        <v>239</v>
      </c>
      <c r="G9" s="13" t="s">
        <v>240</v>
      </c>
      <c r="H9" s="13" t="s">
        <v>241</v>
      </c>
    </row>
    <row r="10" customFormat="false" ht="15" hidden="false" customHeight="false" outlineLevel="0" collapsed="false">
      <c r="A10" s="13" t="n">
        <v>9</v>
      </c>
      <c r="B10" s="13" t="s">
        <v>188</v>
      </c>
      <c r="C10" s="13" t="s">
        <v>20</v>
      </c>
      <c r="D10" s="16" t="n">
        <v>45159</v>
      </c>
      <c r="E10" s="13" t="s">
        <v>228</v>
      </c>
      <c r="F10" s="13" t="s">
        <v>229</v>
      </c>
      <c r="G10" s="13" t="s">
        <v>242</v>
      </c>
      <c r="H10" s="13" t="s">
        <v>243</v>
      </c>
    </row>
    <row r="11" customFormat="false" ht="15" hidden="false" customHeight="false" outlineLevel="0" collapsed="false">
      <c r="A11" s="13" t="n">
        <v>10</v>
      </c>
      <c r="B11" s="13" t="s">
        <v>202</v>
      </c>
      <c r="C11" s="13" t="s">
        <v>20</v>
      </c>
      <c r="D11" s="16" t="n">
        <v>45124</v>
      </c>
      <c r="E11" s="13" t="s">
        <v>228</v>
      </c>
      <c r="F11" s="13" t="s">
        <v>239</v>
      </c>
      <c r="G11" s="13" t="s">
        <v>244</v>
      </c>
      <c r="H11" s="13" t="s">
        <v>245</v>
      </c>
    </row>
    <row r="12" customFormat="false" ht="15" hidden="false" customHeight="false" outlineLevel="0" collapsed="false">
      <c r="A12" s="13" t="n">
        <v>11</v>
      </c>
      <c r="B12" s="13" t="s">
        <v>203</v>
      </c>
      <c r="C12" s="13" t="s">
        <v>20</v>
      </c>
      <c r="D12" s="16" t="n">
        <v>45229</v>
      </c>
      <c r="E12" s="13" t="s">
        <v>228</v>
      </c>
      <c r="F12" s="13" t="s">
        <v>229</v>
      </c>
      <c r="G12" s="13" t="s">
        <v>246</v>
      </c>
      <c r="H12" s="13"/>
    </row>
    <row r="13" customFormat="false" ht="15" hidden="false" customHeight="false" outlineLevel="0" collapsed="false">
      <c r="A13" s="13" t="n">
        <v>12</v>
      </c>
      <c r="B13" s="13" t="s">
        <v>152</v>
      </c>
      <c r="C13" s="13" t="s">
        <v>20</v>
      </c>
      <c r="D13" s="16" t="n">
        <v>45254</v>
      </c>
      <c r="E13" s="13" t="s">
        <v>228</v>
      </c>
      <c r="F13" s="13" t="s">
        <v>239</v>
      </c>
      <c r="G13" s="13" t="s">
        <v>247</v>
      </c>
      <c r="H13" s="13" t="s">
        <v>248</v>
      </c>
    </row>
    <row r="14" customFormat="false" ht="15" hidden="false" customHeight="false" outlineLevel="0" collapsed="false">
      <c r="A14" s="13" t="n">
        <v>13</v>
      </c>
      <c r="B14" s="13" t="s">
        <v>133</v>
      </c>
      <c r="C14" s="13" t="s">
        <v>20</v>
      </c>
      <c r="D14" s="16" t="n">
        <v>45106</v>
      </c>
      <c r="E14" s="13" t="s">
        <v>228</v>
      </c>
      <c r="F14" s="13" t="s">
        <v>229</v>
      </c>
      <c r="G14" s="13" t="s">
        <v>249</v>
      </c>
      <c r="H14" s="13"/>
    </row>
    <row r="15" customFormat="false" ht="15" hidden="false" customHeight="false" outlineLevel="0" collapsed="false">
      <c r="A15" s="13" t="n">
        <v>14</v>
      </c>
      <c r="B15" s="13" t="s">
        <v>194</v>
      </c>
      <c r="C15" s="13" t="s">
        <v>20</v>
      </c>
      <c r="D15" s="16" t="n">
        <v>45257</v>
      </c>
      <c r="E15" s="13" t="s">
        <v>228</v>
      </c>
      <c r="F15" s="13" t="s">
        <v>229</v>
      </c>
      <c r="G15" s="13" t="s">
        <v>250</v>
      </c>
      <c r="H15" s="13" t="s">
        <v>251</v>
      </c>
    </row>
    <row r="16" customFormat="false" ht="15" hidden="false" customHeight="false" outlineLevel="0" collapsed="false">
      <c r="A16" s="13" t="n">
        <v>15</v>
      </c>
      <c r="B16" s="13" t="s">
        <v>204</v>
      </c>
      <c r="C16" s="13" t="s">
        <v>20</v>
      </c>
      <c r="D16" s="16" t="n">
        <v>45124</v>
      </c>
      <c r="E16" s="13" t="s">
        <v>228</v>
      </c>
      <c r="F16" s="13" t="s">
        <v>229</v>
      </c>
      <c r="G16" s="13" t="s">
        <v>252</v>
      </c>
      <c r="H16" s="13"/>
    </row>
    <row r="17" customFormat="false" ht="15" hidden="false" customHeight="false" outlineLevel="0" collapsed="false">
      <c r="A17" s="13" t="n">
        <v>16</v>
      </c>
      <c r="B17" s="13" t="s">
        <v>218</v>
      </c>
      <c r="C17" s="13" t="s">
        <v>20</v>
      </c>
      <c r="D17" s="16" t="n">
        <v>45222</v>
      </c>
      <c r="E17" s="13" t="s">
        <v>228</v>
      </c>
      <c r="F17" s="13" t="s">
        <v>229</v>
      </c>
      <c r="G17" s="13" t="s">
        <v>253</v>
      </c>
      <c r="H17" s="13" t="s">
        <v>254</v>
      </c>
    </row>
    <row r="18" customFormat="false" ht="15" hidden="false" customHeight="false" outlineLevel="0" collapsed="false">
      <c r="A18" s="13" t="n">
        <v>17</v>
      </c>
      <c r="B18" s="13" t="s">
        <v>196</v>
      </c>
      <c r="C18" s="13" t="s">
        <v>20</v>
      </c>
      <c r="D18" s="16" t="n">
        <v>45198</v>
      </c>
      <c r="E18" s="13" t="s">
        <v>228</v>
      </c>
      <c r="F18" s="13" t="s">
        <v>239</v>
      </c>
      <c r="G18" s="13" t="s">
        <v>255</v>
      </c>
      <c r="H18" s="13" t="s">
        <v>256</v>
      </c>
    </row>
    <row r="19" customFormat="false" ht="15" hidden="false" customHeight="false" outlineLevel="0" collapsed="false">
      <c r="A19" s="13" t="n">
        <v>18</v>
      </c>
      <c r="B19" s="13" t="s">
        <v>176</v>
      </c>
      <c r="C19" s="13" t="s">
        <v>20</v>
      </c>
      <c r="D19" s="16" t="n">
        <v>45268</v>
      </c>
      <c r="E19" s="13" t="s">
        <v>228</v>
      </c>
      <c r="F19" s="13" t="s">
        <v>229</v>
      </c>
      <c r="G19" s="13" t="s">
        <v>257</v>
      </c>
      <c r="H19" s="13" t="s">
        <v>258</v>
      </c>
    </row>
    <row r="20" customFormat="false" ht="15" hidden="false" customHeight="false" outlineLevel="0" collapsed="false">
      <c r="A20" s="13" t="n">
        <v>19</v>
      </c>
      <c r="B20" s="13" t="s">
        <v>189</v>
      </c>
      <c r="C20" s="13" t="s">
        <v>20</v>
      </c>
      <c r="D20" s="16" t="n">
        <v>45162</v>
      </c>
      <c r="E20" s="13" t="s">
        <v>228</v>
      </c>
      <c r="F20" s="13" t="s">
        <v>229</v>
      </c>
      <c r="G20" s="13" t="s">
        <v>259</v>
      </c>
      <c r="H20" s="13" t="s">
        <v>260</v>
      </c>
    </row>
    <row r="21" customFormat="false" ht="15" hidden="false" customHeight="false" outlineLevel="0" collapsed="false">
      <c r="A21" s="13" t="n">
        <v>20</v>
      </c>
      <c r="B21" s="13" t="s">
        <v>191</v>
      </c>
      <c r="C21" s="13" t="s">
        <v>20</v>
      </c>
      <c r="D21" s="16" t="n">
        <v>45268</v>
      </c>
      <c r="E21" s="13" t="s">
        <v>228</v>
      </c>
      <c r="F21" s="13" t="s">
        <v>229</v>
      </c>
      <c r="G21" s="13" t="s">
        <v>261</v>
      </c>
      <c r="H21" s="13"/>
    </row>
    <row r="22" customFormat="false" ht="15" hidden="false" customHeight="false" outlineLevel="0" collapsed="false">
      <c r="A22" s="13" t="n">
        <v>21</v>
      </c>
      <c r="B22" s="13" t="s">
        <v>133</v>
      </c>
      <c r="C22" s="13" t="s">
        <v>22</v>
      </c>
      <c r="D22" s="16" t="n">
        <v>46164</v>
      </c>
      <c r="E22" s="13" t="s">
        <v>228</v>
      </c>
      <c r="F22" s="13" t="s">
        <v>229</v>
      </c>
      <c r="G22" s="13" t="s">
        <v>262</v>
      </c>
      <c r="H22" s="13" t="s">
        <v>263</v>
      </c>
    </row>
    <row r="23" customFormat="false" ht="15" hidden="false" customHeight="false" outlineLevel="0" collapsed="false">
      <c r="A23" s="13" t="n">
        <v>22</v>
      </c>
      <c r="B23" s="13" t="s">
        <v>137</v>
      </c>
      <c r="C23" s="13" t="s">
        <v>22</v>
      </c>
      <c r="D23" s="16" t="n">
        <v>46090</v>
      </c>
      <c r="E23" s="13" t="s">
        <v>228</v>
      </c>
      <c r="F23" s="13" t="s">
        <v>229</v>
      </c>
      <c r="G23" s="13" t="s">
        <v>264</v>
      </c>
      <c r="H23" s="13"/>
    </row>
    <row r="24" customFormat="false" ht="15" hidden="false" customHeight="false" outlineLevel="0" collapsed="false">
      <c r="A24" s="13" t="n">
        <v>23</v>
      </c>
      <c r="B24" s="13" t="s">
        <v>140</v>
      </c>
      <c r="C24" s="13" t="s">
        <v>22</v>
      </c>
      <c r="D24" s="16" t="n">
        <v>46091</v>
      </c>
      <c r="E24" s="13" t="s">
        <v>228</v>
      </c>
      <c r="F24" s="13" t="s">
        <v>229</v>
      </c>
      <c r="G24" s="13" t="s">
        <v>265</v>
      </c>
      <c r="H24" s="13"/>
    </row>
    <row r="25" customFormat="false" ht="15" hidden="false" customHeight="false" outlineLevel="0" collapsed="false">
      <c r="A25" s="13" t="n">
        <v>24</v>
      </c>
      <c r="B25" s="13" t="s">
        <v>144</v>
      </c>
      <c r="C25" s="13" t="s">
        <v>22</v>
      </c>
      <c r="D25" s="16" t="n">
        <v>46093</v>
      </c>
      <c r="E25" s="13" t="s">
        <v>228</v>
      </c>
      <c r="F25" s="13" t="s">
        <v>229</v>
      </c>
      <c r="G25" s="13" t="s">
        <v>266</v>
      </c>
      <c r="H25" s="13"/>
    </row>
    <row r="26" customFormat="false" ht="15" hidden="false" customHeight="false" outlineLevel="0" collapsed="false">
      <c r="A26" s="13" t="n">
        <v>25</v>
      </c>
      <c r="B26" s="13" t="s">
        <v>148</v>
      </c>
      <c r="C26" s="13" t="s">
        <v>22</v>
      </c>
      <c r="D26" s="16" t="n">
        <v>46122</v>
      </c>
      <c r="E26" s="13" t="s">
        <v>228</v>
      </c>
      <c r="F26" s="13" t="s">
        <v>229</v>
      </c>
      <c r="G26" s="13" t="s">
        <v>267</v>
      </c>
      <c r="H26" s="13"/>
    </row>
    <row r="27" customFormat="false" ht="15" hidden="false" customHeight="false" outlineLevel="0" collapsed="false">
      <c r="A27" s="13" t="n">
        <v>26</v>
      </c>
      <c r="B27" s="13" t="s">
        <v>150</v>
      </c>
      <c r="C27" s="13" t="s">
        <v>22</v>
      </c>
      <c r="D27" s="16" t="n">
        <v>46156</v>
      </c>
      <c r="E27" s="13" t="s">
        <v>228</v>
      </c>
      <c r="F27" s="13" t="s">
        <v>229</v>
      </c>
      <c r="G27" s="13" t="s">
        <v>268</v>
      </c>
      <c r="H27" s="13"/>
    </row>
    <row r="28" customFormat="false" ht="15" hidden="false" customHeight="false" outlineLevel="0" collapsed="false">
      <c r="A28" s="13" t="n">
        <v>27</v>
      </c>
      <c r="B28" s="13" t="s">
        <v>152</v>
      </c>
      <c r="C28" s="13" t="s">
        <v>22</v>
      </c>
      <c r="D28" s="16" t="n">
        <v>46142</v>
      </c>
      <c r="E28" s="13" t="s">
        <v>228</v>
      </c>
      <c r="F28" s="13" t="s">
        <v>229</v>
      </c>
      <c r="G28" s="13" t="s">
        <v>269</v>
      </c>
      <c r="H28" s="13" t="s">
        <v>270</v>
      </c>
    </row>
    <row r="29" customFormat="false" ht="15" hidden="false" customHeight="false" outlineLevel="0" collapsed="false">
      <c r="A29" s="13" t="n">
        <v>28</v>
      </c>
      <c r="B29" s="13" t="s">
        <v>155</v>
      </c>
      <c r="C29" s="13" t="s">
        <v>22</v>
      </c>
      <c r="D29" s="16" t="n">
        <v>46190</v>
      </c>
      <c r="E29" s="13" t="s">
        <v>228</v>
      </c>
      <c r="F29" s="13" t="s">
        <v>229</v>
      </c>
      <c r="G29" s="13" t="s">
        <v>271</v>
      </c>
      <c r="H29" s="13"/>
    </row>
    <row r="30" customFormat="false" ht="15" hidden="false" customHeight="false" outlineLevel="0" collapsed="false">
      <c r="A30" s="13" t="n">
        <v>29</v>
      </c>
      <c r="B30" s="13" t="s">
        <v>156</v>
      </c>
      <c r="C30" s="13" t="s">
        <v>22</v>
      </c>
      <c r="D30" s="16" t="n">
        <v>46162</v>
      </c>
      <c r="E30" s="13" t="s">
        <v>228</v>
      </c>
      <c r="F30" s="13" t="s">
        <v>229</v>
      </c>
      <c r="G30" s="13" t="s">
        <v>272</v>
      </c>
      <c r="H30" s="13"/>
    </row>
    <row r="31" customFormat="false" ht="15" hidden="false" customHeight="false" outlineLevel="0" collapsed="false">
      <c r="A31" s="13" t="n">
        <v>30</v>
      </c>
      <c r="B31" s="13" t="s">
        <v>157</v>
      </c>
      <c r="C31" s="13" t="s">
        <v>22</v>
      </c>
      <c r="D31" s="16" t="n">
        <v>46094</v>
      </c>
      <c r="E31" s="13" t="s">
        <v>228</v>
      </c>
      <c r="F31" s="13" t="s">
        <v>229</v>
      </c>
      <c r="G31" s="13" t="s">
        <v>273</v>
      </c>
      <c r="H31" s="13"/>
    </row>
    <row r="32" customFormat="false" ht="15" hidden="false" customHeight="false" outlineLevel="0" collapsed="false">
      <c r="A32" s="13" t="n">
        <v>31</v>
      </c>
      <c r="B32" s="13" t="s">
        <v>161</v>
      </c>
      <c r="C32" s="13" t="s">
        <v>22</v>
      </c>
      <c r="D32" s="16" t="n">
        <v>46125</v>
      </c>
      <c r="E32" s="13" t="s">
        <v>228</v>
      </c>
      <c r="F32" s="13" t="s">
        <v>229</v>
      </c>
      <c r="G32" s="13" t="s">
        <v>274</v>
      </c>
      <c r="H32" s="13"/>
    </row>
    <row r="33" customFormat="false" ht="15" hidden="false" customHeight="false" outlineLevel="0" collapsed="false">
      <c r="A33" s="13" t="n">
        <v>32</v>
      </c>
      <c r="B33" s="13" t="s">
        <v>162</v>
      </c>
      <c r="C33" s="13" t="s">
        <v>22</v>
      </c>
      <c r="D33" s="16" t="n">
        <v>46189</v>
      </c>
      <c r="E33" s="13" t="s">
        <v>228</v>
      </c>
      <c r="F33" s="13" t="s">
        <v>229</v>
      </c>
      <c r="G33" s="13" t="s">
        <v>275</v>
      </c>
      <c r="H33" s="13"/>
    </row>
    <row r="34" customFormat="false" ht="15" hidden="false" customHeight="false" outlineLevel="0" collapsed="false">
      <c r="A34" s="13" t="n">
        <v>33</v>
      </c>
      <c r="B34" s="13" t="s">
        <v>163</v>
      </c>
      <c r="C34" s="13" t="s">
        <v>22</v>
      </c>
      <c r="D34" s="16" t="n">
        <v>46234</v>
      </c>
      <c r="E34" s="13" t="s">
        <v>228</v>
      </c>
      <c r="F34" s="13" t="s">
        <v>229</v>
      </c>
      <c r="G34" s="13" t="s">
        <v>276</v>
      </c>
      <c r="H34" s="13"/>
    </row>
    <row r="35" customFormat="false" ht="15" hidden="false" customHeight="false" outlineLevel="0" collapsed="false">
      <c r="A35" s="13" t="n">
        <v>34</v>
      </c>
      <c r="B35" s="13" t="s">
        <v>165</v>
      </c>
      <c r="C35" s="13" t="s">
        <v>22</v>
      </c>
      <c r="D35" s="16" t="n">
        <v>46254</v>
      </c>
      <c r="E35" s="13" t="s">
        <v>228</v>
      </c>
      <c r="F35" s="13" t="s">
        <v>229</v>
      </c>
      <c r="G35" s="13" t="s">
        <v>277</v>
      </c>
      <c r="H35" s="13"/>
    </row>
    <row r="36" customFormat="false" ht="15" hidden="false" customHeight="false" outlineLevel="0" collapsed="false">
      <c r="A36" s="13" t="n">
        <v>35</v>
      </c>
      <c r="B36" s="13" t="s">
        <v>166</v>
      </c>
      <c r="C36" s="13" t="s">
        <v>22</v>
      </c>
      <c r="D36" s="16" t="n">
        <v>46240</v>
      </c>
      <c r="E36" s="13" t="s">
        <v>228</v>
      </c>
      <c r="F36" s="13" t="s">
        <v>229</v>
      </c>
      <c r="G36" s="13" t="s">
        <v>278</v>
      </c>
      <c r="H36" s="13"/>
    </row>
    <row r="37" customFormat="false" ht="15" hidden="false" customHeight="false" outlineLevel="0" collapsed="false">
      <c r="A37" s="13" t="n">
        <v>36</v>
      </c>
      <c r="B37" s="13" t="s">
        <v>167</v>
      </c>
      <c r="C37" s="13" t="s">
        <v>22</v>
      </c>
      <c r="D37" s="16" t="n">
        <v>46258</v>
      </c>
      <c r="E37" s="13" t="s">
        <v>228</v>
      </c>
      <c r="F37" s="13" t="s">
        <v>229</v>
      </c>
      <c r="G37" s="13" t="s">
        <v>279</v>
      </c>
      <c r="H37" s="13"/>
    </row>
    <row r="38" customFormat="false" ht="15" hidden="false" customHeight="false" outlineLevel="0" collapsed="false">
      <c r="A38" s="13" t="n">
        <v>37</v>
      </c>
      <c r="B38" s="13" t="s">
        <v>168</v>
      </c>
      <c r="C38" s="13" t="s">
        <v>22</v>
      </c>
      <c r="D38" s="16" t="n">
        <v>46239</v>
      </c>
      <c r="E38" s="13" t="s">
        <v>228</v>
      </c>
      <c r="F38" s="13" t="s">
        <v>229</v>
      </c>
      <c r="G38" s="13" t="s">
        <v>280</v>
      </c>
      <c r="H38" s="13"/>
    </row>
    <row r="39" customFormat="false" ht="15" hidden="false" customHeight="false" outlineLevel="0" collapsed="false">
      <c r="A39" s="13" t="n">
        <v>38</v>
      </c>
      <c r="B39" s="13" t="s">
        <v>174</v>
      </c>
      <c r="C39" s="13" t="s">
        <v>22</v>
      </c>
      <c r="D39" s="16" t="n">
        <v>46254</v>
      </c>
      <c r="E39" s="13" t="s">
        <v>228</v>
      </c>
      <c r="F39" s="13" t="s">
        <v>229</v>
      </c>
      <c r="G39" s="13" t="s">
        <v>281</v>
      </c>
      <c r="H39" s="13"/>
    </row>
    <row r="40" customFormat="false" ht="15" hidden="false" customHeight="false" outlineLevel="0" collapsed="false">
      <c r="A40" s="13" t="n">
        <v>39</v>
      </c>
      <c r="B40" s="13" t="s">
        <v>183</v>
      </c>
      <c r="C40" s="13" t="s">
        <v>22</v>
      </c>
      <c r="D40" s="16" t="n">
        <v>46191</v>
      </c>
      <c r="E40" s="13" t="s">
        <v>228</v>
      </c>
      <c r="F40" s="13" t="s">
        <v>229</v>
      </c>
      <c r="G40" s="13" t="s">
        <v>282</v>
      </c>
      <c r="H40" s="13" t="s">
        <v>283</v>
      </c>
    </row>
    <row r="41" customFormat="false" ht="15" hidden="false" customHeight="false" outlineLevel="0" collapsed="false">
      <c r="A41" s="13" t="n">
        <v>40</v>
      </c>
      <c r="B41" s="13" t="s">
        <v>188</v>
      </c>
      <c r="C41" s="13" t="s">
        <v>22</v>
      </c>
      <c r="D41" s="16" t="n">
        <v>46092</v>
      </c>
      <c r="E41" s="13" t="s">
        <v>228</v>
      </c>
      <c r="F41" s="13" t="s">
        <v>229</v>
      </c>
      <c r="G41" s="13" t="s">
        <v>284</v>
      </c>
      <c r="H41" s="13"/>
    </row>
    <row r="42" customFormat="false" ht="15" hidden="false" customHeight="false" outlineLevel="0" collapsed="false">
      <c r="A42" s="13" t="n">
        <v>41</v>
      </c>
      <c r="B42" s="13" t="s">
        <v>189</v>
      </c>
      <c r="C42" s="13" t="s">
        <v>22</v>
      </c>
      <c r="D42" s="16" t="n">
        <v>46161</v>
      </c>
      <c r="E42" s="13" t="s">
        <v>228</v>
      </c>
      <c r="F42" s="13" t="s">
        <v>229</v>
      </c>
      <c r="G42" s="13" t="s">
        <v>285</v>
      </c>
      <c r="H42" s="13"/>
    </row>
    <row r="43" customFormat="false" ht="15" hidden="false" customHeight="false" outlineLevel="0" collapsed="false">
      <c r="A43" s="13" t="n">
        <v>42</v>
      </c>
      <c r="B43" s="13" t="s">
        <v>193</v>
      </c>
      <c r="C43" s="13" t="s">
        <v>22</v>
      </c>
      <c r="D43" s="16" t="n">
        <v>46189</v>
      </c>
      <c r="E43" s="13" t="s">
        <v>228</v>
      </c>
      <c r="F43" s="13" t="s">
        <v>229</v>
      </c>
      <c r="G43" s="13" t="s">
        <v>286</v>
      </c>
      <c r="H43" s="13"/>
    </row>
    <row r="44" customFormat="false" ht="15" hidden="false" customHeight="false" outlineLevel="0" collapsed="false">
      <c r="A44" s="13" t="n">
        <v>43</v>
      </c>
      <c r="B44" s="13" t="s">
        <v>196</v>
      </c>
      <c r="C44" s="13" t="s">
        <v>22</v>
      </c>
      <c r="D44" s="16" t="n">
        <v>46107</v>
      </c>
      <c r="E44" s="13" t="s">
        <v>228</v>
      </c>
      <c r="F44" s="13" t="s">
        <v>229</v>
      </c>
      <c r="G44" s="13" t="s">
        <v>287</v>
      </c>
      <c r="H44" s="13"/>
    </row>
    <row r="45" customFormat="false" ht="15" hidden="false" customHeight="false" outlineLevel="0" collapsed="false">
      <c r="A45" s="13" t="n">
        <v>44</v>
      </c>
      <c r="B45" s="13" t="s">
        <v>200</v>
      </c>
      <c r="C45" s="13" t="s">
        <v>22</v>
      </c>
      <c r="D45" s="16" t="n">
        <v>46163</v>
      </c>
      <c r="E45" s="13" t="s">
        <v>228</v>
      </c>
      <c r="F45" s="13" t="s">
        <v>229</v>
      </c>
      <c r="G45" s="13" t="s">
        <v>288</v>
      </c>
      <c r="H45" s="13"/>
    </row>
    <row r="46" customFormat="false" ht="15" hidden="false" customHeight="false" outlineLevel="0" collapsed="false">
      <c r="A46" s="13" t="n">
        <v>45</v>
      </c>
      <c r="B46" s="13" t="s">
        <v>202</v>
      </c>
      <c r="C46" s="13" t="s">
        <v>22</v>
      </c>
      <c r="D46" s="16" t="n">
        <v>46136</v>
      </c>
      <c r="E46" s="13" t="s">
        <v>228</v>
      </c>
      <c r="F46" s="13" t="s">
        <v>229</v>
      </c>
      <c r="G46" s="13" t="s">
        <v>289</v>
      </c>
      <c r="H46" s="13"/>
    </row>
    <row r="47" customFormat="false" ht="15" hidden="false" customHeight="false" outlineLevel="0" collapsed="false">
      <c r="A47" s="13" t="n">
        <v>46</v>
      </c>
      <c r="B47" s="13" t="s">
        <v>203</v>
      </c>
      <c r="C47" s="13" t="s">
        <v>22</v>
      </c>
      <c r="D47" s="16" t="n">
        <v>46240</v>
      </c>
      <c r="E47" s="13" t="s">
        <v>228</v>
      </c>
      <c r="F47" s="13" t="s">
        <v>229</v>
      </c>
      <c r="G47" s="13" t="s">
        <v>290</v>
      </c>
      <c r="H47" s="13"/>
    </row>
    <row r="48" customFormat="false" ht="15" hidden="false" customHeight="false" outlineLevel="0" collapsed="false">
      <c r="A48" s="13" t="n">
        <v>47</v>
      </c>
      <c r="B48" s="13" t="s">
        <v>204</v>
      </c>
      <c r="C48" s="13" t="s">
        <v>22</v>
      </c>
      <c r="D48" s="16" t="n">
        <v>46119</v>
      </c>
      <c r="E48" s="13" t="s">
        <v>228</v>
      </c>
      <c r="F48" s="13" t="s">
        <v>229</v>
      </c>
      <c r="G48" s="13" t="s">
        <v>291</v>
      </c>
      <c r="H48" s="13"/>
    </row>
    <row r="49" customFormat="false" ht="15" hidden="false" customHeight="false" outlineLevel="0" collapsed="false">
      <c r="A49" s="13" t="n">
        <v>48</v>
      </c>
      <c r="B49" s="13" t="s">
        <v>206</v>
      </c>
      <c r="C49" s="13" t="s">
        <v>22</v>
      </c>
      <c r="D49" s="16" t="n">
        <v>46134</v>
      </c>
      <c r="E49" s="13" t="s">
        <v>228</v>
      </c>
      <c r="F49" s="13" t="s">
        <v>229</v>
      </c>
      <c r="G49" s="13" t="s">
        <v>292</v>
      </c>
      <c r="H49" s="13"/>
    </row>
    <row r="50" customFormat="false" ht="15" hidden="false" customHeight="false" outlineLevel="0" collapsed="false">
      <c r="A50" s="13" t="n">
        <v>49</v>
      </c>
      <c r="B50" s="13" t="s">
        <v>207</v>
      </c>
      <c r="C50" s="13" t="s">
        <v>22</v>
      </c>
      <c r="D50" s="16" t="n">
        <v>46198</v>
      </c>
      <c r="E50" s="13" t="s">
        <v>228</v>
      </c>
      <c r="F50" s="13" t="s">
        <v>229</v>
      </c>
      <c r="G50" s="13" t="s">
        <v>293</v>
      </c>
      <c r="H50" s="13"/>
    </row>
    <row r="51" customFormat="false" ht="15" hidden="false" customHeight="false" outlineLevel="0" collapsed="false">
      <c r="A51" s="13" t="n">
        <v>50</v>
      </c>
      <c r="B51" s="13" t="s">
        <v>210</v>
      </c>
      <c r="C51" s="13" t="s">
        <v>22</v>
      </c>
      <c r="D51" s="16" t="n">
        <v>46240</v>
      </c>
      <c r="E51" s="13" t="s">
        <v>228</v>
      </c>
      <c r="F51" s="13" t="s">
        <v>229</v>
      </c>
      <c r="G51" s="13" t="s">
        <v>294</v>
      </c>
      <c r="H51" s="13" t="s">
        <v>295</v>
      </c>
    </row>
    <row r="52" customFormat="false" ht="15" hidden="false" customHeight="false" outlineLevel="0" collapsed="false">
      <c r="A52" s="13" t="n">
        <v>51</v>
      </c>
      <c r="B52" s="13" t="s">
        <v>213</v>
      </c>
      <c r="C52" s="13" t="s">
        <v>22</v>
      </c>
      <c r="D52" s="16" t="n">
        <v>46258</v>
      </c>
      <c r="E52" s="13" t="s">
        <v>228</v>
      </c>
      <c r="F52" s="13" t="s">
        <v>229</v>
      </c>
      <c r="G52" s="13" t="s">
        <v>296</v>
      </c>
      <c r="H52" s="13" t="s">
        <v>297</v>
      </c>
    </row>
    <row r="53" customFormat="false" ht="15" hidden="false" customHeight="false" outlineLevel="0" collapsed="false">
      <c r="A53" s="13" t="n">
        <v>52</v>
      </c>
      <c r="B53" s="13" t="s">
        <v>216</v>
      </c>
      <c r="C53" s="13" t="s">
        <v>22</v>
      </c>
      <c r="D53" s="16" t="n">
        <v>46188</v>
      </c>
      <c r="E53" s="13" t="s">
        <v>228</v>
      </c>
      <c r="F53" s="13" t="s">
        <v>229</v>
      </c>
      <c r="G53" s="13" t="s">
        <v>298</v>
      </c>
      <c r="H53" s="13" t="s">
        <v>297</v>
      </c>
    </row>
  </sheetData>
  <dataValidations count="2">
    <dataValidation allowBlank="false" errorStyle="stop" operator="between" showDropDown="false" showErrorMessage="false" showInputMessage="false" sqref="B2:B401" type="list">
      <formula1>Unidades!$B$2:$B$107</formula1>
      <formula2>0</formula2>
    </dataValidation>
    <dataValidation allowBlank="false" errorStyle="stop" operator="between" showDropDown="false" showErrorMessage="false" showInputMessage="false" sqref="F2:F401" type="list">
      <formula1>"concluida,incompleta,rascunho,em_conferencia"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7"/>
    <col collapsed="false" customWidth="true" hidden="false" outlineLevel="0" max="4" min="4" style="0" width="34"/>
    <col collapsed="false" customWidth="true" hidden="false" outlineLevel="0" max="6" min="5" style="0" width="10"/>
    <col collapsed="false" customWidth="true" hidden="false" outlineLevel="0" max="8" min="7" style="0" width="12"/>
  </cols>
  <sheetData>
    <row r="1" customFormat="false" ht="55.2" hidden="false" customHeight="false" outlineLevel="0" collapsed="false">
      <c r="A1" s="8" t="s">
        <v>299</v>
      </c>
      <c r="B1" s="8" t="s">
        <v>300</v>
      </c>
      <c r="C1" s="8" t="s">
        <v>60</v>
      </c>
      <c r="D1" s="8" t="s">
        <v>301</v>
      </c>
      <c r="E1" s="8" t="s">
        <v>302</v>
      </c>
      <c r="F1" s="8" t="s">
        <v>46</v>
      </c>
      <c r="G1" s="8" t="s">
        <v>303</v>
      </c>
      <c r="H1" s="8" t="s">
        <v>304</v>
      </c>
    </row>
    <row r="2" customFormat="false" ht="15" hidden="false" customHeight="false" outlineLevel="0" collapsed="false">
      <c r="A2" s="13" t="n">
        <v>1</v>
      </c>
      <c r="B2" s="0" t="str">
        <f aca="false">IFERROR(INDEX(Visitas!$B$2:$B$401,MATCH(A2,Visitas!$A$2:$A$401,0)),"")</f>
        <v>UBS Jardim Boer</v>
      </c>
      <c r="C2" s="13" t="s">
        <v>65</v>
      </c>
      <c r="D2" s="0" t="str">
        <f aca="false">IFERROR(INDEX(Itens!$C$2:$C$100,MATCH(C2,Itens!$A$2:$A$100,0)),"")</f>
        <v>Infraestrutura civil</v>
      </c>
      <c r="E2" s="0" t="str">
        <f aca="false">IFERROR(INDEX(Visitas!$C$2:$C$401,MATCH(A2,Visitas!$A$2:$A$401,0)),"")</f>
        <v>2023</v>
      </c>
      <c r="F2" s="0" t="str">
        <f aca="false">IFERROR(INDEX(Itens!$B$2:$B$100,MATCH(C2,Itens!$A$2:$A$100,0)),"")</f>
        <v>I</v>
      </c>
      <c r="G2" s="13" t="n">
        <v>1</v>
      </c>
      <c r="H2" s="13" t="n">
        <v>0</v>
      </c>
    </row>
    <row r="3" customFormat="false" ht="15" hidden="false" customHeight="false" outlineLevel="0" collapsed="false">
      <c r="A3" s="13" t="n">
        <v>1</v>
      </c>
      <c r="B3" s="0" t="str">
        <f aca="false">IFERROR(INDEX(Visitas!$B$2:$B$401,MATCH(A3,Visitas!$A$2:$A$401,0)),"")</f>
        <v>UBS Jardim Boer</v>
      </c>
      <c r="C3" s="13" t="s">
        <v>70</v>
      </c>
      <c r="D3" s="0" t="str">
        <f aca="false">IFERROR(INDEX(Itens!$C$2:$C$100,MATCH(C3,Itens!$A$2:$A$100,0)),"")</f>
        <v>Infraestrutura elétrica</v>
      </c>
      <c r="E3" s="0" t="str">
        <f aca="false">IFERROR(INDEX(Visitas!$C$2:$C$401,MATCH(A3,Visitas!$A$2:$A$401,0)),"")</f>
        <v>2023</v>
      </c>
      <c r="F3" s="0" t="str">
        <f aca="false">IFERROR(INDEX(Itens!$B$2:$B$100,MATCH(C3,Itens!$A$2:$A$100,0)),"")</f>
        <v>I</v>
      </c>
      <c r="G3" s="13" t="n">
        <v>1</v>
      </c>
      <c r="H3" s="13" t="n">
        <v>0</v>
      </c>
    </row>
    <row r="4" customFormat="false" ht="15" hidden="false" customHeight="false" outlineLevel="0" collapsed="false">
      <c r="A4" s="13" t="n">
        <v>1</v>
      </c>
      <c r="B4" s="0" t="str">
        <f aca="false">IFERROR(INDEX(Visitas!$B$2:$B$401,MATCH(A4,Visitas!$A$2:$A$401,0)),"")</f>
        <v>UBS Jardim Boer</v>
      </c>
      <c r="C4" s="13" t="s">
        <v>73</v>
      </c>
      <c r="D4" s="0" t="str">
        <f aca="false">IFERROR(INDEX(Itens!$C$2:$C$100,MATCH(C4,Itens!$A$2:$A$100,0)),"")</f>
        <v>Infraestrutura hidráulica</v>
      </c>
      <c r="E4" s="0" t="str">
        <f aca="false">IFERROR(INDEX(Visitas!$C$2:$C$401,MATCH(A4,Visitas!$A$2:$A$401,0)),"")</f>
        <v>2023</v>
      </c>
      <c r="F4" s="0" t="str">
        <f aca="false">IFERROR(INDEX(Itens!$B$2:$B$100,MATCH(C4,Itens!$A$2:$A$100,0)),"")</f>
        <v>I</v>
      </c>
      <c r="G4" s="13" t="n">
        <v>1</v>
      </c>
      <c r="H4" s="13" t="n">
        <v>0</v>
      </c>
    </row>
    <row r="5" customFormat="false" ht="15" hidden="false" customHeight="false" outlineLevel="0" collapsed="false">
      <c r="A5" s="13" t="n">
        <v>1</v>
      </c>
      <c r="B5" s="0" t="str">
        <f aca="false">IFERROR(INDEX(Visitas!$B$2:$B$401,MATCH(A5,Visitas!$A$2:$A$401,0)),"")</f>
        <v>UBS Jardim Boer</v>
      </c>
      <c r="C5" s="13" t="s">
        <v>76</v>
      </c>
      <c r="D5" s="0" t="str">
        <f aca="false">IFERROR(INDEX(Itens!$C$2:$C$100,MATCH(C5,Itens!$A$2:$A$100,0)),"")</f>
        <v>Infraestrutura de comunicação</v>
      </c>
      <c r="E5" s="0" t="str">
        <f aca="false">IFERROR(INDEX(Visitas!$C$2:$C$401,MATCH(A5,Visitas!$A$2:$A$401,0)),"")</f>
        <v>2023</v>
      </c>
      <c r="F5" s="0" t="str">
        <f aca="false">IFERROR(INDEX(Itens!$B$2:$B$100,MATCH(C5,Itens!$A$2:$A$100,0)),"")</f>
        <v>I</v>
      </c>
      <c r="G5" s="13" t="n">
        <v>2</v>
      </c>
      <c r="H5" s="13" t="n">
        <v>0</v>
      </c>
    </row>
    <row r="6" customFormat="false" ht="15" hidden="false" customHeight="false" outlineLevel="0" collapsed="false">
      <c r="A6" s="13" t="n">
        <v>1</v>
      </c>
      <c r="B6" s="0" t="str">
        <f aca="false">IFERROR(INDEX(Visitas!$B$2:$B$401,MATCH(A6,Visitas!$A$2:$A$401,0)),"")</f>
        <v>UBS Jardim Boer</v>
      </c>
      <c r="C6" s="13" t="s">
        <v>79</v>
      </c>
      <c r="D6" s="0" t="str">
        <f aca="false">IFERROR(INDEX(Itens!$C$2:$C$100,MATCH(C6,Itens!$A$2:$A$100,0)),"")</f>
        <v>Equipamentos</v>
      </c>
      <c r="E6" s="0" t="str">
        <f aca="false">IFERROR(INDEX(Visitas!$C$2:$C$401,MATCH(A6,Visitas!$A$2:$A$401,0)),"")</f>
        <v>2023</v>
      </c>
      <c r="F6" s="0" t="str">
        <f aca="false">IFERROR(INDEX(Itens!$B$2:$B$100,MATCH(C6,Itens!$A$2:$A$100,0)),"")</f>
        <v>I</v>
      </c>
      <c r="G6" s="13" t="n">
        <v>1</v>
      </c>
      <c r="H6" s="13" t="n">
        <v>0</v>
      </c>
    </row>
    <row r="7" customFormat="false" ht="15" hidden="false" customHeight="false" outlineLevel="0" collapsed="false">
      <c r="A7" s="13" t="n">
        <v>1</v>
      </c>
      <c r="B7" s="0" t="str">
        <f aca="false">IFERROR(INDEX(Visitas!$B$2:$B$401,MATCH(A7,Visitas!$A$2:$A$401,0)),"")</f>
        <v>UBS Jardim Boer</v>
      </c>
      <c r="C7" s="13" t="s">
        <v>82</v>
      </c>
      <c r="D7" s="0" t="str">
        <f aca="false">IFERROR(INDEX(Itens!$C$2:$C$100,MATCH(C7,Itens!$A$2:$A$100,0)),"")</f>
        <v>Materiais, medicamentos e insumos</v>
      </c>
      <c r="E7" s="0" t="str">
        <f aca="false">IFERROR(INDEX(Visitas!$C$2:$C$401,MATCH(A7,Visitas!$A$2:$A$401,0)),"")</f>
        <v>2023</v>
      </c>
      <c r="F7" s="0" t="str">
        <f aca="false">IFERROR(INDEX(Itens!$B$2:$B$100,MATCH(C7,Itens!$A$2:$A$100,0)),"")</f>
        <v>I</v>
      </c>
      <c r="G7" s="13" t="n">
        <v>1</v>
      </c>
      <c r="H7" s="13" t="n">
        <v>0</v>
      </c>
    </row>
    <row r="8" customFormat="false" ht="15" hidden="false" customHeight="false" outlineLevel="0" collapsed="false">
      <c r="A8" s="13" t="n">
        <v>1</v>
      </c>
      <c r="B8" s="0" t="str">
        <f aca="false">IFERROR(INDEX(Visitas!$B$2:$B$401,MATCH(A8,Visitas!$A$2:$A$401,0)),"")</f>
        <v>UBS Jardim Boer</v>
      </c>
      <c r="C8" s="13" t="s">
        <v>85</v>
      </c>
      <c r="D8" s="0" t="str">
        <f aca="false">IFERROR(INDEX(Itens!$C$2:$C$100,MATCH(C8,Itens!$A$2:$A$100,0)),"")</f>
        <v>Conforto, limpeza e organização</v>
      </c>
      <c r="E8" s="0" t="str">
        <f aca="false">IFERROR(INDEX(Visitas!$C$2:$C$401,MATCH(A8,Visitas!$A$2:$A$401,0)),"")</f>
        <v>2023</v>
      </c>
      <c r="F8" s="0" t="str">
        <f aca="false">IFERROR(INDEX(Itens!$B$2:$B$100,MATCH(C8,Itens!$A$2:$A$100,0)),"")</f>
        <v>I</v>
      </c>
      <c r="G8" s="13" t="n">
        <v>2</v>
      </c>
      <c r="H8" s="13" t="n">
        <v>0</v>
      </c>
    </row>
    <row r="9" customFormat="false" ht="15" hidden="false" customHeight="false" outlineLevel="0" collapsed="false">
      <c r="A9" s="13" t="n">
        <v>1</v>
      </c>
      <c r="B9" s="0" t="str">
        <f aca="false">IFERROR(INDEX(Visitas!$B$2:$B$401,MATCH(A9,Visitas!$A$2:$A$401,0)),"")</f>
        <v>UBS Jardim Boer</v>
      </c>
      <c r="C9" s="13" t="s">
        <v>88</v>
      </c>
      <c r="D9" s="0" t="str">
        <f aca="false">IFERROR(INDEX(Itens!$C$2:$C$100,MATCH(C9,Itens!$A$2:$A$100,0)),"")</f>
        <v>Utilização de indicadores de gestão</v>
      </c>
      <c r="E9" s="0" t="str">
        <f aca="false">IFERROR(INDEX(Visitas!$C$2:$C$401,MATCH(A9,Visitas!$A$2:$A$401,0)),"")</f>
        <v>2023</v>
      </c>
      <c r="F9" s="0" t="str">
        <f aca="false">IFERROR(INDEX(Itens!$B$2:$B$100,MATCH(C9,Itens!$A$2:$A$100,0)),"")</f>
        <v>II</v>
      </c>
      <c r="G9" s="13" t="n">
        <v>1</v>
      </c>
      <c r="H9" s="13" t="n">
        <v>0</v>
      </c>
    </row>
    <row r="10" customFormat="false" ht="15" hidden="false" customHeight="false" outlineLevel="0" collapsed="false">
      <c r="A10" s="13" t="n">
        <v>1</v>
      </c>
      <c r="B10" s="0" t="str">
        <f aca="false">IFERROR(INDEX(Visitas!$B$2:$B$401,MATCH(A10,Visitas!$A$2:$A$401,0)),"")</f>
        <v>UBS Jardim Boer</v>
      </c>
      <c r="C10" s="13" t="s">
        <v>92</v>
      </c>
      <c r="D10" s="0" t="str">
        <f aca="false">IFERROR(INDEX(Itens!$C$2:$C$100,MATCH(C10,Itens!$A$2:$A$100,0)),"")</f>
        <v>Dimensionamento de equipe</v>
      </c>
      <c r="E10" s="0" t="str">
        <f aca="false">IFERROR(INDEX(Visitas!$C$2:$C$401,MATCH(A10,Visitas!$A$2:$A$401,0)),"")</f>
        <v>2023</v>
      </c>
      <c r="F10" s="0" t="str">
        <f aca="false">IFERROR(INDEX(Itens!$B$2:$B$100,MATCH(C10,Itens!$A$2:$A$100,0)),"")</f>
        <v>II</v>
      </c>
      <c r="G10" s="13" t="n">
        <v>2</v>
      </c>
      <c r="H10" s="13" t="n">
        <v>0</v>
      </c>
    </row>
    <row r="11" customFormat="false" ht="15" hidden="false" customHeight="false" outlineLevel="0" collapsed="false">
      <c r="A11" s="13" t="n">
        <v>1</v>
      </c>
      <c r="B11" s="0" t="str">
        <f aca="false">IFERROR(INDEX(Visitas!$B$2:$B$401,MATCH(A11,Visitas!$A$2:$A$401,0)),"")</f>
        <v>UBS Jardim Boer</v>
      </c>
      <c r="C11" s="13" t="s">
        <v>96</v>
      </c>
      <c r="D11" s="0" t="str">
        <f aca="false">IFERROR(INDEX(Itens!$C$2:$C$100,MATCH(C11,Itens!$A$2:$A$100,0)),"")</f>
        <v>Execução do cronograma de capacitação da equipe de trabalho</v>
      </c>
      <c r="E11" s="0" t="str">
        <f aca="false">IFERROR(INDEX(Visitas!$C$2:$C$401,MATCH(A11,Visitas!$A$2:$A$401,0)),"")</f>
        <v>2023</v>
      </c>
      <c r="F11" s="0" t="str">
        <f aca="false">IFERROR(INDEX(Itens!$B$2:$B$100,MATCH(C11,Itens!$A$2:$A$100,0)),"")</f>
        <v>II</v>
      </c>
      <c r="G11" s="13" t="n">
        <v>1</v>
      </c>
      <c r="H11" s="13" t="n">
        <v>0</v>
      </c>
    </row>
    <row r="12" customFormat="false" ht="15" hidden="false" customHeight="false" outlineLevel="0" collapsed="false">
      <c r="A12" s="13" t="n">
        <v>1</v>
      </c>
      <c r="B12" s="0" t="str">
        <f aca="false">IFERROR(INDEX(Visitas!$B$2:$B$401,MATCH(A12,Visitas!$A$2:$A$401,0)),"")</f>
        <v>UBS Jardim Boer</v>
      </c>
      <c r="C12" s="13" t="s">
        <v>100</v>
      </c>
      <c r="D12" s="0" t="str">
        <f aca="false">IFERROR(INDEX(Itens!$C$2:$C$100,MATCH(C12,Itens!$A$2:$A$100,0)),"")</f>
        <v>Disponibilidade de agendamento de consultas, exames e procedimentos</v>
      </c>
      <c r="E12" s="0" t="str">
        <f aca="false">IFERROR(INDEX(Visitas!$C$2:$C$401,MATCH(A12,Visitas!$A$2:$A$401,0)),"")</f>
        <v>2023</v>
      </c>
      <c r="F12" s="0" t="str">
        <f aca="false">IFERROR(INDEX(Itens!$B$2:$B$100,MATCH(C12,Itens!$A$2:$A$100,0)),"")</f>
        <v>II</v>
      </c>
      <c r="G12" s="13" t="n">
        <v>2</v>
      </c>
      <c r="H12" s="13" t="n">
        <v>0</v>
      </c>
    </row>
    <row r="13" customFormat="false" ht="15" hidden="false" customHeight="false" outlineLevel="0" collapsed="false">
      <c r="A13" s="13" t="n">
        <v>1</v>
      </c>
      <c r="B13" s="0" t="str">
        <f aca="false">IFERROR(INDEX(Visitas!$B$2:$B$401,MATCH(A13,Visitas!$A$2:$A$401,0)),"")</f>
        <v>UBS Jardim Boer</v>
      </c>
      <c r="C13" s="13" t="s">
        <v>104</v>
      </c>
      <c r="D13" s="0" t="str">
        <f aca="false">IFERROR(INDEX(Itens!$C$2:$C$100,MATCH(C13,Itens!$A$2:$A$100,0)),"")</f>
        <v>Atendimento aos indicadores do PMS</v>
      </c>
      <c r="E13" s="0" t="str">
        <f aca="false">IFERROR(INDEX(Visitas!$C$2:$C$401,MATCH(A13,Visitas!$A$2:$A$401,0)),"")</f>
        <v>2023</v>
      </c>
      <c r="F13" s="0" t="str">
        <f aca="false">IFERROR(INDEX(Itens!$B$2:$B$100,MATCH(C13,Itens!$A$2:$A$100,0)),"")</f>
        <v>III</v>
      </c>
      <c r="G13" s="13" t="n">
        <v>1</v>
      </c>
      <c r="H13" s="13" t="n">
        <v>0</v>
      </c>
    </row>
    <row r="14" customFormat="false" ht="15" hidden="false" customHeight="false" outlineLevel="0" collapsed="false">
      <c r="A14" s="13" t="n">
        <v>1</v>
      </c>
      <c r="B14" s="0" t="str">
        <f aca="false">IFERROR(INDEX(Visitas!$B$2:$B$401,MATCH(A14,Visitas!$A$2:$A$401,0)),"")</f>
        <v>UBS Jardim Boer</v>
      </c>
      <c r="C14" s="13" t="s">
        <v>109</v>
      </c>
      <c r="D14" s="0" t="str">
        <f aca="false">IFERROR(INDEX(Itens!$C$2:$C$100,MATCH(C14,Itens!$A$2:$A$100,0)),"")</f>
        <v>Registro de reclamações na Ouvidoria do COMSAUDE</v>
      </c>
      <c r="E14" s="0" t="str">
        <f aca="false">IFERROR(INDEX(Visitas!$C$2:$C$401,MATCH(A14,Visitas!$A$2:$A$401,0)),"")</f>
        <v>2023</v>
      </c>
      <c r="F14" s="0" t="str">
        <f aca="false">IFERROR(INDEX(Itens!$B$2:$B$100,MATCH(C14,Itens!$A$2:$A$100,0)),"")</f>
        <v>IV</v>
      </c>
      <c r="G14" s="13" t="n">
        <v>2</v>
      </c>
      <c r="H14" s="13" t="n">
        <v>0</v>
      </c>
    </row>
    <row r="15" customFormat="false" ht="15" hidden="false" customHeight="false" outlineLevel="0" collapsed="false">
      <c r="A15" s="13" t="n">
        <v>1</v>
      </c>
      <c r="B15" s="0" t="str">
        <f aca="false">IFERROR(INDEX(Visitas!$B$2:$B$401,MATCH(A15,Visitas!$A$2:$A$401,0)),"")</f>
        <v>UBS Jardim Boer</v>
      </c>
      <c r="C15" s="13" t="s">
        <v>113</v>
      </c>
      <c r="D15" s="0" t="str">
        <f aca="false">IFERROR(INDEX(Itens!$C$2:$C$100,MATCH(C15,Itens!$A$2:$A$100,0)),"")</f>
        <v>Satisfação dos usuários</v>
      </c>
      <c r="E15" s="0" t="str">
        <f aca="false">IFERROR(INDEX(Visitas!$C$2:$C$401,MATCH(A15,Visitas!$A$2:$A$401,0)),"")</f>
        <v>2023</v>
      </c>
      <c r="F15" s="0" t="str">
        <f aca="false">IFERROR(INDEX(Itens!$B$2:$B$100,MATCH(C15,Itens!$A$2:$A$100,0)),"")</f>
        <v>IV</v>
      </c>
      <c r="G15" s="13" t="n">
        <v>2</v>
      </c>
      <c r="H15" s="13" t="n">
        <v>0</v>
      </c>
    </row>
    <row r="16" customFormat="false" ht="15" hidden="false" customHeight="false" outlineLevel="0" collapsed="false">
      <c r="A16" s="13" t="n">
        <v>2</v>
      </c>
      <c r="B16" s="0" t="str">
        <f aca="false">IFERROR(INDEX(Visitas!$B$2:$B$401,MATCH(A16,Visitas!$A$2:$A$401,0)),"")</f>
        <v>UBS Jardim Ipiranga</v>
      </c>
      <c r="C16" s="13" t="s">
        <v>65</v>
      </c>
      <c r="D16" s="0" t="str">
        <f aca="false">IFERROR(INDEX(Itens!$C$2:$C$100,MATCH(C16,Itens!$A$2:$A$100,0)),"")</f>
        <v>Infraestrutura civil</v>
      </c>
      <c r="E16" s="0" t="str">
        <f aca="false">IFERROR(INDEX(Visitas!$C$2:$C$401,MATCH(A16,Visitas!$A$2:$A$401,0)),"")</f>
        <v>2023</v>
      </c>
      <c r="F16" s="0" t="str">
        <f aca="false">IFERROR(INDEX(Itens!$B$2:$B$100,MATCH(C16,Itens!$A$2:$A$100,0)),"")</f>
        <v>I</v>
      </c>
      <c r="G16" s="13" t="n">
        <v>1</v>
      </c>
      <c r="H16" s="13" t="n">
        <v>0</v>
      </c>
    </row>
    <row r="17" customFormat="false" ht="15" hidden="false" customHeight="false" outlineLevel="0" collapsed="false">
      <c r="A17" s="13" t="n">
        <v>2</v>
      </c>
      <c r="B17" s="0" t="str">
        <f aca="false">IFERROR(INDEX(Visitas!$B$2:$B$401,MATCH(A17,Visitas!$A$2:$A$401,0)),"")</f>
        <v>UBS Jardim Ipiranga</v>
      </c>
      <c r="C17" s="13" t="s">
        <v>70</v>
      </c>
      <c r="D17" s="0" t="str">
        <f aca="false">IFERROR(INDEX(Itens!$C$2:$C$100,MATCH(C17,Itens!$A$2:$A$100,0)),"")</f>
        <v>Infraestrutura elétrica</v>
      </c>
      <c r="E17" s="0" t="str">
        <f aca="false">IFERROR(INDEX(Visitas!$C$2:$C$401,MATCH(A17,Visitas!$A$2:$A$401,0)),"")</f>
        <v>2023</v>
      </c>
      <c r="F17" s="0" t="str">
        <f aca="false">IFERROR(INDEX(Itens!$B$2:$B$100,MATCH(C17,Itens!$A$2:$A$100,0)),"")</f>
        <v>I</v>
      </c>
      <c r="G17" s="13" t="n">
        <v>2</v>
      </c>
      <c r="H17" s="13" t="n">
        <v>0</v>
      </c>
    </row>
    <row r="18" customFormat="false" ht="15" hidden="false" customHeight="false" outlineLevel="0" collapsed="false">
      <c r="A18" s="13" t="n">
        <v>2</v>
      </c>
      <c r="B18" s="0" t="str">
        <f aca="false">IFERROR(INDEX(Visitas!$B$2:$B$401,MATCH(A18,Visitas!$A$2:$A$401,0)),"")</f>
        <v>UBS Jardim Ipiranga</v>
      </c>
      <c r="C18" s="13" t="s">
        <v>73</v>
      </c>
      <c r="D18" s="0" t="str">
        <f aca="false">IFERROR(INDEX(Itens!$C$2:$C$100,MATCH(C18,Itens!$A$2:$A$100,0)),"")</f>
        <v>Infraestrutura hidráulica</v>
      </c>
      <c r="E18" s="0" t="str">
        <f aca="false">IFERROR(INDEX(Visitas!$C$2:$C$401,MATCH(A18,Visitas!$A$2:$A$401,0)),"")</f>
        <v>2023</v>
      </c>
      <c r="F18" s="0" t="str">
        <f aca="false">IFERROR(INDEX(Itens!$B$2:$B$100,MATCH(C18,Itens!$A$2:$A$100,0)),"")</f>
        <v>I</v>
      </c>
      <c r="G18" s="13" t="n">
        <v>0</v>
      </c>
      <c r="H18" s="13" t="n">
        <v>0</v>
      </c>
    </row>
    <row r="19" customFormat="false" ht="15" hidden="false" customHeight="false" outlineLevel="0" collapsed="false">
      <c r="A19" s="13" t="n">
        <v>2</v>
      </c>
      <c r="B19" s="0" t="str">
        <f aca="false">IFERROR(INDEX(Visitas!$B$2:$B$401,MATCH(A19,Visitas!$A$2:$A$401,0)),"")</f>
        <v>UBS Jardim Ipiranga</v>
      </c>
      <c r="C19" s="13" t="s">
        <v>76</v>
      </c>
      <c r="D19" s="0" t="str">
        <f aca="false">IFERROR(INDEX(Itens!$C$2:$C$100,MATCH(C19,Itens!$A$2:$A$100,0)),"")</f>
        <v>Infraestrutura de comunicação</v>
      </c>
      <c r="E19" s="0" t="str">
        <f aca="false">IFERROR(INDEX(Visitas!$C$2:$C$401,MATCH(A19,Visitas!$A$2:$A$401,0)),"")</f>
        <v>2023</v>
      </c>
      <c r="F19" s="0" t="str">
        <f aca="false">IFERROR(INDEX(Itens!$B$2:$B$100,MATCH(C19,Itens!$A$2:$A$100,0)),"")</f>
        <v>I</v>
      </c>
      <c r="G19" s="13" t="n">
        <v>2</v>
      </c>
      <c r="H19" s="13" t="n">
        <v>0</v>
      </c>
    </row>
    <row r="20" customFormat="false" ht="15" hidden="false" customHeight="false" outlineLevel="0" collapsed="false">
      <c r="A20" s="13" t="n">
        <v>2</v>
      </c>
      <c r="B20" s="0" t="str">
        <f aca="false">IFERROR(INDEX(Visitas!$B$2:$B$401,MATCH(A20,Visitas!$A$2:$A$401,0)),"")</f>
        <v>UBS Jardim Ipiranga</v>
      </c>
      <c r="C20" s="13" t="s">
        <v>79</v>
      </c>
      <c r="D20" s="0" t="str">
        <f aca="false">IFERROR(INDEX(Itens!$C$2:$C$100,MATCH(C20,Itens!$A$2:$A$100,0)),"")</f>
        <v>Equipamentos</v>
      </c>
      <c r="E20" s="0" t="str">
        <f aca="false">IFERROR(INDEX(Visitas!$C$2:$C$401,MATCH(A20,Visitas!$A$2:$A$401,0)),"")</f>
        <v>2023</v>
      </c>
      <c r="F20" s="0" t="str">
        <f aca="false">IFERROR(INDEX(Itens!$B$2:$B$100,MATCH(C20,Itens!$A$2:$A$100,0)),"")</f>
        <v>I</v>
      </c>
      <c r="G20" s="13" t="n">
        <v>1</v>
      </c>
      <c r="H20" s="13" t="n">
        <v>0</v>
      </c>
    </row>
    <row r="21" customFormat="false" ht="15" hidden="false" customHeight="false" outlineLevel="0" collapsed="false">
      <c r="A21" s="13" t="n">
        <v>2</v>
      </c>
      <c r="B21" s="0" t="str">
        <f aca="false">IFERROR(INDEX(Visitas!$B$2:$B$401,MATCH(A21,Visitas!$A$2:$A$401,0)),"")</f>
        <v>UBS Jardim Ipiranga</v>
      </c>
      <c r="C21" s="13" t="s">
        <v>82</v>
      </c>
      <c r="D21" s="0" t="str">
        <f aca="false">IFERROR(INDEX(Itens!$C$2:$C$100,MATCH(C21,Itens!$A$2:$A$100,0)),"")</f>
        <v>Materiais, medicamentos e insumos</v>
      </c>
      <c r="E21" s="0" t="str">
        <f aca="false">IFERROR(INDEX(Visitas!$C$2:$C$401,MATCH(A21,Visitas!$A$2:$A$401,0)),"")</f>
        <v>2023</v>
      </c>
      <c r="F21" s="0" t="str">
        <f aca="false">IFERROR(INDEX(Itens!$B$2:$B$100,MATCH(C21,Itens!$A$2:$A$100,0)),"")</f>
        <v>I</v>
      </c>
      <c r="G21" s="13" t="n">
        <v>1</v>
      </c>
      <c r="H21" s="13" t="n">
        <v>0</v>
      </c>
    </row>
    <row r="22" customFormat="false" ht="15" hidden="false" customHeight="false" outlineLevel="0" collapsed="false">
      <c r="A22" s="13" t="n">
        <v>2</v>
      </c>
      <c r="B22" s="0" t="str">
        <f aca="false">IFERROR(INDEX(Visitas!$B$2:$B$401,MATCH(A22,Visitas!$A$2:$A$401,0)),"")</f>
        <v>UBS Jardim Ipiranga</v>
      </c>
      <c r="C22" s="13" t="s">
        <v>85</v>
      </c>
      <c r="D22" s="0" t="str">
        <f aca="false">IFERROR(INDEX(Itens!$C$2:$C$100,MATCH(C22,Itens!$A$2:$A$100,0)),"")</f>
        <v>Conforto, limpeza e organização</v>
      </c>
      <c r="E22" s="0" t="str">
        <f aca="false">IFERROR(INDEX(Visitas!$C$2:$C$401,MATCH(A22,Visitas!$A$2:$A$401,0)),"")</f>
        <v>2023</v>
      </c>
      <c r="F22" s="0" t="str">
        <f aca="false">IFERROR(INDEX(Itens!$B$2:$B$100,MATCH(C22,Itens!$A$2:$A$100,0)),"")</f>
        <v>I</v>
      </c>
      <c r="G22" s="13" t="n">
        <v>1</v>
      </c>
      <c r="H22" s="13" t="n">
        <v>0</v>
      </c>
    </row>
    <row r="23" customFormat="false" ht="15" hidden="false" customHeight="false" outlineLevel="0" collapsed="false">
      <c r="A23" s="13" t="n">
        <v>2</v>
      </c>
      <c r="B23" s="0" t="str">
        <f aca="false">IFERROR(INDEX(Visitas!$B$2:$B$401,MATCH(A23,Visitas!$A$2:$A$401,0)),"")</f>
        <v>UBS Jardim Ipiranga</v>
      </c>
      <c r="C23" s="13" t="s">
        <v>88</v>
      </c>
      <c r="D23" s="0" t="str">
        <f aca="false">IFERROR(INDEX(Itens!$C$2:$C$100,MATCH(C23,Itens!$A$2:$A$100,0)),"")</f>
        <v>Utilização de indicadores de gestão</v>
      </c>
      <c r="E23" s="0" t="str">
        <f aca="false">IFERROR(INDEX(Visitas!$C$2:$C$401,MATCH(A23,Visitas!$A$2:$A$401,0)),"")</f>
        <v>2023</v>
      </c>
      <c r="F23" s="0" t="str">
        <f aca="false">IFERROR(INDEX(Itens!$B$2:$B$100,MATCH(C23,Itens!$A$2:$A$100,0)),"")</f>
        <v>II</v>
      </c>
      <c r="G23" s="13" t="n">
        <v>1</v>
      </c>
      <c r="H23" s="13" t="n">
        <v>0</v>
      </c>
    </row>
    <row r="24" customFormat="false" ht="15" hidden="false" customHeight="false" outlineLevel="0" collapsed="false">
      <c r="A24" s="13" t="n">
        <v>2</v>
      </c>
      <c r="B24" s="0" t="str">
        <f aca="false">IFERROR(INDEX(Visitas!$B$2:$B$401,MATCH(A24,Visitas!$A$2:$A$401,0)),"")</f>
        <v>UBS Jardim Ipiranga</v>
      </c>
      <c r="C24" s="13" t="s">
        <v>92</v>
      </c>
      <c r="D24" s="0" t="str">
        <f aca="false">IFERROR(INDEX(Itens!$C$2:$C$100,MATCH(C24,Itens!$A$2:$A$100,0)),"")</f>
        <v>Dimensionamento de equipe</v>
      </c>
      <c r="E24" s="0" t="str">
        <f aca="false">IFERROR(INDEX(Visitas!$C$2:$C$401,MATCH(A24,Visitas!$A$2:$A$401,0)),"")</f>
        <v>2023</v>
      </c>
      <c r="F24" s="0" t="str">
        <f aca="false">IFERROR(INDEX(Itens!$B$2:$B$100,MATCH(C24,Itens!$A$2:$A$100,0)),"")</f>
        <v>II</v>
      </c>
      <c r="G24" s="13" t="n">
        <v>2</v>
      </c>
      <c r="H24" s="13" t="n">
        <v>0</v>
      </c>
    </row>
    <row r="25" customFormat="false" ht="15" hidden="false" customHeight="false" outlineLevel="0" collapsed="false">
      <c r="A25" s="13" t="n">
        <v>2</v>
      </c>
      <c r="B25" s="0" t="str">
        <f aca="false">IFERROR(INDEX(Visitas!$B$2:$B$401,MATCH(A25,Visitas!$A$2:$A$401,0)),"")</f>
        <v>UBS Jardim Ipiranga</v>
      </c>
      <c r="C25" s="13" t="s">
        <v>96</v>
      </c>
      <c r="D25" s="0" t="str">
        <f aca="false">IFERROR(INDEX(Itens!$C$2:$C$100,MATCH(C25,Itens!$A$2:$A$100,0)),"")</f>
        <v>Execução do cronograma de capacitação da equipe de trabalho</v>
      </c>
      <c r="E25" s="0" t="str">
        <f aca="false">IFERROR(INDEX(Visitas!$C$2:$C$401,MATCH(A25,Visitas!$A$2:$A$401,0)),"")</f>
        <v>2023</v>
      </c>
      <c r="F25" s="0" t="str">
        <f aca="false">IFERROR(INDEX(Itens!$B$2:$B$100,MATCH(C25,Itens!$A$2:$A$100,0)),"")</f>
        <v>II</v>
      </c>
      <c r="G25" s="13" t="n">
        <v>1</v>
      </c>
      <c r="H25" s="13" t="n">
        <v>0</v>
      </c>
    </row>
    <row r="26" customFormat="false" ht="15" hidden="false" customHeight="false" outlineLevel="0" collapsed="false">
      <c r="A26" s="13" t="n">
        <v>2</v>
      </c>
      <c r="B26" s="0" t="str">
        <f aca="false">IFERROR(INDEX(Visitas!$B$2:$B$401,MATCH(A26,Visitas!$A$2:$A$401,0)),"")</f>
        <v>UBS Jardim Ipiranga</v>
      </c>
      <c r="C26" s="13" t="s">
        <v>100</v>
      </c>
      <c r="D26" s="0" t="str">
        <f aca="false">IFERROR(INDEX(Itens!$C$2:$C$100,MATCH(C26,Itens!$A$2:$A$100,0)),"")</f>
        <v>Disponibilidade de agendamento de consultas, exames e procedimentos</v>
      </c>
      <c r="E26" s="0" t="str">
        <f aca="false">IFERROR(INDEX(Visitas!$C$2:$C$401,MATCH(A26,Visitas!$A$2:$A$401,0)),"")</f>
        <v>2023</v>
      </c>
      <c r="F26" s="0" t="str">
        <f aca="false">IFERROR(INDEX(Itens!$B$2:$B$100,MATCH(C26,Itens!$A$2:$A$100,0)),"")</f>
        <v>II</v>
      </c>
      <c r="G26" s="13" t="n">
        <v>1</v>
      </c>
      <c r="H26" s="13" t="n">
        <v>0</v>
      </c>
    </row>
    <row r="27" customFormat="false" ht="15" hidden="false" customHeight="false" outlineLevel="0" collapsed="false">
      <c r="A27" s="13" t="n">
        <v>2</v>
      </c>
      <c r="B27" s="0" t="str">
        <f aca="false">IFERROR(INDEX(Visitas!$B$2:$B$401,MATCH(A27,Visitas!$A$2:$A$401,0)),"")</f>
        <v>UBS Jardim Ipiranga</v>
      </c>
      <c r="C27" s="13" t="s">
        <v>104</v>
      </c>
      <c r="D27" s="0" t="str">
        <f aca="false">IFERROR(INDEX(Itens!$C$2:$C$100,MATCH(C27,Itens!$A$2:$A$100,0)),"")</f>
        <v>Atendimento aos indicadores do PMS</v>
      </c>
      <c r="E27" s="0" t="str">
        <f aca="false">IFERROR(INDEX(Visitas!$C$2:$C$401,MATCH(A27,Visitas!$A$2:$A$401,0)),"")</f>
        <v>2023</v>
      </c>
      <c r="F27" s="0" t="str">
        <f aca="false">IFERROR(INDEX(Itens!$B$2:$B$100,MATCH(C27,Itens!$A$2:$A$100,0)),"")</f>
        <v>III</v>
      </c>
      <c r="G27" s="13" t="n">
        <v>1</v>
      </c>
      <c r="H27" s="13" t="n">
        <v>0</v>
      </c>
    </row>
    <row r="28" customFormat="false" ht="15" hidden="false" customHeight="false" outlineLevel="0" collapsed="false">
      <c r="A28" s="13" t="n">
        <v>2</v>
      </c>
      <c r="B28" s="0" t="str">
        <f aca="false">IFERROR(INDEX(Visitas!$B$2:$B$401,MATCH(A28,Visitas!$A$2:$A$401,0)),"")</f>
        <v>UBS Jardim Ipiranga</v>
      </c>
      <c r="C28" s="13" t="s">
        <v>109</v>
      </c>
      <c r="D28" s="0" t="str">
        <f aca="false">IFERROR(INDEX(Itens!$C$2:$C$100,MATCH(C28,Itens!$A$2:$A$100,0)),"")</f>
        <v>Registro de reclamações na Ouvidoria do COMSAUDE</v>
      </c>
      <c r="E28" s="0" t="str">
        <f aca="false">IFERROR(INDEX(Visitas!$C$2:$C$401,MATCH(A28,Visitas!$A$2:$A$401,0)),"")</f>
        <v>2023</v>
      </c>
      <c r="F28" s="0" t="str">
        <f aca="false">IFERROR(INDEX(Itens!$B$2:$B$100,MATCH(C28,Itens!$A$2:$A$100,0)),"")</f>
        <v>IV</v>
      </c>
      <c r="G28" s="13" t="n">
        <v>2</v>
      </c>
      <c r="H28" s="13" t="n">
        <v>0</v>
      </c>
    </row>
    <row r="29" customFormat="false" ht="15" hidden="false" customHeight="false" outlineLevel="0" collapsed="false">
      <c r="A29" s="13" t="n">
        <v>2</v>
      </c>
      <c r="B29" s="0" t="str">
        <f aca="false">IFERROR(INDEX(Visitas!$B$2:$B$401,MATCH(A29,Visitas!$A$2:$A$401,0)),"")</f>
        <v>UBS Jardim Ipiranga</v>
      </c>
      <c r="C29" s="13" t="s">
        <v>113</v>
      </c>
      <c r="D29" s="0" t="str">
        <f aca="false">IFERROR(INDEX(Itens!$C$2:$C$100,MATCH(C29,Itens!$A$2:$A$100,0)),"")</f>
        <v>Satisfação dos usuários</v>
      </c>
      <c r="E29" s="0" t="str">
        <f aca="false">IFERROR(INDEX(Visitas!$C$2:$C$401,MATCH(A29,Visitas!$A$2:$A$401,0)),"")</f>
        <v>2023</v>
      </c>
      <c r="F29" s="0" t="str">
        <f aca="false">IFERROR(INDEX(Itens!$B$2:$B$100,MATCH(C29,Itens!$A$2:$A$100,0)),"")</f>
        <v>IV</v>
      </c>
      <c r="G29" s="13" t="n">
        <v>1</v>
      </c>
      <c r="H29" s="13" t="n">
        <v>0</v>
      </c>
    </row>
    <row r="30" customFormat="false" ht="15" hidden="false" customHeight="false" outlineLevel="0" collapsed="false">
      <c r="A30" s="13" t="n">
        <v>3</v>
      </c>
      <c r="B30" s="0" t="str">
        <f aca="false">IFERROR(INDEX(Visitas!$B$2:$B$401,MATCH(A30,Visitas!$A$2:$A$401,0)),"")</f>
        <v>UBS Jardim São Paulo</v>
      </c>
      <c r="C30" s="13" t="s">
        <v>65</v>
      </c>
      <c r="D30" s="0" t="str">
        <f aca="false">IFERROR(INDEX(Itens!$C$2:$C$100,MATCH(C30,Itens!$A$2:$A$100,0)),"")</f>
        <v>Infraestrutura civil</v>
      </c>
      <c r="E30" s="0" t="str">
        <f aca="false">IFERROR(INDEX(Visitas!$C$2:$C$401,MATCH(A30,Visitas!$A$2:$A$401,0)),"")</f>
        <v>2023</v>
      </c>
      <c r="F30" s="0" t="str">
        <f aca="false">IFERROR(INDEX(Itens!$B$2:$B$100,MATCH(C30,Itens!$A$2:$A$100,0)),"")</f>
        <v>I</v>
      </c>
      <c r="G30" s="13" t="n">
        <v>1</v>
      </c>
      <c r="H30" s="13" t="n">
        <v>0</v>
      </c>
    </row>
    <row r="31" customFormat="false" ht="15" hidden="false" customHeight="false" outlineLevel="0" collapsed="false">
      <c r="A31" s="13" t="n">
        <v>3</v>
      </c>
      <c r="B31" s="0" t="str">
        <f aca="false">IFERROR(INDEX(Visitas!$B$2:$B$401,MATCH(A31,Visitas!$A$2:$A$401,0)),"")</f>
        <v>UBS Jardim São Paulo</v>
      </c>
      <c r="C31" s="13" t="s">
        <v>70</v>
      </c>
      <c r="D31" s="0" t="str">
        <f aca="false">IFERROR(INDEX(Itens!$C$2:$C$100,MATCH(C31,Itens!$A$2:$A$100,0)),"")</f>
        <v>Infraestrutura elétrica</v>
      </c>
      <c r="E31" s="0" t="str">
        <f aca="false">IFERROR(INDEX(Visitas!$C$2:$C$401,MATCH(A31,Visitas!$A$2:$A$401,0)),"")</f>
        <v>2023</v>
      </c>
      <c r="F31" s="0" t="str">
        <f aca="false">IFERROR(INDEX(Itens!$B$2:$B$100,MATCH(C31,Itens!$A$2:$A$100,0)),"")</f>
        <v>I</v>
      </c>
      <c r="G31" s="13" t="n">
        <v>2</v>
      </c>
      <c r="H31" s="13" t="n">
        <v>0</v>
      </c>
    </row>
    <row r="32" customFormat="false" ht="15" hidden="false" customHeight="false" outlineLevel="0" collapsed="false">
      <c r="A32" s="13" t="n">
        <v>3</v>
      </c>
      <c r="B32" s="0" t="str">
        <f aca="false">IFERROR(INDEX(Visitas!$B$2:$B$401,MATCH(A32,Visitas!$A$2:$A$401,0)),"")</f>
        <v>UBS Jardim São Paulo</v>
      </c>
      <c r="C32" s="13" t="s">
        <v>73</v>
      </c>
      <c r="D32" s="0" t="str">
        <f aca="false">IFERROR(INDEX(Itens!$C$2:$C$100,MATCH(C32,Itens!$A$2:$A$100,0)),"")</f>
        <v>Infraestrutura hidráulica</v>
      </c>
      <c r="E32" s="0" t="str">
        <f aca="false">IFERROR(INDEX(Visitas!$C$2:$C$401,MATCH(A32,Visitas!$A$2:$A$401,0)),"")</f>
        <v>2023</v>
      </c>
      <c r="F32" s="0" t="str">
        <f aca="false">IFERROR(INDEX(Itens!$B$2:$B$100,MATCH(C32,Itens!$A$2:$A$100,0)),"")</f>
        <v>I</v>
      </c>
      <c r="G32" s="13" t="n">
        <v>2</v>
      </c>
      <c r="H32" s="13" t="n">
        <v>0</v>
      </c>
    </row>
    <row r="33" customFormat="false" ht="15" hidden="false" customHeight="false" outlineLevel="0" collapsed="false">
      <c r="A33" s="13" t="n">
        <v>3</v>
      </c>
      <c r="B33" s="0" t="str">
        <f aca="false">IFERROR(INDEX(Visitas!$B$2:$B$401,MATCH(A33,Visitas!$A$2:$A$401,0)),"")</f>
        <v>UBS Jardim São Paulo</v>
      </c>
      <c r="C33" s="13" t="s">
        <v>76</v>
      </c>
      <c r="D33" s="0" t="str">
        <f aca="false">IFERROR(INDEX(Itens!$C$2:$C$100,MATCH(C33,Itens!$A$2:$A$100,0)),"")</f>
        <v>Infraestrutura de comunicação</v>
      </c>
      <c r="E33" s="0" t="str">
        <f aca="false">IFERROR(INDEX(Visitas!$C$2:$C$401,MATCH(A33,Visitas!$A$2:$A$401,0)),"")</f>
        <v>2023</v>
      </c>
      <c r="F33" s="0" t="str">
        <f aca="false">IFERROR(INDEX(Itens!$B$2:$B$100,MATCH(C33,Itens!$A$2:$A$100,0)),"")</f>
        <v>I</v>
      </c>
      <c r="G33" s="13" t="n">
        <v>2</v>
      </c>
      <c r="H33" s="13" t="n">
        <v>0</v>
      </c>
    </row>
    <row r="34" customFormat="false" ht="15" hidden="false" customHeight="false" outlineLevel="0" collapsed="false">
      <c r="A34" s="13" t="n">
        <v>3</v>
      </c>
      <c r="B34" s="0" t="str">
        <f aca="false">IFERROR(INDEX(Visitas!$B$2:$B$401,MATCH(A34,Visitas!$A$2:$A$401,0)),"")</f>
        <v>UBS Jardim São Paulo</v>
      </c>
      <c r="C34" s="13" t="s">
        <v>79</v>
      </c>
      <c r="D34" s="0" t="str">
        <f aca="false">IFERROR(INDEX(Itens!$C$2:$C$100,MATCH(C34,Itens!$A$2:$A$100,0)),"")</f>
        <v>Equipamentos</v>
      </c>
      <c r="E34" s="0" t="str">
        <f aca="false">IFERROR(INDEX(Visitas!$C$2:$C$401,MATCH(A34,Visitas!$A$2:$A$401,0)),"")</f>
        <v>2023</v>
      </c>
      <c r="F34" s="0" t="str">
        <f aca="false">IFERROR(INDEX(Itens!$B$2:$B$100,MATCH(C34,Itens!$A$2:$A$100,0)),"")</f>
        <v>I</v>
      </c>
      <c r="G34" s="13" t="n">
        <v>2</v>
      </c>
      <c r="H34" s="13" t="n">
        <v>0</v>
      </c>
    </row>
    <row r="35" customFormat="false" ht="15" hidden="false" customHeight="false" outlineLevel="0" collapsed="false">
      <c r="A35" s="13" t="n">
        <v>3</v>
      </c>
      <c r="B35" s="0" t="str">
        <f aca="false">IFERROR(INDEX(Visitas!$B$2:$B$401,MATCH(A35,Visitas!$A$2:$A$401,0)),"")</f>
        <v>UBS Jardim São Paulo</v>
      </c>
      <c r="C35" s="13" t="s">
        <v>82</v>
      </c>
      <c r="D35" s="0" t="str">
        <f aca="false">IFERROR(INDEX(Itens!$C$2:$C$100,MATCH(C35,Itens!$A$2:$A$100,0)),"")</f>
        <v>Materiais, medicamentos e insumos</v>
      </c>
      <c r="E35" s="0" t="str">
        <f aca="false">IFERROR(INDEX(Visitas!$C$2:$C$401,MATCH(A35,Visitas!$A$2:$A$401,0)),"")</f>
        <v>2023</v>
      </c>
      <c r="F35" s="0" t="str">
        <f aca="false">IFERROR(INDEX(Itens!$B$2:$B$100,MATCH(C35,Itens!$A$2:$A$100,0)),"")</f>
        <v>I</v>
      </c>
      <c r="G35" s="13" t="n">
        <v>2</v>
      </c>
      <c r="H35" s="13" t="n">
        <v>0</v>
      </c>
    </row>
    <row r="36" customFormat="false" ht="15" hidden="false" customHeight="false" outlineLevel="0" collapsed="false">
      <c r="A36" s="13" t="n">
        <v>3</v>
      </c>
      <c r="B36" s="0" t="str">
        <f aca="false">IFERROR(INDEX(Visitas!$B$2:$B$401,MATCH(A36,Visitas!$A$2:$A$401,0)),"")</f>
        <v>UBS Jardim São Paulo</v>
      </c>
      <c r="C36" s="13" t="s">
        <v>85</v>
      </c>
      <c r="D36" s="0" t="str">
        <f aca="false">IFERROR(INDEX(Itens!$C$2:$C$100,MATCH(C36,Itens!$A$2:$A$100,0)),"")</f>
        <v>Conforto, limpeza e organização</v>
      </c>
      <c r="E36" s="0" t="str">
        <f aca="false">IFERROR(INDEX(Visitas!$C$2:$C$401,MATCH(A36,Visitas!$A$2:$A$401,0)),"")</f>
        <v>2023</v>
      </c>
      <c r="F36" s="0" t="str">
        <f aca="false">IFERROR(INDEX(Itens!$B$2:$B$100,MATCH(C36,Itens!$A$2:$A$100,0)),"")</f>
        <v>I</v>
      </c>
      <c r="G36" s="13" t="n">
        <v>2</v>
      </c>
      <c r="H36" s="13" t="n">
        <v>0</v>
      </c>
    </row>
    <row r="37" customFormat="false" ht="15" hidden="false" customHeight="false" outlineLevel="0" collapsed="false">
      <c r="A37" s="13" t="n">
        <v>3</v>
      </c>
      <c r="B37" s="0" t="str">
        <f aca="false">IFERROR(INDEX(Visitas!$B$2:$B$401,MATCH(A37,Visitas!$A$2:$A$401,0)),"")</f>
        <v>UBS Jardim São Paulo</v>
      </c>
      <c r="C37" s="13" t="s">
        <v>88</v>
      </c>
      <c r="D37" s="0" t="str">
        <f aca="false">IFERROR(INDEX(Itens!$C$2:$C$100,MATCH(C37,Itens!$A$2:$A$100,0)),"")</f>
        <v>Utilização de indicadores de gestão</v>
      </c>
      <c r="E37" s="0" t="str">
        <f aca="false">IFERROR(INDEX(Visitas!$C$2:$C$401,MATCH(A37,Visitas!$A$2:$A$401,0)),"")</f>
        <v>2023</v>
      </c>
      <c r="F37" s="0" t="str">
        <f aca="false">IFERROR(INDEX(Itens!$B$2:$B$100,MATCH(C37,Itens!$A$2:$A$100,0)),"")</f>
        <v>II</v>
      </c>
      <c r="G37" s="13" t="n">
        <v>0</v>
      </c>
      <c r="H37" s="13" t="n">
        <v>0</v>
      </c>
    </row>
    <row r="38" customFormat="false" ht="15" hidden="false" customHeight="false" outlineLevel="0" collapsed="false">
      <c r="A38" s="13" t="n">
        <v>3</v>
      </c>
      <c r="B38" s="0" t="str">
        <f aca="false">IFERROR(INDEX(Visitas!$B$2:$B$401,MATCH(A38,Visitas!$A$2:$A$401,0)),"")</f>
        <v>UBS Jardim São Paulo</v>
      </c>
      <c r="C38" s="13" t="s">
        <v>92</v>
      </c>
      <c r="D38" s="0" t="str">
        <f aca="false">IFERROR(INDEX(Itens!$C$2:$C$100,MATCH(C38,Itens!$A$2:$A$100,0)),"")</f>
        <v>Dimensionamento de equipe</v>
      </c>
      <c r="E38" s="0" t="str">
        <f aca="false">IFERROR(INDEX(Visitas!$C$2:$C$401,MATCH(A38,Visitas!$A$2:$A$401,0)),"")</f>
        <v>2023</v>
      </c>
      <c r="F38" s="0" t="str">
        <f aca="false">IFERROR(INDEX(Itens!$B$2:$B$100,MATCH(C38,Itens!$A$2:$A$100,0)),"")</f>
        <v>II</v>
      </c>
      <c r="G38" s="13" t="n">
        <v>2</v>
      </c>
      <c r="H38" s="13" t="n">
        <v>0</v>
      </c>
    </row>
    <row r="39" customFormat="false" ht="15" hidden="false" customHeight="false" outlineLevel="0" collapsed="false">
      <c r="A39" s="13" t="n">
        <v>3</v>
      </c>
      <c r="B39" s="0" t="str">
        <f aca="false">IFERROR(INDEX(Visitas!$B$2:$B$401,MATCH(A39,Visitas!$A$2:$A$401,0)),"")</f>
        <v>UBS Jardim São Paulo</v>
      </c>
      <c r="C39" s="13" t="s">
        <v>96</v>
      </c>
      <c r="D39" s="0" t="str">
        <f aca="false">IFERROR(INDEX(Itens!$C$2:$C$100,MATCH(C39,Itens!$A$2:$A$100,0)),"")</f>
        <v>Execução do cronograma de capacitação da equipe de trabalho</v>
      </c>
      <c r="E39" s="0" t="str">
        <f aca="false">IFERROR(INDEX(Visitas!$C$2:$C$401,MATCH(A39,Visitas!$A$2:$A$401,0)),"")</f>
        <v>2023</v>
      </c>
      <c r="F39" s="0" t="str">
        <f aca="false">IFERROR(INDEX(Itens!$B$2:$B$100,MATCH(C39,Itens!$A$2:$A$100,0)),"")</f>
        <v>II</v>
      </c>
      <c r="G39" s="13" t="n">
        <v>0</v>
      </c>
      <c r="H39" s="13" t="n">
        <v>0</v>
      </c>
    </row>
    <row r="40" customFormat="false" ht="15" hidden="false" customHeight="false" outlineLevel="0" collapsed="false">
      <c r="A40" s="13" t="n">
        <v>3</v>
      </c>
      <c r="B40" s="0" t="str">
        <f aca="false">IFERROR(INDEX(Visitas!$B$2:$B$401,MATCH(A40,Visitas!$A$2:$A$401,0)),"")</f>
        <v>UBS Jardim São Paulo</v>
      </c>
      <c r="C40" s="13" t="s">
        <v>100</v>
      </c>
      <c r="D40" s="0" t="str">
        <f aca="false">IFERROR(INDEX(Itens!$C$2:$C$100,MATCH(C40,Itens!$A$2:$A$100,0)),"")</f>
        <v>Disponibilidade de agendamento de consultas, exames e procedimentos</v>
      </c>
      <c r="E40" s="0" t="str">
        <f aca="false">IFERROR(INDEX(Visitas!$C$2:$C$401,MATCH(A40,Visitas!$A$2:$A$401,0)),"")</f>
        <v>2023</v>
      </c>
      <c r="F40" s="0" t="str">
        <f aca="false">IFERROR(INDEX(Itens!$B$2:$B$100,MATCH(C40,Itens!$A$2:$A$100,0)),"")</f>
        <v>II</v>
      </c>
      <c r="G40" s="13" t="n">
        <v>2</v>
      </c>
      <c r="H40" s="13" t="n">
        <v>0</v>
      </c>
    </row>
    <row r="41" customFormat="false" ht="15" hidden="false" customHeight="false" outlineLevel="0" collapsed="false">
      <c r="A41" s="13" t="n">
        <v>3</v>
      </c>
      <c r="B41" s="0" t="str">
        <f aca="false">IFERROR(INDEX(Visitas!$B$2:$B$401,MATCH(A41,Visitas!$A$2:$A$401,0)),"")</f>
        <v>UBS Jardim São Paulo</v>
      </c>
      <c r="C41" s="13" t="s">
        <v>104</v>
      </c>
      <c r="D41" s="0" t="str">
        <f aca="false">IFERROR(INDEX(Itens!$C$2:$C$100,MATCH(C41,Itens!$A$2:$A$100,0)),"")</f>
        <v>Atendimento aos indicadores do PMS</v>
      </c>
      <c r="E41" s="0" t="str">
        <f aca="false">IFERROR(INDEX(Visitas!$C$2:$C$401,MATCH(A41,Visitas!$A$2:$A$401,0)),"")</f>
        <v>2023</v>
      </c>
      <c r="F41" s="0" t="str">
        <f aca="false">IFERROR(INDEX(Itens!$B$2:$B$100,MATCH(C41,Itens!$A$2:$A$100,0)),"")</f>
        <v>III</v>
      </c>
      <c r="G41" s="13" t="n">
        <v>2</v>
      </c>
      <c r="H41" s="13" t="n">
        <v>0</v>
      </c>
    </row>
    <row r="42" customFormat="false" ht="15" hidden="false" customHeight="false" outlineLevel="0" collapsed="false">
      <c r="A42" s="13" t="n">
        <v>3</v>
      </c>
      <c r="B42" s="0" t="str">
        <f aca="false">IFERROR(INDEX(Visitas!$B$2:$B$401,MATCH(A42,Visitas!$A$2:$A$401,0)),"")</f>
        <v>UBS Jardim São Paulo</v>
      </c>
      <c r="C42" s="13" t="s">
        <v>109</v>
      </c>
      <c r="D42" s="0" t="str">
        <f aca="false">IFERROR(INDEX(Itens!$C$2:$C$100,MATCH(C42,Itens!$A$2:$A$100,0)),"")</f>
        <v>Registro de reclamações na Ouvidoria do COMSAUDE</v>
      </c>
      <c r="E42" s="0" t="str">
        <f aca="false">IFERROR(INDEX(Visitas!$C$2:$C$401,MATCH(A42,Visitas!$A$2:$A$401,0)),"")</f>
        <v>2023</v>
      </c>
      <c r="F42" s="0" t="str">
        <f aca="false">IFERROR(INDEX(Itens!$B$2:$B$100,MATCH(C42,Itens!$A$2:$A$100,0)),"")</f>
        <v>IV</v>
      </c>
      <c r="G42" s="13" t="n">
        <v>2</v>
      </c>
      <c r="H42" s="13" t="n">
        <v>0</v>
      </c>
    </row>
    <row r="43" customFormat="false" ht="15" hidden="false" customHeight="false" outlineLevel="0" collapsed="false">
      <c r="A43" s="13" t="n">
        <v>3</v>
      </c>
      <c r="B43" s="0" t="str">
        <f aca="false">IFERROR(INDEX(Visitas!$B$2:$B$401,MATCH(A43,Visitas!$A$2:$A$401,0)),"")</f>
        <v>UBS Jardim São Paulo</v>
      </c>
      <c r="C43" s="13" t="s">
        <v>113</v>
      </c>
      <c r="D43" s="0" t="str">
        <f aca="false">IFERROR(INDEX(Itens!$C$2:$C$100,MATCH(C43,Itens!$A$2:$A$100,0)),"")</f>
        <v>Satisfação dos usuários</v>
      </c>
      <c r="E43" s="0" t="str">
        <f aca="false">IFERROR(INDEX(Visitas!$C$2:$C$401,MATCH(A43,Visitas!$A$2:$A$401,0)),"")</f>
        <v>2023</v>
      </c>
      <c r="F43" s="0" t="str">
        <f aca="false">IFERROR(INDEX(Itens!$B$2:$B$100,MATCH(C43,Itens!$A$2:$A$100,0)),"")</f>
        <v>IV</v>
      </c>
      <c r="G43" s="13" t="n">
        <v>2</v>
      </c>
      <c r="H43" s="13" t="n">
        <v>0</v>
      </c>
    </row>
    <row r="44" customFormat="false" ht="15" hidden="false" customHeight="false" outlineLevel="0" collapsed="false">
      <c r="A44" s="13" t="n">
        <v>4</v>
      </c>
      <c r="B44" s="0" t="str">
        <f aca="false">IFERROR(INDEX(Visitas!$B$2:$B$401,MATCH(A44,Visitas!$A$2:$A$401,0)),"")</f>
        <v>UBS Dona Rosa</v>
      </c>
      <c r="C44" s="13" t="s">
        <v>65</v>
      </c>
      <c r="D44" s="0" t="str">
        <f aca="false">IFERROR(INDEX(Itens!$C$2:$C$100,MATCH(C44,Itens!$A$2:$A$100,0)),"")</f>
        <v>Infraestrutura civil</v>
      </c>
      <c r="E44" s="0" t="str">
        <f aca="false">IFERROR(INDEX(Visitas!$C$2:$C$401,MATCH(A44,Visitas!$A$2:$A$401,0)),"")</f>
        <v>2023</v>
      </c>
      <c r="F44" s="0" t="str">
        <f aca="false">IFERROR(INDEX(Itens!$B$2:$B$100,MATCH(C44,Itens!$A$2:$A$100,0)),"")</f>
        <v>I</v>
      </c>
      <c r="G44" s="13" t="n">
        <v>1</v>
      </c>
      <c r="H44" s="13" t="n">
        <v>0</v>
      </c>
    </row>
    <row r="45" customFormat="false" ht="15" hidden="false" customHeight="false" outlineLevel="0" collapsed="false">
      <c r="A45" s="13" t="n">
        <v>4</v>
      </c>
      <c r="B45" s="0" t="str">
        <f aca="false">IFERROR(INDEX(Visitas!$B$2:$B$401,MATCH(A45,Visitas!$A$2:$A$401,0)),"")</f>
        <v>UBS Dona Rosa</v>
      </c>
      <c r="C45" s="13" t="s">
        <v>70</v>
      </c>
      <c r="D45" s="0" t="str">
        <f aca="false">IFERROR(INDEX(Itens!$C$2:$C$100,MATCH(C45,Itens!$A$2:$A$100,0)),"")</f>
        <v>Infraestrutura elétrica</v>
      </c>
      <c r="E45" s="0" t="str">
        <f aca="false">IFERROR(INDEX(Visitas!$C$2:$C$401,MATCH(A45,Visitas!$A$2:$A$401,0)),"")</f>
        <v>2023</v>
      </c>
      <c r="F45" s="0" t="str">
        <f aca="false">IFERROR(INDEX(Itens!$B$2:$B$100,MATCH(C45,Itens!$A$2:$A$100,0)),"")</f>
        <v>I</v>
      </c>
      <c r="G45" s="13" t="n">
        <v>2</v>
      </c>
      <c r="H45" s="13" t="n">
        <v>0</v>
      </c>
    </row>
    <row r="46" customFormat="false" ht="15" hidden="false" customHeight="false" outlineLevel="0" collapsed="false">
      <c r="A46" s="13" t="n">
        <v>4</v>
      </c>
      <c r="B46" s="0" t="str">
        <f aca="false">IFERROR(INDEX(Visitas!$B$2:$B$401,MATCH(A46,Visitas!$A$2:$A$401,0)),"")</f>
        <v>UBS Dona Rosa</v>
      </c>
      <c r="C46" s="13" t="s">
        <v>73</v>
      </c>
      <c r="D46" s="0" t="str">
        <f aca="false">IFERROR(INDEX(Itens!$C$2:$C$100,MATCH(C46,Itens!$A$2:$A$100,0)),"")</f>
        <v>Infraestrutura hidráulica</v>
      </c>
      <c r="E46" s="0" t="str">
        <f aca="false">IFERROR(INDEX(Visitas!$C$2:$C$401,MATCH(A46,Visitas!$A$2:$A$401,0)),"")</f>
        <v>2023</v>
      </c>
      <c r="F46" s="0" t="str">
        <f aca="false">IFERROR(INDEX(Itens!$B$2:$B$100,MATCH(C46,Itens!$A$2:$A$100,0)),"")</f>
        <v>I</v>
      </c>
      <c r="G46" s="13" t="n">
        <v>2</v>
      </c>
      <c r="H46" s="13" t="n">
        <v>0</v>
      </c>
    </row>
    <row r="47" customFormat="false" ht="15" hidden="false" customHeight="false" outlineLevel="0" collapsed="false">
      <c r="A47" s="13" t="n">
        <v>4</v>
      </c>
      <c r="B47" s="0" t="str">
        <f aca="false">IFERROR(INDEX(Visitas!$B$2:$B$401,MATCH(A47,Visitas!$A$2:$A$401,0)),"")</f>
        <v>UBS Dona Rosa</v>
      </c>
      <c r="C47" s="13" t="s">
        <v>76</v>
      </c>
      <c r="D47" s="0" t="str">
        <f aca="false">IFERROR(INDEX(Itens!$C$2:$C$100,MATCH(C47,Itens!$A$2:$A$100,0)),"")</f>
        <v>Infraestrutura de comunicação</v>
      </c>
      <c r="E47" s="0" t="str">
        <f aca="false">IFERROR(INDEX(Visitas!$C$2:$C$401,MATCH(A47,Visitas!$A$2:$A$401,0)),"")</f>
        <v>2023</v>
      </c>
      <c r="F47" s="0" t="str">
        <f aca="false">IFERROR(INDEX(Itens!$B$2:$B$100,MATCH(C47,Itens!$A$2:$A$100,0)),"")</f>
        <v>I</v>
      </c>
      <c r="G47" s="13" t="n">
        <v>2</v>
      </c>
      <c r="H47" s="13" t="n">
        <v>0</v>
      </c>
    </row>
    <row r="48" customFormat="false" ht="15" hidden="false" customHeight="false" outlineLevel="0" collapsed="false">
      <c r="A48" s="13" t="n">
        <v>4</v>
      </c>
      <c r="B48" s="0" t="str">
        <f aca="false">IFERROR(INDEX(Visitas!$B$2:$B$401,MATCH(A48,Visitas!$A$2:$A$401,0)),"")</f>
        <v>UBS Dona Rosa</v>
      </c>
      <c r="C48" s="13" t="s">
        <v>79</v>
      </c>
      <c r="D48" s="0" t="str">
        <f aca="false">IFERROR(INDEX(Itens!$C$2:$C$100,MATCH(C48,Itens!$A$2:$A$100,0)),"")</f>
        <v>Equipamentos</v>
      </c>
      <c r="E48" s="0" t="str">
        <f aca="false">IFERROR(INDEX(Visitas!$C$2:$C$401,MATCH(A48,Visitas!$A$2:$A$401,0)),"")</f>
        <v>2023</v>
      </c>
      <c r="F48" s="0" t="str">
        <f aca="false">IFERROR(INDEX(Itens!$B$2:$B$100,MATCH(C48,Itens!$A$2:$A$100,0)),"")</f>
        <v>I</v>
      </c>
      <c r="G48" s="13" t="n">
        <v>2</v>
      </c>
      <c r="H48" s="13" t="n">
        <v>0</v>
      </c>
    </row>
    <row r="49" customFormat="false" ht="15" hidden="false" customHeight="false" outlineLevel="0" collapsed="false">
      <c r="A49" s="13" t="n">
        <v>4</v>
      </c>
      <c r="B49" s="0" t="str">
        <f aca="false">IFERROR(INDEX(Visitas!$B$2:$B$401,MATCH(A49,Visitas!$A$2:$A$401,0)),"")</f>
        <v>UBS Dona Rosa</v>
      </c>
      <c r="C49" s="13" t="s">
        <v>82</v>
      </c>
      <c r="D49" s="0" t="str">
        <f aca="false">IFERROR(INDEX(Itens!$C$2:$C$100,MATCH(C49,Itens!$A$2:$A$100,0)),"")</f>
        <v>Materiais, medicamentos e insumos</v>
      </c>
      <c r="E49" s="0" t="str">
        <f aca="false">IFERROR(INDEX(Visitas!$C$2:$C$401,MATCH(A49,Visitas!$A$2:$A$401,0)),"")</f>
        <v>2023</v>
      </c>
      <c r="F49" s="0" t="str">
        <f aca="false">IFERROR(INDEX(Itens!$B$2:$B$100,MATCH(C49,Itens!$A$2:$A$100,0)),"")</f>
        <v>I</v>
      </c>
      <c r="G49" s="13" t="n">
        <v>2</v>
      </c>
      <c r="H49" s="13" t="n">
        <v>0</v>
      </c>
    </row>
    <row r="50" customFormat="false" ht="15" hidden="false" customHeight="false" outlineLevel="0" collapsed="false">
      <c r="A50" s="13" t="n">
        <v>4</v>
      </c>
      <c r="B50" s="0" t="str">
        <f aca="false">IFERROR(INDEX(Visitas!$B$2:$B$401,MATCH(A50,Visitas!$A$2:$A$401,0)),"")</f>
        <v>UBS Dona Rosa</v>
      </c>
      <c r="C50" s="13" t="s">
        <v>85</v>
      </c>
      <c r="D50" s="0" t="str">
        <f aca="false">IFERROR(INDEX(Itens!$C$2:$C$100,MATCH(C50,Itens!$A$2:$A$100,0)),"")</f>
        <v>Conforto, limpeza e organização</v>
      </c>
      <c r="E50" s="0" t="str">
        <f aca="false">IFERROR(INDEX(Visitas!$C$2:$C$401,MATCH(A50,Visitas!$A$2:$A$401,0)),"")</f>
        <v>2023</v>
      </c>
      <c r="F50" s="0" t="str">
        <f aca="false">IFERROR(INDEX(Itens!$B$2:$B$100,MATCH(C50,Itens!$A$2:$A$100,0)),"")</f>
        <v>I</v>
      </c>
      <c r="G50" s="13" t="n">
        <v>1</v>
      </c>
      <c r="H50" s="13" t="n">
        <v>0</v>
      </c>
    </row>
    <row r="51" customFormat="false" ht="15" hidden="false" customHeight="false" outlineLevel="0" collapsed="false">
      <c r="A51" s="13" t="n">
        <v>4</v>
      </c>
      <c r="B51" s="0" t="str">
        <f aca="false">IFERROR(INDEX(Visitas!$B$2:$B$401,MATCH(A51,Visitas!$A$2:$A$401,0)),"")</f>
        <v>UBS Dona Rosa</v>
      </c>
      <c r="C51" s="13" t="s">
        <v>88</v>
      </c>
      <c r="D51" s="0" t="str">
        <f aca="false">IFERROR(INDEX(Itens!$C$2:$C$100,MATCH(C51,Itens!$A$2:$A$100,0)),"")</f>
        <v>Utilização de indicadores de gestão</v>
      </c>
      <c r="E51" s="0" t="str">
        <f aca="false">IFERROR(INDEX(Visitas!$C$2:$C$401,MATCH(A51,Visitas!$A$2:$A$401,0)),"")</f>
        <v>2023</v>
      </c>
      <c r="F51" s="0" t="str">
        <f aca="false">IFERROR(INDEX(Itens!$B$2:$B$100,MATCH(C51,Itens!$A$2:$A$100,0)),"")</f>
        <v>II</v>
      </c>
      <c r="G51" s="13" t="n">
        <v>1</v>
      </c>
      <c r="H51" s="13" t="n">
        <v>0</v>
      </c>
    </row>
    <row r="52" customFormat="false" ht="15" hidden="false" customHeight="false" outlineLevel="0" collapsed="false">
      <c r="A52" s="13" t="n">
        <v>4</v>
      </c>
      <c r="B52" s="0" t="str">
        <f aca="false">IFERROR(INDEX(Visitas!$B$2:$B$401,MATCH(A52,Visitas!$A$2:$A$401,0)),"")</f>
        <v>UBS Dona Rosa</v>
      </c>
      <c r="C52" s="13" t="s">
        <v>92</v>
      </c>
      <c r="D52" s="0" t="str">
        <f aca="false">IFERROR(INDEX(Itens!$C$2:$C$100,MATCH(C52,Itens!$A$2:$A$100,0)),"")</f>
        <v>Dimensionamento de equipe</v>
      </c>
      <c r="E52" s="0" t="str">
        <f aca="false">IFERROR(INDEX(Visitas!$C$2:$C$401,MATCH(A52,Visitas!$A$2:$A$401,0)),"")</f>
        <v>2023</v>
      </c>
      <c r="F52" s="0" t="str">
        <f aca="false">IFERROR(INDEX(Itens!$B$2:$B$100,MATCH(C52,Itens!$A$2:$A$100,0)),"")</f>
        <v>II</v>
      </c>
      <c r="G52" s="13" t="n">
        <v>1</v>
      </c>
      <c r="H52" s="13" t="n">
        <v>0</v>
      </c>
    </row>
    <row r="53" customFormat="false" ht="15" hidden="false" customHeight="false" outlineLevel="0" collapsed="false">
      <c r="A53" s="13" t="n">
        <v>4</v>
      </c>
      <c r="B53" s="0" t="str">
        <f aca="false">IFERROR(INDEX(Visitas!$B$2:$B$401,MATCH(A53,Visitas!$A$2:$A$401,0)),"")</f>
        <v>UBS Dona Rosa</v>
      </c>
      <c r="C53" s="13" t="s">
        <v>96</v>
      </c>
      <c r="D53" s="0" t="str">
        <f aca="false">IFERROR(INDEX(Itens!$C$2:$C$100,MATCH(C53,Itens!$A$2:$A$100,0)),"")</f>
        <v>Execução do cronograma de capacitação da equipe de trabalho</v>
      </c>
      <c r="E53" s="0" t="str">
        <f aca="false">IFERROR(INDEX(Visitas!$C$2:$C$401,MATCH(A53,Visitas!$A$2:$A$401,0)),"")</f>
        <v>2023</v>
      </c>
      <c r="F53" s="0" t="str">
        <f aca="false">IFERROR(INDEX(Itens!$B$2:$B$100,MATCH(C53,Itens!$A$2:$A$100,0)),"")</f>
        <v>II</v>
      </c>
      <c r="G53" s="13" t="n">
        <v>1</v>
      </c>
      <c r="H53" s="13" t="n">
        <v>0</v>
      </c>
    </row>
    <row r="54" customFormat="false" ht="15" hidden="false" customHeight="false" outlineLevel="0" collapsed="false">
      <c r="A54" s="13" t="n">
        <v>4</v>
      </c>
      <c r="B54" s="0" t="str">
        <f aca="false">IFERROR(INDEX(Visitas!$B$2:$B$401,MATCH(A54,Visitas!$A$2:$A$401,0)),"")</f>
        <v>UBS Dona Rosa</v>
      </c>
      <c r="C54" s="13" t="s">
        <v>100</v>
      </c>
      <c r="D54" s="0" t="str">
        <f aca="false">IFERROR(INDEX(Itens!$C$2:$C$100,MATCH(C54,Itens!$A$2:$A$100,0)),"")</f>
        <v>Disponibilidade de agendamento de consultas, exames e procedimentos</v>
      </c>
      <c r="E54" s="0" t="str">
        <f aca="false">IFERROR(INDEX(Visitas!$C$2:$C$401,MATCH(A54,Visitas!$A$2:$A$401,0)),"")</f>
        <v>2023</v>
      </c>
      <c r="F54" s="0" t="str">
        <f aca="false">IFERROR(INDEX(Itens!$B$2:$B$100,MATCH(C54,Itens!$A$2:$A$100,0)),"")</f>
        <v>II</v>
      </c>
      <c r="G54" s="13" t="n">
        <v>1</v>
      </c>
      <c r="H54" s="13" t="n">
        <v>0</v>
      </c>
    </row>
    <row r="55" customFormat="false" ht="15" hidden="false" customHeight="false" outlineLevel="0" collapsed="false">
      <c r="A55" s="13" t="n">
        <v>4</v>
      </c>
      <c r="B55" s="0" t="str">
        <f aca="false">IFERROR(INDEX(Visitas!$B$2:$B$401,MATCH(A55,Visitas!$A$2:$A$401,0)),"")</f>
        <v>UBS Dona Rosa</v>
      </c>
      <c r="C55" s="13" t="s">
        <v>104</v>
      </c>
      <c r="D55" s="0" t="str">
        <f aca="false">IFERROR(INDEX(Itens!$C$2:$C$100,MATCH(C55,Itens!$A$2:$A$100,0)),"")</f>
        <v>Atendimento aos indicadores do PMS</v>
      </c>
      <c r="E55" s="0" t="str">
        <f aca="false">IFERROR(INDEX(Visitas!$C$2:$C$401,MATCH(A55,Visitas!$A$2:$A$401,0)),"")</f>
        <v>2023</v>
      </c>
      <c r="F55" s="0" t="str">
        <f aca="false">IFERROR(INDEX(Itens!$B$2:$B$100,MATCH(C55,Itens!$A$2:$A$100,0)),"")</f>
        <v>III</v>
      </c>
      <c r="G55" s="13" t="n">
        <v>1</v>
      </c>
      <c r="H55" s="13" t="n">
        <v>0</v>
      </c>
    </row>
    <row r="56" customFormat="false" ht="15" hidden="false" customHeight="false" outlineLevel="0" collapsed="false">
      <c r="A56" s="13" t="n">
        <v>4</v>
      </c>
      <c r="B56" s="0" t="str">
        <f aca="false">IFERROR(INDEX(Visitas!$B$2:$B$401,MATCH(A56,Visitas!$A$2:$A$401,0)),"")</f>
        <v>UBS Dona Rosa</v>
      </c>
      <c r="C56" s="13" t="s">
        <v>109</v>
      </c>
      <c r="D56" s="0" t="str">
        <f aca="false">IFERROR(INDEX(Itens!$C$2:$C$100,MATCH(C56,Itens!$A$2:$A$100,0)),"")</f>
        <v>Registro de reclamações na Ouvidoria do COMSAUDE</v>
      </c>
      <c r="E56" s="0" t="str">
        <f aca="false">IFERROR(INDEX(Visitas!$C$2:$C$401,MATCH(A56,Visitas!$A$2:$A$401,0)),"")</f>
        <v>2023</v>
      </c>
      <c r="F56" s="0" t="str">
        <f aca="false">IFERROR(INDEX(Itens!$B$2:$B$100,MATCH(C56,Itens!$A$2:$A$100,0)),"")</f>
        <v>IV</v>
      </c>
      <c r="G56" s="13" t="n">
        <v>2</v>
      </c>
      <c r="H56" s="13" t="n">
        <v>0</v>
      </c>
    </row>
    <row r="57" customFormat="false" ht="15" hidden="false" customHeight="false" outlineLevel="0" collapsed="false">
      <c r="A57" s="13" t="n">
        <v>4</v>
      </c>
      <c r="B57" s="0" t="str">
        <f aca="false">IFERROR(INDEX(Visitas!$B$2:$B$401,MATCH(A57,Visitas!$A$2:$A$401,0)),"")</f>
        <v>UBS Dona Rosa</v>
      </c>
      <c r="C57" s="13" t="s">
        <v>113</v>
      </c>
      <c r="D57" s="0" t="str">
        <f aca="false">IFERROR(INDEX(Itens!$C$2:$C$100,MATCH(C57,Itens!$A$2:$A$100,0)),"")</f>
        <v>Satisfação dos usuários</v>
      </c>
      <c r="E57" s="0" t="str">
        <f aca="false">IFERROR(INDEX(Visitas!$C$2:$C$401,MATCH(A57,Visitas!$A$2:$A$401,0)),"")</f>
        <v>2023</v>
      </c>
      <c r="F57" s="0" t="str">
        <f aca="false">IFERROR(INDEX(Itens!$B$2:$B$100,MATCH(C57,Itens!$A$2:$A$100,0)),"")</f>
        <v>IV</v>
      </c>
      <c r="G57" s="13" t="n">
        <v>2</v>
      </c>
      <c r="H57" s="13" t="n">
        <v>0</v>
      </c>
    </row>
    <row r="58" customFormat="false" ht="15" hidden="false" customHeight="false" outlineLevel="0" collapsed="false">
      <c r="A58" s="13" t="n">
        <v>5</v>
      </c>
      <c r="B58" s="0" t="str">
        <f aca="false">IFERROR(INDEX(Visitas!$B$2:$B$401,MATCH(A58,Visitas!$A$2:$A$401,0)),"")</f>
        <v>UBS Guanabara</v>
      </c>
      <c r="C58" s="13" t="s">
        <v>65</v>
      </c>
      <c r="D58" s="0" t="str">
        <f aca="false">IFERROR(INDEX(Itens!$C$2:$C$100,MATCH(C58,Itens!$A$2:$A$100,0)),"")</f>
        <v>Infraestrutura civil</v>
      </c>
      <c r="E58" s="0" t="str">
        <f aca="false">IFERROR(INDEX(Visitas!$C$2:$C$401,MATCH(A58,Visitas!$A$2:$A$401,0)),"")</f>
        <v>2023</v>
      </c>
      <c r="F58" s="0" t="str">
        <f aca="false">IFERROR(INDEX(Itens!$B$2:$B$100,MATCH(C58,Itens!$A$2:$A$100,0)),"")</f>
        <v>I</v>
      </c>
      <c r="G58" s="13" t="n">
        <v>1</v>
      </c>
      <c r="H58" s="13" t="n">
        <v>0</v>
      </c>
    </row>
    <row r="59" customFormat="false" ht="15" hidden="false" customHeight="false" outlineLevel="0" collapsed="false">
      <c r="A59" s="13" t="n">
        <v>5</v>
      </c>
      <c r="B59" s="0" t="str">
        <f aca="false">IFERROR(INDEX(Visitas!$B$2:$B$401,MATCH(A59,Visitas!$A$2:$A$401,0)),"")</f>
        <v>UBS Guanabara</v>
      </c>
      <c r="C59" s="13" t="s">
        <v>70</v>
      </c>
      <c r="D59" s="0" t="str">
        <f aca="false">IFERROR(INDEX(Itens!$C$2:$C$100,MATCH(C59,Itens!$A$2:$A$100,0)),"")</f>
        <v>Infraestrutura elétrica</v>
      </c>
      <c r="E59" s="0" t="str">
        <f aca="false">IFERROR(INDEX(Visitas!$C$2:$C$401,MATCH(A59,Visitas!$A$2:$A$401,0)),"")</f>
        <v>2023</v>
      </c>
      <c r="F59" s="0" t="str">
        <f aca="false">IFERROR(INDEX(Itens!$B$2:$B$100,MATCH(C59,Itens!$A$2:$A$100,0)),"")</f>
        <v>I</v>
      </c>
      <c r="G59" s="13" t="n">
        <v>2</v>
      </c>
      <c r="H59" s="13" t="n">
        <v>0</v>
      </c>
    </row>
    <row r="60" customFormat="false" ht="15" hidden="false" customHeight="false" outlineLevel="0" collapsed="false">
      <c r="A60" s="13" t="n">
        <v>5</v>
      </c>
      <c r="B60" s="0" t="str">
        <f aca="false">IFERROR(INDEX(Visitas!$B$2:$B$401,MATCH(A60,Visitas!$A$2:$A$401,0)),"")</f>
        <v>UBS Guanabara</v>
      </c>
      <c r="C60" s="13" t="s">
        <v>73</v>
      </c>
      <c r="D60" s="0" t="str">
        <f aca="false">IFERROR(INDEX(Itens!$C$2:$C$100,MATCH(C60,Itens!$A$2:$A$100,0)),"")</f>
        <v>Infraestrutura hidráulica</v>
      </c>
      <c r="E60" s="0" t="str">
        <f aca="false">IFERROR(INDEX(Visitas!$C$2:$C$401,MATCH(A60,Visitas!$A$2:$A$401,0)),"")</f>
        <v>2023</v>
      </c>
      <c r="F60" s="0" t="str">
        <f aca="false">IFERROR(INDEX(Itens!$B$2:$B$100,MATCH(C60,Itens!$A$2:$A$100,0)),"")</f>
        <v>I</v>
      </c>
      <c r="G60" s="13" t="n">
        <v>2</v>
      </c>
      <c r="H60" s="13" t="n">
        <v>0</v>
      </c>
    </row>
    <row r="61" customFormat="false" ht="15" hidden="false" customHeight="false" outlineLevel="0" collapsed="false">
      <c r="A61" s="13" t="n">
        <v>5</v>
      </c>
      <c r="B61" s="0" t="str">
        <f aca="false">IFERROR(INDEX(Visitas!$B$2:$B$401,MATCH(A61,Visitas!$A$2:$A$401,0)),"")</f>
        <v>UBS Guanabara</v>
      </c>
      <c r="C61" s="13" t="s">
        <v>76</v>
      </c>
      <c r="D61" s="0" t="str">
        <f aca="false">IFERROR(INDEX(Itens!$C$2:$C$100,MATCH(C61,Itens!$A$2:$A$100,0)),"")</f>
        <v>Infraestrutura de comunicação</v>
      </c>
      <c r="E61" s="0" t="str">
        <f aca="false">IFERROR(INDEX(Visitas!$C$2:$C$401,MATCH(A61,Visitas!$A$2:$A$401,0)),"")</f>
        <v>2023</v>
      </c>
      <c r="F61" s="0" t="str">
        <f aca="false">IFERROR(INDEX(Itens!$B$2:$B$100,MATCH(C61,Itens!$A$2:$A$100,0)),"")</f>
        <v>I</v>
      </c>
      <c r="G61" s="13" t="n">
        <v>2</v>
      </c>
      <c r="H61" s="13" t="n">
        <v>0</v>
      </c>
    </row>
    <row r="62" customFormat="false" ht="15" hidden="false" customHeight="false" outlineLevel="0" collapsed="false">
      <c r="A62" s="13" t="n">
        <v>5</v>
      </c>
      <c r="B62" s="0" t="str">
        <f aca="false">IFERROR(INDEX(Visitas!$B$2:$B$401,MATCH(A62,Visitas!$A$2:$A$401,0)),"")</f>
        <v>UBS Guanabara</v>
      </c>
      <c r="C62" s="13" t="s">
        <v>79</v>
      </c>
      <c r="D62" s="0" t="str">
        <f aca="false">IFERROR(INDEX(Itens!$C$2:$C$100,MATCH(C62,Itens!$A$2:$A$100,0)),"")</f>
        <v>Equipamentos</v>
      </c>
      <c r="E62" s="0" t="str">
        <f aca="false">IFERROR(INDEX(Visitas!$C$2:$C$401,MATCH(A62,Visitas!$A$2:$A$401,0)),"")</f>
        <v>2023</v>
      </c>
      <c r="F62" s="0" t="str">
        <f aca="false">IFERROR(INDEX(Itens!$B$2:$B$100,MATCH(C62,Itens!$A$2:$A$100,0)),"")</f>
        <v>I</v>
      </c>
      <c r="G62" s="13" t="n">
        <v>2</v>
      </c>
      <c r="H62" s="13" t="n">
        <v>0</v>
      </c>
    </row>
    <row r="63" customFormat="false" ht="15" hidden="false" customHeight="false" outlineLevel="0" collapsed="false">
      <c r="A63" s="13" t="n">
        <v>5</v>
      </c>
      <c r="B63" s="0" t="str">
        <f aca="false">IFERROR(INDEX(Visitas!$B$2:$B$401,MATCH(A63,Visitas!$A$2:$A$401,0)),"")</f>
        <v>UBS Guanabara</v>
      </c>
      <c r="C63" s="13" t="s">
        <v>82</v>
      </c>
      <c r="D63" s="0" t="str">
        <f aca="false">IFERROR(INDEX(Itens!$C$2:$C$100,MATCH(C63,Itens!$A$2:$A$100,0)),"")</f>
        <v>Materiais, medicamentos e insumos</v>
      </c>
      <c r="E63" s="0" t="str">
        <f aca="false">IFERROR(INDEX(Visitas!$C$2:$C$401,MATCH(A63,Visitas!$A$2:$A$401,0)),"")</f>
        <v>2023</v>
      </c>
      <c r="F63" s="0" t="str">
        <f aca="false">IFERROR(INDEX(Itens!$B$2:$B$100,MATCH(C63,Itens!$A$2:$A$100,0)),"")</f>
        <v>I</v>
      </c>
      <c r="G63" s="13" t="n">
        <v>2</v>
      </c>
      <c r="H63" s="13" t="n">
        <v>0</v>
      </c>
    </row>
    <row r="64" customFormat="false" ht="15" hidden="false" customHeight="false" outlineLevel="0" collapsed="false">
      <c r="A64" s="13" t="n">
        <v>5</v>
      </c>
      <c r="B64" s="0" t="str">
        <f aca="false">IFERROR(INDEX(Visitas!$B$2:$B$401,MATCH(A64,Visitas!$A$2:$A$401,0)),"")</f>
        <v>UBS Guanabara</v>
      </c>
      <c r="C64" s="13" t="s">
        <v>85</v>
      </c>
      <c r="D64" s="0" t="str">
        <f aca="false">IFERROR(INDEX(Itens!$C$2:$C$100,MATCH(C64,Itens!$A$2:$A$100,0)),"")</f>
        <v>Conforto, limpeza e organização</v>
      </c>
      <c r="E64" s="0" t="str">
        <f aca="false">IFERROR(INDEX(Visitas!$C$2:$C$401,MATCH(A64,Visitas!$A$2:$A$401,0)),"")</f>
        <v>2023</v>
      </c>
      <c r="F64" s="0" t="str">
        <f aca="false">IFERROR(INDEX(Itens!$B$2:$B$100,MATCH(C64,Itens!$A$2:$A$100,0)),"")</f>
        <v>I</v>
      </c>
      <c r="G64" s="13" t="n">
        <v>2</v>
      </c>
      <c r="H64" s="13" t="n">
        <v>0</v>
      </c>
    </row>
    <row r="65" customFormat="false" ht="15" hidden="false" customHeight="false" outlineLevel="0" collapsed="false">
      <c r="A65" s="13" t="n">
        <v>5</v>
      </c>
      <c r="B65" s="0" t="str">
        <f aca="false">IFERROR(INDEX(Visitas!$B$2:$B$401,MATCH(A65,Visitas!$A$2:$A$401,0)),"")</f>
        <v>UBS Guanabara</v>
      </c>
      <c r="C65" s="13" t="s">
        <v>88</v>
      </c>
      <c r="D65" s="0" t="str">
        <f aca="false">IFERROR(INDEX(Itens!$C$2:$C$100,MATCH(C65,Itens!$A$2:$A$100,0)),"")</f>
        <v>Utilização de indicadores de gestão</v>
      </c>
      <c r="E65" s="0" t="str">
        <f aca="false">IFERROR(INDEX(Visitas!$C$2:$C$401,MATCH(A65,Visitas!$A$2:$A$401,0)),"")</f>
        <v>2023</v>
      </c>
      <c r="F65" s="0" t="str">
        <f aca="false">IFERROR(INDEX(Itens!$B$2:$B$100,MATCH(C65,Itens!$A$2:$A$100,0)),"")</f>
        <v>II</v>
      </c>
      <c r="G65" s="13" t="n">
        <v>0</v>
      </c>
      <c r="H65" s="13" t="n">
        <v>0</v>
      </c>
    </row>
    <row r="66" customFormat="false" ht="15" hidden="false" customHeight="false" outlineLevel="0" collapsed="false">
      <c r="A66" s="13" t="n">
        <v>5</v>
      </c>
      <c r="B66" s="0" t="str">
        <f aca="false">IFERROR(INDEX(Visitas!$B$2:$B$401,MATCH(A66,Visitas!$A$2:$A$401,0)),"")</f>
        <v>UBS Guanabara</v>
      </c>
      <c r="C66" s="13" t="s">
        <v>92</v>
      </c>
      <c r="D66" s="0" t="str">
        <f aca="false">IFERROR(INDEX(Itens!$C$2:$C$100,MATCH(C66,Itens!$A$2:$A$100,0)),"")</f>
        <v>Dimensionamento de equipe</v>
      </c>
      <c r="E66" s="0" t="str">
        <f aca="false">IFERROR(INDEX(Visitas!$C$2:$C$401,MATCH(A66,Visitas!$A$2:$A$401,0)),"")</f>
        <v>2023</v>
      </c>
      <c r="F66" s="0" t="str">
        <f aca="false">IFERROR(INDEX(Itens!$B$2:$B$100,MATCH(C66,Itens!$A$2:$A$100,0)),"")</f>
        <v>II</v>
      </c>
      <c r="G66" s="13" t="n">
        <v>2</v>
      </c>
      <c r="H66" s="13" t="n">
        <v>0</v>
      </c>
    </row>
    <row r="67" customFormat="false" ht="15" hidden="false" customHeight="false" outlineLevel="0" collapsed="false">
      <c r="A67" s="13" t="n">
        <v>5</v>
      </c>
      <c r="B67" s="0" t="str">
        <f aca="false">IFERROR(INDEX(Visitas!$B$2:$B$401,MATCH(A67,Visitas!$A$2:$A$401,0)),"")</f>
        <v>UBS Guanabara</v>
      </c>
      <c r="C67" s="13" t="s">
        <v>96</v>
      </c>
      <c r="D67" s="0" t="str">
        <f aca="false">IFERROR(INDEX(Itens!$C$2:$C$100,MATCH(C67,Itens!$A$2:$A$100,0)),"")</f>
        <v>Execução do cronograma de capacitação da equipe de trabalho</v>
      </c>
      <c r="E67" s="0" t="str">
        <f aca="false">IFERROR(INDEX(Visitas!$C$2:$C$401,MATCH(A67,Visitas!$A$2:$A$401,0)),"")</f>
        <v>2023</v>
      </c>
      <c r="F67" s="0" t="str">
        <f aca="false">IFERROR(INDEX(Itens!$B$2:$B$100,MATCH(C67,Itens!$A$2:$A$100,0)),"")</f>
        <v>II</v>
      </c>
      <c r="G67" s="13" t="n">
        <v>1</v>
      </c>
      <c r="H67" s="13" t="n">
        <v>0</v>
      </c>
    </row>
    <row r="68" customFormat="false" ht="15" hidden="false" customHeight="false" outlineLevel="0" collapsed="false">
      <c r="A68" s="13" t="n">
        <v>5</v>
      </c>
      <c r="B68" s="0" t="str">
        <f aca="false">IFERROR(INDEX(Visitas!$B$2:$B$401,MATCH(A68,Visitas!$A$2:$A$401,0)),"")</f>
        <v>UBS Guanabara</v>
      </c>
      <c r="C68" s="13" t="s">
        <v>100</v>
      </c>
      <c r="D68" s="0" t="str">
        <f aca="false">IFERROR(INDEX(Itens!$C$2:$C$100,MATCH(C68,Itens!$A$2:$A$100,0)),"")</f>
        <v>Disponibilidade de agendamento de consultas, exames e procedimentos</v>
      </c>
      <c r="E68" s="0" t="str">
        <f aca="false">IFERROR(INDEX(Visitas!$C$2:$C$401,MATCH(A68,Visitas!$A$2:$A$401,0)),"")</f>
        <v>2023</v>
      </c>
      <c r="F68" s="0" t="str">
        <f aca="false">IFERROR(INDEX(Itens!$B$2:$B$100,MATCH(C68,Itens!$A$2:$A$100,0)),"")</f>
        <v>II</v>
      </c>
      <c r="G68" s="13" t="n">
        <v>2</v>
      </c>
      <c r="H68" s="13" t="n">
        <v>0</v>
      </c>
    </row>
    <row r="69" customFormat="false" ht="15" hidden="false" customHeight="false" outlineLevel="0" collapsed="false">
      <c r="A69" s="13" t="n">
        <v>5</v>
      </c>
      <c r="B69" s="0" t="str">
        <f aca="false">IFERROR(INDEX(Visitas!$B$2:$B$401,MATCH(A69,Visitas!$A$2:$A$401,0)),"")</f>
        <v>UBS Guanabara</v>
      </c>
      <c r="C69" s="13" t="s">
        <v>104</v>
      </c>
      <c r="D69" s="0" t="str">
        <f aca="false">IFERROR(INDEX(Itens!$C$2:$C$100,MATCH(C69,Itens!$A$2:$A$100,0)),"")</f>
        <v>Atendimento aos indicadores do PMS</v>
      </c>
      <c r="E69" s="0" t="str">
        <f aca="false">IFERROR(INDEX(Visitas!$C$2:$C$401,MATCH(A69,Visitas!$A$2:$A$401,0)),"")</f>
        <v>2023</v>
      </c>
      <c r="F69" s="0" t="str">
        <f aca="false">IFERROR(INDEX(Itens!$B$2:$B$100,MATCH(C69,Itens!$A$2:$A$100,0)),"")</f>
        <v>III</v>
      </c>
      <c r="G69" s="13" t="n">
        <v>1</v>
      </c>
      <c r="H69" s="13" t="n">
        <v>0</v>
      </c>
    </row>
    <row r="70" customFormat="false" ht="15" hidden="false" customHeight="false" outlineLevel="0" collapsed="false">
      <c r="A70" s="13" t="n">
        <v>5</v>
      </c>
      <c r="B70" s="0" t="str">
        <f aca="false">IFERROR(INDEX(Visitas!$B$2:$B$401,MATCH(A70,Visitas!$A$2:$A$401,0)),"")</f>
        <v>UBS Guanabara</v>
      </c>
      <c r="C70" s="13" t="s">
        <v>109</v>
      </c>
      <c r="D70" s="0" t="str">
        <f aca="false">IFERROR(INDEX(Itens!$C$2:$C$100,MATCH(C70,Itens!$A$2:$A$100,0)),"")</f>
        <v>Registro de reclamações na Ouvidoria do COMSAUDE</v>
      </c>
      <c r="E70" s="0" t="str">
        <f aca="false">IFERROR(INDEX(Visitas!$C$2:$C$401,MATCH(A70,Visitas!$A$2:$A$401,0)),"")</f>
        <v>2023</v>
      </c>
      <c r="F70" s="0" t="str">
        <f aca="false">IFERROR(INDEX(Itens!$B$2:$B$100,MATCH(C70,Itens!$A$2:$A$100,0)),"")</f>
        <v>IV</v>
      </c>
      <c r="G70" s="13" t="n">
        <v>2</v>
      </c>
      <c r="H70" s="13" t="n">
        <v>0</v>
      </c>
    </row>
    <row r="71" customFormat="false" ht="15" hidden="false" customHeight="false" outlineLevel="0" collapsed="false">
      <c r="A71" s="13" t="n">
        <v>5</v>
      </c>
      <c r="B71" s="0" t="str">
        <f aca="false">IFERROR(INDEX(Visitas!$B$2:$B$401,MATCH(A71,Visitas!$A$2:$A$401,0)),"")</f>
        <v>UBS Guanabara</v>
      </c>
      <c r="C71" s="13" t="s">
        <v>113</v>
      </c>
      <c r="D71" s="0" t="str">
        <f aca="false">IFERROR(INDEX(Itens!$C$2:$C$100,MATCH(C71,Itens!$A$2:$A$100,0)),"")</f>
        <v>Satisfação dos usuários</v>
      </c>
      <c r="E71" s="0" t="str">
        <f aca="false">IFERROR(INDEX(Visitas!$C$2:$C$401,MATCH(A71,Visitas!$A$2:$A$401,0)),"")</f>
        <v>2023</v>
      </c>
      <c r="F71" s="0" t="str">
        <f aca="false">IFERROR(INDEX(Itens!$B$2:$B$100,MATCH(C71,Itens!$A$2:$A$100,0)),"")</f>
        <v>IV</v>
      </c>
      <c r="G71" s="13" t="n">
        <v>2</v>
      </c>
      <c r="H71" s="13" t="n">
        <v>0</v>
      </c>
    </row>
    <row r="72" customFormat="false" ht="15" hidden="false" customHeight="false" outlineLevel="0" collapsed="false">
      <c r="A72" s="13" t="n">
        <v>6</v>
      </c>
      <c r="B72" s="0" t="str">
        <f aca="false">IFERROR(INDEX(Visitas!$B$2:$B$401,MATCH(A72,Visitas!$A$2:$A$401,0)),"")</f>
        <v>UBS Mathiensen</v>
      </c>
      <c r="C72" s="13" t="s">
        <v>65</v>
      </c>
      <c r="D72" s="0" t="str">
        <f aca="false">IFERROR(INDEX(Itens!$C$2:$C$100,MATCH(C72,Itens!$A$2:$A$100,0)),"")</f>
        <v>Infraestrutura civil</v>
      </c>
      <c r="E72" s="0" t="str">
        <f aca="false">IFERROR(INDEX(Visitas!$C$2:$C$401,MATCH(A72,Visitas!$A$2:$A$401,0)),"")</f>
        <v>2023</v>
      </c>
      <c r="F72" s="0" t="str">
        <f aca="false">IFERROR(INDEX(Itens!$B$2:$B$100,MATCH(C72,Itens!$A$2:$A$100,0)),"")</f>
        <v>I</v>
      </c>
      <c r="G72" s="13" t="n">
        <v>0</v>
      </c>
      <c r="H72" s="13" t="n">
        <v>0</v>
      </c>
    </row>
    <row r="73" customFormat="false" ht="15" hidden="false" customHeight="false" outlineLevel="0" collapsed="false">
      <c r="A73" s="13" t="n">
        <v>6</v>
      </c>
      <c r="B73" s="0" t="str">
        <f aca="false">IFERROR(INDEX(Visitas!$B$2:$B$401,MATCH(A73,Visitas!$A$2:$A$401,0)),"")</f>
        <v>UBS Mathiensen</v>
      </c>
      <c r="C73" s="13" t="s">
        <v>70</v>
      </c>
      <c r="D73" s="0" t="str">
        <f aca="false">IFERROR(INDEX(Itens!$C$2:$C$100,MATCH(C73,Itens!$A$2:$A$100,0)),"")</f>
        <v>Infraestrutura elétrica</v>
      </c>
      <c r="E73" s="0" t="str">
        <f aca="false">IFERROR(INDEX(Visitas!$C$2:$C$401,MATCH(A73,Visitas!$A$2:$A$401,0)),"")</f>
        <v>2023</v>
      </c>
      <c r="F73" s="0" t="str">
        <f aca="false">IFERROR(INDEX(Itens!$B$2:$B$100,MATCH(C73,Itens!$A$2:$A$100,0)),"")</f>
        <v>I</v>
      </c>
      <c r="G73" s="13" t="n">
        <v>1</v>
      </c>
      <c r="H73" s="13" t="n">
        <v>0</v>
      </c>
    </row>
    <row r="74" customFormat="false" ht="15" hidden="false" customHeight="false" outlineLevel="0" collapsed="false">
      <c r="A74" s="13" t="n">
        <v>6</v>
      </c>
      <c r="B74" s="0" t="str">
        <f aca="false">IFERROR(INDEX(Visitas!$B$2:$B$401,MATCH(A74,Visitas!$A$2:$A$401,0)),"")</f>
        <v>UBS Mathiensen</v>
      </c>
      <c r="C74" s="13" t="s">
        <v>73</v>
      </c>
      <c r="D74" s="0" t="str">
        <f aca="false">IFERROR(INDEX(Itens!$C$2:$C$100,MATCH(C74,Itens!$A$2:$A$100,0)),"")</f>
        <v>Infraestrutura hidráulica</v>
      </c>
      <c r="E74" s="0" t="str">
        <f aca="false">IFERROR(INDEX(Visitas!$C$2:$C$401,MATCH(A74,Visitas!$A$2:$A$401,0)),"")</f>
        <v>2023</v>
      </c>
      <c r="F74" s="0" t="str">
        <f aca="false">IFERROR(INDEX(Itens!$B$2:$B$100,MATCH(C74,Itens!$A$2:$A$100,0)),"")</f>
        <v>I</v>
      </c>
      <c r="G74" s="13" t="n">
        <v>0</v>
      </c>
      <c r="H74" s="13" t="n">
        <v>0</v>
      </c>
    </row>
    <row r="75" customFormat="false" ht="15" hidden="false" customHeight="false" outlineLevel="0" collapsed="false">
      <c r="A75" s="13" t="n">
        <v>6</v>
      </c>
      <c r="B75" s="0" t="str">
        <f aca="false">IFERROR(INDEX(Visitas!$B$2:$B$401,MATCH(A75,Visitas!$A$2:$A$401,0)),"")</f>
        <v>UBS Mathiensen</v>
      </c>
      <c r="C75" s="13" t="s">
        <v>76</v>
      </c>
      <c r="D75" s="0" t="str">
        <f aca="false">IFERROR(INDEX(Itens!$C$2:$C$100,MATCH(C75,Itens!$A$2:$A$100,0)),"")</f>
        <v>Infraestrutura de comunicação</v>
      </c>
      <c r="E75" s="0" t="str">
        <f aca="false">IFERROR(INDEX(Visitas!$C$2:$C$401,MATCH(A75,Visitas!$A$2:$A$401,0)),"")</f>
        <v>2023</v>
      </c>
      <c r="F75" s="0" t="str">
        <f aca="false">IFERROR(INDEX(Itens!$B$2:$B$100,MATCH(C75,Itens!$A$2:$A$100,0)),"")</f>
        <v>I</v>
      </c>
      <c r="G75" s="13" t="n">
        <v>1</v>
      </c>
      <c r="H75" s="13" t="n">
        <v>0</v>
      </c>
    </row>
    <row r="76" customFormat="false" ht="15" hidden="false" customHeight="false" outlineLevel="0" collapsed="false">
      <c r="A76" s="13" t="n">
        <v>6</v>
      </c>
      <c r="B76" s="0" t="str">
        <f aca="false">IFERROR(INDEX(Visitas!$B$2:$B$401,MATCH(A76,Visitas!$A$2:$A$401,0)),"")</f>
        <v>UBS Mathiensen</v>
      </c>
      <c r="C76" s="13" t="s">
        <v>79</v>
      </c>
      <c r="D76" s="0" t="str">
        <f aca="false">IFERROR(INDEX(Itens!$C$2:$C$100,MATCH(C76,Itens!$A$2:$A$100,0)),"")</f>
        <v>Equipamentos</v>
      </c>
      <c r="E76" s="0" t="str">
        <f aca="false">IFERROR(INDEX(Visitas!$C$2:$C$401,MATCH(A76,Visitas!$A$2:$A$401,0)),"")</f>
        <v>2023</v>
      </c>
      <c r="F76" s="0" t="str">
        <f aca="false">IFERROR(INDEX(Itens!$B$2:$B$100,MATCH(C76,Itens!$A$2:$A$100,0)),"")</f>
        <v>I</v>
      </c>
      <c r="G76" s="13" t="n">
        <v>1</v>
      </c>
      <c r="H76" s="13" t="n">
        <v>0</v>
      </c>
    </row>
    <row r="77" customFormat="false" ht="15" hidden="false" customHeight="false" outlineLevel="0" collapsed="false">
      <c r="A77" s="13" t="n">
        <v>6</v>
      </c>
      <c r="B77" s="0" t="str">
        <f aca="false">IFERROR(INDEX(Visitas!$B$2:$B$401,MATCH(A77,Visitas!$A$2:$A$401,0)),"")</f>
        <v>UBS Mathiensen</v>
      </c>
      <c r="C77" s="13" t="s">
        <v>82</v>
      </c>
      <c r="D77" s="0" t="str">
        <f aca="false">IFERROR(INDEX(Itens!$C$2:$C$100,MATCH(C77,Itens!$A$2:$A$100,0)),"")</f>
        <v>Materiais, medicamentos e insumos</v>
      </c>
      <c r="E77" s="0" t="str">
        <f aca="false">IFERROR(INDEX(Visitas!$C$2:$C$401,MATCH(A77,Visitas!$A$2:$A$401,0)),"")</f>
        <v>2023</v>
      </c>
      <c r="F77" s="0" t="str">
        <f aca="false">IFERROR(INDEX(Itens!$B$2:$B$100,MATCH(C77,Itens!$A$2:$A$100,0)),"")</f>
        <v>I</v>
      </c>
      <c r="G77" s="13" t="n">
        <v>2</v>
      </c>
      <c r="H77" s="13" t="n">
        <v>0</v>
      </c>
    </row>
    <row r="78" customFormat="false" ht="15" hidden="false" customHeight="false" outlineLevel="0" collapsed="false">
      <c r="A78" s="13" t="n">
        <v>6</v>
      </c>
      <c r="B78" s="0" t="str">
        <f aca="false">IFERROR(INDEX(Visitas!$B$2:$B$401,MATCH(A78,Visitas!$A$2:$A$401,0)),"")</f>
        <v>UBS Mathiensen</v>
      </c>
      <c r="C78" s="13" t="s">
        <v>85</v>
      </c>
      <c r="D78" s="0" t="str">
        <f aca="false">IFERROR(INDEX(Itens!$C$2:$C$100,MATCH(C78,Itens!$A$2:$A$100,0)),"")</f>
        <v>Conforto, limpeza e organização</v>
      </c>
      <c r="E78" s="0" t="str">
        <f aca="false">IFERROR(INDEX(Visitas!$C$2:$C$401,MATCH(A78,Visitas!$A$2:$A$401,0)),"")</f>
        <v>2023</v>
      </c>
      <c r="F78" s="0" t="str">
        <f aca="false">IFERROR(INDEX(Itens!$B$2:$B$100,MATCH(C78,Itens!$A$2:$A$100,0)),"")</f>
        <v>I</v>
      </c>
      <c r="G78" s="13" t="n">
        <v>1</v>
      </c>
      <c r="H78" s="13" t="n">
        <v>0</v>
      </c>
    </row>
    <row r="79" customFormat="false" ht="15" hidden="false" customHeight="false" outlineLevel="0" collapsed="false">
      <c r="A79" s="13" t="n">
        <v>6</v>
      </c>
      <c r="B79" s="0" t="str">
        <f aca="false">IFERROR(INDEX(Visitas!$B$2:$B$401,MATCH(A79,Visitas!$A$2:$A$401,0)),"")</f>
        <v>UBS Mathiensen</v>
      </c>
      <c r="C79" s="13" t="s">
        <v>88</v>
      </c>
      <c r="D79" s="0" t="str">
        <f aca="false">IFERROR(INDEX(Itens!$C$2:$C$100,MATCH(C79,Itens!$A$2:$A$100,0)),"")</f>
        <v>Utilização de indicadores de gestão</v>
      </c>
      <c r="E79" s="0" t="str">
        <f aca="false">IFERROR(INDEX(Visitas!$C$2:$C$401,MATCH(A79,Visitas!$A$2:$A$401,0)),"")</f>
        <v>2023</v>
      </c>
      <c r="F79" s="0" t="str">
        <f aca="false">IFERROR(INDEX(Itens!$B$2:$B$100,MATCH(C79,Itens!$A$2:$A$100,0)),"")</f>
        <v>II</v>
      </c>
      <c r="G79" s="13" t="n">
        <v>1</v>
      </c>
      <c r="H79" s="13" t="n">
        <v>0</v>
      </c>
    </row>
    <row r="80" customFormat="false" ht="15" hidden="false" customHeight="false" outlineLevel="0" collapsed="false">
      <c r="A80" s="13" t="n">
        <v>6</v>
      </c>
      <c r="B80" s="0" t="str">
        <f aca="false">IFERROR(INDEX(Visitas!$B$2:$B$401,MATCH(A80,Visitas!$A$2:$A$401,0)),"")</f>
        <v>UBS Mathiensen</v>
      </c>
      <c r="C80" s="13" t="s">
        <v>92</v>
      </c>
      <c r="D80" s="0" t="str">
        <f aca="false">IFERROR(INDEX(Itens!$C$2:$C$100,MATCH(C80,Itens!$A$2:$A$100,0)),"")</f>
        <v>Dimensionamento de equipe</v>
      </c>
      <c r="E80" s="0" t="str">
        <f aca="false">IFERROR(INDEX(Visitas!$C$2:$C$401,MATCH(A80,Visitas!$A$2:$A$401,0)),"")</f>
        <v>2023</v>
      </c>
      <c r="F80" s="0" t="str">
        <f aca="false">IFERROR(INDEX(Itens!$B$2:$B$100,MATCH(C80,Itens!$A$2:$A$100,0)),"")</f>
        <v>II</v>
      </c>
      <c r="G80" s="13" t="n">
        <v>0</v>
      </c>
      <c r="H80" s="13" t="n">
        <v>0</v>
      </c>
    </row>
    <row r="81" customFormat="false" ht="15" hidden="false" customHeight="false" outlineLevel="0" collapsed="false">
      <c r="A81" s="13" t="n">
        <v>6</v>
      </c>
      <c r="B81" s="0" t="str">
        <f aca="false">IFERROR(INDEX(Visitas!$B$2:$B$401,MATCH(A81,Visitas!$A$2:$A$401,0)),"")</f>
        <v>UBS Mathiensen</v>
      </c>
      <c r="C81" s="13" t="s">
        <v>96</v>
      </c>
      <c r="D81" s="0" t="str">
        <f aca="false">IFERROR(INDEX(Itens!$C$2:$C$100,MATCH(C81,Itens!$A$2:$A$100,0)),"")</f>
        <v>Execução do cronograma de capacitação da equipe de trabalho</v>
      </c>
      <c r="E81" s="0" t="str">
        <f aca="false">IFERROR(INDEX(Visitas!$C$2:$C$401,MATCH(A81,Visitas!$A$2:$A$401,0)),"")</f>
        <v>2023</v>
      </c>
      <c r="F81" s="0" t="str">
        <f aca="false">IFERROR(INDEX(Itens!$B$2:$B$100,MATCH(C81,Itens!$A$2:$A$100,0)),"")</f>
        <v>II</v>
      </c>
      <c r="G81" s="13" t="n">
        <v>1</v>
      </c>
      <c r="H81" s="13" t="n">
        <v>0</v>
      </c>
    </row>
    <row r="82" customFormat="false" ht="15" hidden="false" customHeight="false" outlineLevel="0" collapsed="false">
      <c r="A82" s="13" t="n">
        <v>6</v>
      </c>
      <c r="B82" s="0" t="str">
        <f aca="false">IFERROR(INDEX(Visitas!$B$2:$B$401,MATCH(A82,Visitas!$A$2:$A$401,0)),"")</f>
        <v>UBS Mathiensen</v>
      </c>
      <c r="C82" s="13" t="s">
        <v>100</v>
      </c>
      <c r="D82" s="0" t="str">
        <f aca="false">IFERROR(INDEX(Itens!$C$2:$C$100,MATCH(C82,Itens!$A$2:$A$100,0)),"")</f>
        <v>Disponibilidade de agendamento de consultas, exames e procedimentos</v>
      </c>
      <c r="E82" s="0" t="str">
        <f aca="false">IFERROR(INDEX(Visitas!$C$2:$C$401,MATCH(A82,Visitas!$A$2:$A$401,0)),"")</f>
        <v>2023</v>
      </c>
      <c r="F82" s="0" t="str">
        <f aca="false">IFERROR(INDEX(Itens!$B$2:$B$100,MATCH(C82,Itens!$A$2:$A$100,0)),"")</f>
        <v>II</v>
      </c>
      <c r="G82" s="13" t="n">
        <v>0</v>
      </c>
      <c r="H82" s="13" t="n">
        <v>0</v>
      </c>
    </row>
    <row r="83" customFormat="false" ht="15" hidden="false" customHeight="false" outlineLevel="0" collapsed="false">
      <c r="A83" s="13" t="n">
        <v>6</v>
      </c>
      <c r="B83" s="0" t="str">
        <f aca="false">IFERROR(INDEX(Visitas!$B$2:$B$401,MATCH(A83,Visitas!$A$2:$A$401,0)),"")</f>
        <v>UBS Mathiensen</v>
      </c>
      <c r="C83" s="13" t="s">
        <v>104</v>
      </c>
      <c r="D83" s="0" t="str">
        <f aca="false">IFERROR(INDEX(Itens!$C$2:$C$100,MATCH(C83,Itens!$A$2:$A$100,0)),"")</f>
        <v>Atendimento aos indicadores do PMS</v>
      </c>
      <c r="E83" s="0" t="str">
        <f aca="false">IFERROR(INDEX(Visitas!$C$2:$C$401,MATCH(A83,Visitas!$A$2:$A$401,0)),"")</f>
        <v>2023</v>
      </c>
      <c r="F83" s="0" t="str">
        <f aca="false">IFERROR(INDEX(Itens!$B$2:$B$100,MATCH(C83,Itens!$A$2:$A$100,0)),"")</f>
        <v>III</v>
      </c>
      <c r="G83" s="13" t="n">
        <v>1</v>
      </c>
      <c r="H83" s="13" t="n">
        <v>0</v>
      </c>
    </row>
    <row r="84" customFormat="false" ht="15" hidden="false" customHeight="false" outlineLevel="0" collapsed="false">
      <c r="A84" s="13" t="n">
        <v>6</v>
      </c>
      <c r="B84" s="0" t="str">
        <f aca="false">IFERROR(INDEX(Visitas!$B$2:$B$401,MATCH(A84,Visitas!$A$2:$A$401,0)),"")</f>
        <v>UBS Mathiensen</v>
      </c>
      <c r="C84" s="13" t="s">
        <v>109</v>
      </c>
      <c r="D84" s="0" t="str">
        <f aca="false">IFERROR(INDEX(Itens!$C$2:$C$100,MATCH(C84,Itens!$A$2:$A$100,0)),"")</f>
        <v>Registro de reclamações na Ouvidoria do COMSAUDE</v>
      </c>
      <c r="E84" s="0" t="str">
        <f aca="false">IFERROR(INDEX(Visitas!$C$2:$C$401,MATCH(A84,Visitas!$A$2:$A$401,0)),"")</f>
        <v>2023</v>
      </c>
      <c r="F84" s="0" t="str">
        <f aca="false">IFERROR(INDEX(Itens!$B$2:$B$100,MATCH(C84,Itens!$A$2:$A$100,0)),"")</f>
        <v>IV</v>
      </c>
      <c r="G84" s="13" t="n">
        <v>1</v>
      </c>
      <c r="H84" s="13" t="n">
        <v>0</v>
      </c>
    </row>
    <row r="85" customFormat="false" ht="15" hidden="false" customHeight="false" outlineLevel="0" collapsed="false">
      <c r="A85" s="13" t="n">
        <v>6</v>
      </c>
      <c r="B85" s="0" t="str">
        <f aca="false">IFERROR(INDEX(Visitas!$B$2:$B$401,MATCH(A85,Visitas!$A$2:$A$401,0)),"")</f>
        <v>UBS Mathiensen</v>
      </c>
      <c r="C85" s="13" t="s">
        <v>113</v>
      </c>
      <c r="D85" s="0" t="str">
        <f aca="false">IFERROR(INDEX(Itens!$C$2:$C$100,MATCH(C85,Itens!$A$2:$A$100,0)),"")</f>
        <v>Satisfação dos usuários</v>
      </c>
      <c r="E85" s="0" t="str">
        <f aca="false">IFERROR(INDEX(Visitas!$C$2:$C$401,MATCH(A85,Visitas!$A$2:$A$401,0)),"")</f>
        <v>2023</v>
      </c>
      <c r="F85" s="0" t="str">
        <f aca="false">IFERROR(INDEX(Itens!$B$2:$B$100,MATCH(C85,Itens!$A$2:$A$100,0)),"")</f>
        <v>IV</v>
      </c>
      <c r="G85" s="13" t="n">
        <v>0</v>
      </c>
      <c r="H85" s="13" t="n">
        <v>0</v>
      </c>
    </row>
    <row r="86" customFormat="false" ht="15" hidden="false" customHeight="false" outlineLevel="0" collapsed="false">
      <c r="A86" s="13" t="n">
        <v>7</v>
      </c>
      <c r="B86" s="0" t="str">
        <f aca="false">IFERROR(INDEX(Visitas!$B$2:$B$401,MATCH(A86,Visitas!$A$2:$A$401,0)),"")</f>
        <v>UBS São Domingos</v>
      </c>
      <c r="C86" s="13" t="s">
        <v>65</v>
      </c>
      <c r="D86" s="0" t="str">
        <f aca="false">IFERROR(INDEX(Itens!$C$2:$C$100,MATCH(C86,Itens!$A$2:$A$100,0)),"")</f>
        <v>Infraestrutura civil</v>
      </c>
      <c r="E86" s="0" t="str">
        <f aca="false">IFERROR(INDEX(Visitas!$C$2:$C$401,MATCH(A86,Visitas!$A$2:$A$401,0)),"")</f>
        <v>2023</v>
      </c>
      <c r="F86" s="0" t="str">
        <f aca="false">IFERROR(INDEX(Itens!$B$2:$B$100,MATCH(C86,Itens!$A$2:$A$100,0)),"")</f>
        <v>I</v>
      </c>
      <c r="G86" s="13" t="n">
        <v>1</v>
      </c>
      <c r="H86" s="13" t="n">
        <v>0</v>
      </c>
    </row>
    <row r="87" customFormat="false" ht="15" hidden="false" customHeight="false" outlineLevel="0" collapsed="false">
      <c r="A87" s="13" t="n">
        <v>7</v>
      </c>
      <c r="B87" s="0" t="str">
        <f aca="false">IFERROR(INDEX(Visitas!$B$2:$B$401,MATCH(A87,Visitas!$A$2:$A$401,0)),"")</f>
        <v>UBS São Domingos</v>
      </c>
      <c r="C87" s="13" t="s">
        <v>70</v>
      </c>
      <c r="D87" s="0" t="str">
        <f aca="false">IFERROR(INDEX(Itens!$C$2:$C$100,MATCH(C87,Itens!$A$2:$A$100,0)),"")</f>
        <v>Infraestrutura elétrica</v>
      </c>
      <c r="E87" s="0" t="str">
        <f aca="false">IFERROR(INDEX(Visitas!$C$2:$C$401,MATCH(A87,Visitas!$A$2:$A$401,0)),"")</f>
        <v>2023</v>
      </c>
      <c r="F87" s="0" t="str">
        <f aca="false">IFERROR(INDEX(Itens!$B$2:$B$100,MATCH(C87,Itens!$A$2:$A$100,0)),"")</f>
        <v>I</v>
      </c>
      <c r="G87" s="13" t="n">
        <v>1</v>
      </c>
      <c r="H87" s="13" t="n">
        <v>0</v>
      </c>
    </row>
    <row r="88" customFormat="false" ht="15" hidden="false" customHeight="false" outlineLevel="0" collapsed="false">
      <c r="A88" s="13" t="n">
        <v>7</v>
      </c>
      <c r="B88" s="0" t="str">
        <f aca="false">IFERROR(INDEX(Visitas!$B$2:$B$401,MATCH(A88,Visitas!$A$2:$A$401,0)),"")</f>
        <v>UBS São Domingos</v>
      </c>
      <c r="C88" s="13" t="s">
        <v>73</v>
      </c>
      <c r="D88" s="0" t="str">
        <f aca="false">IFERROR(INDEX(Itens!$C$2:$C$100,MATCH(C88,Itens!$A$2:$A$100,0)),"")</f>
        <v>Infraestrutura hidráulica</v>
      </c>
      <c r="E88" s="0" t="str">
        <f aca="false">IFERROR(INDEX(Visitas!$C$2:$C$401,MATCH(A88,Visitas!$A$2:$A$401,0)),"")</f>
        <v>2023</v>
      </c>
      <c r="F88" s="0" t="str">
        <f aca="false">IFERROR(INDEX(Itens!$B$2:$B$100,MATCH(C88,Itens!$A$2:$A$100,0)),"")</f>
        <v>I</v>
      </c>
      <c r="G88" s="13" t="n">
        <v>1</v>
      </c>
      <c r="H88" s="13" t="n">
        <v>0</v>
      </c>
    </row>
    <row r="89" customFormat="false" ht="15" hidden="false" customHeight="false" outlineLevel="0" collapsed="false">
      <c r="A89" s="13" t="n">
        <v>7</v>
      </c>
      <c r="B89" s="0" t="str">
        <f aca="false">IFERROR(INDEX(Visitas!$B$2:$B$401,MATCH(A89,Visitas!$A$2:$A$401,0)),"")</f>
        <v>UBS São Domingos</v>
      </c>
      <c r="C89" s="13" t="s">
        <v>76</v>
      </c>
      <c r="D89" s="0" t="str">
        <f aca="false">IFERROR(INDEX(Itens!$C$2:$C$100,MATCH(C89,Itens!$A$2:$A$100,0)),"")</f>
        <v>Infraestrutura de comunicação</v>
      </c>
      <c r="E89" s="0" t="str">
        <f aca="false">IFERROR(INDEX(Visitas!$C$2:$C$401,MATCH(A89,Visitas!$A$2:$A$401,0)),"")</f>
        <v>2023</v>
      </c>
      <c r="F89" s="0" t="str">
        <f aca="false">IFERROR(INDEX(Itens!$B$2:$B$100,MATCH(C89,Itens!$A$2:$A$100,0)),"")</f>
        <v>I</v>
      </c>
      <c r="G89" s="13" t="n">
        <v>2</v>
      </c>
      <c r="H89" s="13" t="n">
        <v>0</v>
      </c>
    </row>
    <row r="90" customFormat="false" ht="15" hidden="false" customHeight="false" outlineLevel="0" collapsed="false">
      <c r="A90" s="13" t="n">
        <v>7</v>
      </c>
      <c r="B90" s="0" t="str">
        <f aca="false">IFERROR(INDEX(Visitas!$B$2:$B$401,MATCH(A90,Visitas!$A$2:$A$401,0)),"")</f>
        <v>UBS São Domingos</v>
      </c>
      <c r="C90" s="13" t="s">
        <v>79</v>
      </c>
      <c r="D90" s="0" t="str">
        <f aca="false">IFERROR(INDEX(Itens!$C$2:$C$100,MATCH(C90,Itens!$A$2:$A$100,0)),"")</f>
        <v>Equipamentos</v>
      </c>
      <c r="E90" s="0" t="str">
        <f aca="false">IFERROR(INDEX(Visitas!$C$2:$C$401,MATCH(A90,Visitas!$A$2:$A$401,0)),"")</f>
        <v>2023</v>
      </c>
      <c r="F90" s="0" t="str">
        <f aca="false">IFERROR(INDEX(Itens!$B$2:$B$100,MATCH(C90,Itens!$A$2:$A$100,0)),"")</f>
        <v>I</v>
      </c>
      <c r="G90" s="13" t="n">
        <v>1</v>
      </c>
      <c r="H90" s="13" t="n">
        <v>0</v>
      </c>
    </row>
    <row r="91" customFormat="false" ht="15" hidden="false" customHeight="false" outlineLevel="0" collapsed="false">
      <c r="A91" s="13" t="n">
        <v>7</v>
      </c>
      <c r="B91" s="0" t="str">
        <f aca="false">IFERROR(INDEX(Visitas!$B$2:$B$401,MATCH(A91,Visitas!$A$2:$A$401,0)),"")</f>
        <v>UBS São Domingos</v>
      </c>
      <c r="C91" s="13" t="s">
        <v>82</v>
      </c>
      <c r="D91" s="0" t="str">
        <f aca="false">IFERROR(INDEX(Itens!$C$2:$C$100,MATCH(C91,Itens!$A$2:$A$100,0)),"")</f>
        <v>Materiais, medicamentos e insumos</v>
      </c>
      <c r="E91" s="0" t="str">
        <f aca="false">IFERROR(INDEX(Visitas!$C$2:$C$401,MATCH(A91,Visitas!$A$2:$A$401,0)),"")</f>
        <v>2023</v>
      </c>
      <c r="F91" s="0" t="str">
        <f aca="false">IFERROR(INDEX(Itens!$B$2:$B$100,MATCH(C91,Itens!$A$2:$A$100,0)),"")</f>
        <v>I</v>
      </c>
      <c r="G91" s="13" t="n">
        <v>2</v>
      </c>
      <c r="H91" s="13" t="n">
        <v>0</v>
      </c>
    </row>
    <row r="92" customFormat="false" ht="15" hidden="false" customHeight="false" outlineLevel="0" collapsed="false">
      <c r="A92" s="13" t="n">
        <v>7</v>
      </c>
      <c r="B92" s="0" t="str">
        <f aca="false">IFERROR(INDEX(Visitas!$B$2:$B$401,MATCH(A92,Visitas!$A$2:$A$401,0)),"")</f>
        <v>UBS São Domingos</v>
      </c>
      <c r="C92" s="13" t="s">
        <v>85</v>
      </c>
      <c r="D92" s="0" t="str">
        <f aca="false">IFERROR(INDEX(Itens!$C$2:$C$100,MATCH(C92,Itens!$A$2:$A$100,0)),"")</f>
        <v>Conforto, limpeza e organização</v>
      </c>
      <c r="E92" s="0" t="str">
        <f aca="false">IFERROR(INDEX(Visitas!$C$2:$C$401,MATCH(A92,Visitas!$A$2:$A$401,0)),"")</f>
        <v>2023</v>
      </c>
      <c r="F92" s="0" t="str">
        <f aca="false">IFERROR(INDEX(Itens!$B$2:$B$100,MATCH(C92,Itens!$A$2:$A$100,0)),"")</f>
        <v>I</v>
      </c>
      <c r="G92" s="13" t="n">
        <v>1</v>
      </c>
      <c r="H92" s="13" t="n">
        <v>0</v>
      </c>
    </row>
    <row r="93" customFormat="false" ht="15" hidden="false" customHeight="false" outlineLevel="0" collapsed="false">
      <c r="A93" s="13" t="n">
        <v>7</v>
      </c>
      <c r="B93" s="0" t="str">
        <f aca="false">IFERROR(INDEX(Visitas!$B$2:$B$401,MATCH(A93,Visitas!$A$2:$A$401,0)),"")</f>
        <v>UBS São Domingos</v>
      </c>
      <c r="C93" s="13" t="s">
        <v>88</v>
      </c>
      <c r="D93" s="0" t="str">
        <f aca="false">IFERROR(INDEX(Itens!$C$2:$C$100,MATCH(C93,Itens!$A$2:$A$100,0)),"")</f>
        <v>Utilização de indicadores de gestão</v>
      </c>
      <c r="E93" s="0" t="str">
        <f aca="false">IFERROR(INDEX(Visitas!$C$2:$C$401,MATCH(A93,Visitas!$A$2:$A$401,0)),"")</f>
        <v>2023</v>
      </c>
      <c r="F93" s="0" t="str">
        <f aca="false">IFERROR(INDEX(Itens!$B$2:$B$100,MATCH(C93,Itens!$A$2:$A$100,0)),"")</f>
        <v>II</v>
      </c>
      <c r="G93" s="13" t="n">
        <v>0</v>
      </c>
      <c r="H93" s="13" t="n">
        <v>0</v>
      </c>
    </row>
    <row r="94" customFormat="false" ht="15" hidden="false" customHeight="false" outlineLevel="0" collapsed="false">
      <c r="A94" s="13" t="n">
        <v>7</v>
      </c>
      <c r="B94" s="0" t="str">
        <f aca="false">IFERROR(INDEX(Visitas!$B$2:$B$401,MATCH(A94,Visitas!$A$2:$A$401,0)),"")</f>
        <v>UBS São Domingos</v>
      </c>
      <c r="C94" s="13" t="s">
        <v>92</v>
      </c>
      <c r="D94" s="0" t="str">
        <f aca="false">IFERROR(INDEX(Itens!$C$2:$C$100,MATCH(C94,Itens!$A$2:$A$100,0)),"")</f>
        <v>Dimensionamento de equipe</v>
      </c>
      <c r="E94" s="0" t="str">
        <f aca="false">IFERROR(INDEX(Visitas!$C$2:$C$401,MATCH(A94,Visitas!$A$2:$A$401,0)),"")</f>
        <v>2023</v>
      </c>
      <c r="F94" s="0" t="str">
        <f aca="false">IFERROR(INDEX(Itens!$B$2:$B$100,MATCH(C94,Itens!$A$2:$A$100,0)),"")</f>
        <v>II</v>
      </c>
      <c r="G94" s="13" t="n">
        <v>2</v>
      </c>
      <c r="H94" s="13" t="n">
        <v>0</v>
      </c>
    </row>
    <row r="95" customFormat="false" ht="15" hidden="false" customHeight="false" outlineLevel="0" collapsed="false">
      <c r="A95" s="13" t="n">
        <v>7</v>
      </c>
      <c r="B95" s="0" t="str">
        <f aca="false">IFERROR(INDEX(Visitas!$B$2:$B$401,MATCH(A95,Visitas!$A$2:$A$401,0)),"")</f>
        <v>UBS São Domingos</v>
      </c>
      <c r="C95" s="13" t="s">
        <v>96</v>
      </c>
      <c r="D95" s="0" t="str">
        <f aca="false">IFERROR(INDEX(Itens!$C$2:$C$100,MATCH(C95,Itens!$A$2:$A$100,0)),"")</f>
        <v>Execução do cronograma de capacitação da equipe de trabalho</v>
      </c>
      <c r="E95" s="0" t="str">
        <f aca="false">IFERROR(INDEX(Visitas!$C$2:$C$401,MATCH(A95,Visitas!$A$2:$A$401,0)),"")</f>
        <v>2023</v>
      </c>
      <c r="F95" s="0" t="str">
        <f aca="false">IFERROR(INDEX(Itens!$B$2:$B$100,MATCH(C95,Itens!$A$2:$A$100,0)),"")</f>
        <v>II</v>
      </c>
      <c r="G95" s="13" t="n">
        <v>0</v>
      </c>
      <c r="H95" s="13" t="n">
        <v>0</v>
      </c>
    </row>
    <row r="96" customFormat="false" ht="15" hidden="false" customHeight="false" outlineLevel="0" collapsed="false">
      <c r="A96" s="13" t="n">
        <v>7</v>
      </c>
      <c r="B96" s="0" t="str">
        <f aca="false">IFERROR(INDEX(Visitas!$B$2:$B$401,MATCH(A96,Visitas!$A$2:$A$401,0)),"")</f>
        <v>UBS São Domingos</v>
      </c>
      <c r="C96" s="13" t="s">
        <v>100</v>
      </c>
      <c r="D96" s="0" t="str">
        <f aca="false">IFERROR(INDEX(Itens!$C$2:$C$100,MATCH(C96,Itens!$A$2:$A$100,0)),"")</f>
        <v>Disponibilidade de agendamento de consultas, exames e procedimentos</v>
      </c>
      <c r="E96" s="0" t="str">
        <f aca="false">IFERROR(INDEX(Visitas!$C$2:$C$401,MATCH(A96,Visitas!$A$2:$A$401,0)),"")</f>
        <v>2023</v>
      </c>
      <c r="F96" s="0" t="str">
        <f aca="false">IFERROR(INDEX(Itens!$B$2:$B$100,MATCH(C96,Itens!$A$2:$A$100,0)),"")</f>
        <v>II</v>
      </c>
      <c r="G96" s="13" t="n">
        <v>2</v>
      </c>
      <c r="H96" s="13" t="n">
        <v>0</v>
      </c>
    </row>
    <row r="97" customFormat="false" ht="15" hidden="false" customHeight="false" outlineLevel="0" collapsed="false">
      <c r="A97" s="13" t="n">
        <v>7</v>
      </c>
      <c r="B97" s="0" t="str">
        <f aca="false">IFERROR(INDEX(Visitas!$B$2:$B$401,MATCH(A97,Visitas!$A$2:$A$401,0)),"")</f>
        <v>UBS São Domingos</v>
      </c>
      <c r="C97" s="13" t="s">
        <v>104</v>
      </c>
      <c r="D97" s="0" t="str">
        <f aca="false">IFERROR(INDEX(Itens!$C$2:$C$100,MATCH(C97,Itens!$A$2:$A$100,0)),"")</f>
        <v>Atendimento aos indicadores do PMS</v>
      </c>
      <c r="E97" s="0" t="str">
        <f aca="false">IFERROR(INDEX(Visitas!$C$2:$C$401,MATCH(A97,Visitas!$A$2:$A$401,0)),"")</f>
        <v>2023</v>
      </c>
      <c r="F97" s="0" t="str">
        <f aca="false">IFERROR(INDEX(Itens!$B$2:$B$100,MATCH(C97,Itens!$A$2:$A$100,0)),"")</f>
        <v>III</v>
      </c>
      <c r="G97" s="13" t="n">
        <v>1</v>
      </c>
      <c r="H97" s="13" t="n">
        <v>0</v>
      </c>
    </row>
    <row r="98" customFormat="false" ht="15" hidden="false" customHeight="false" outlineLevel="0" collapsed="false">
      <c r="A98" s="13" t="n">
        <v>7</v>
      </c>
      <c r="B98" s="0" t="str">
        <f aca="false">IFERROR(INDEX(Visitas!$B$2:$B$401,MATCH(A98,Visitas!$A$2:$A$401,0)),"")</f>
        <v>UBS São Domingos</v>
      </c>
      <c r="C98" s="13" t="s">
        <v>109</v>
      </c>
      <c r="D98" s="0" t="str">
        <f aca="false">IFERROR(INDEX(Itens!$C$2:$C$100,MATCH(C98,Itens!$A$2:$A$100,0)),"")</f>
        <v>Registro de reclamações na Ouvidoria do COMSAUDE</v>
      </c>
      <c r="E98" s="0" t="str">
        <f aca="false">IFERROR(INDEX(Visitas!$C$2:$C$401,MATCH(A98,Visitas!$A$2:$A$401,0)),"")</f>
        <v>2023</v>
      </c>
      <c r="F98" s="0" t="str">
        <f aca="false">IFERROR(INDEX(Itens!$B$2:$B$100,MATCH(C98,Itens!$A$2:$A$100,0)),"")</f>
        <v>IV</v>
      </c>
      <c r="G98" s="13" t="n">
        <v>2</v>
      </c>
      <c r="H98" s="13" t="n">
        <v>0</v>
      </c>
    </row>
    <row r="99" customFormat="false" ht="15" hidden="false" customHeight="false" outlineLevel="0" collapsed="false">
      <c r="A99" s="13" t="n">
        <v>7</v>
      </c>
      <c r="B99" s="0" t="str">
        <f aca="false">IFERROR(INDEX(Visitas!$B$2:$B$401,MATCH(A99,Visitas!$A$2:$A$401,0)),"")</f>
        <v>UBS São Domingos</v>
      </c>
      <c r="C99" s="13" t="s">
        <v>113</v>
      </c>
      <c r="D99" s="0" t="str">
        <f aca="false">IFERROR(INDEX(Itens!$C$2:$C$100,MATCH(C99,Itens!$A$2:$A$100,0)),"")</f>
        <v>Satisfação dos usuários</v>
      </c>
      <c r="E99" s="0" t="str">
        <f aca="false">IFERROR(INDEX(Visitas!$C$2:$C$401,MATCH(A99,Visitas!$A$2:$A$401,0)),"")</f>
        <v>2023</v>
      </c>
      <c r="F99" s="0" t="str">
        <f aca="false">IFERROR(INDEX(Itens!$B$2:$B$100,MATCH(C99,Itens!$A$2:$A$100,0)),"")</f>
        <v>IV</v>
      </c>
      <c r="G99" s="13" t="n">
        <v>2</v>
      </c>
      <c r="H99" s="13" t="n">
        <v>0</v>
      </c>
    </row>
    <row r="100" customFormat="false" ht="15" hidden="false" customHeight="false" outlineLevel="0" collapsed="false">
      <c r="A100" s="13" t="n">
        <v>8</v>
      </c>
      <c r="B100" s="0" t="str">
        <f aca="false">IFERROR(INDEX(Visitas!$B$2:$B$401,MATCH(A100,Visitas!$A$2:$A$401,0)),"")</f>
        <v>UBS Cariobinha</v>
      </c>
      <c r="C100" s="13" t="s">
        <v>65</v>
      </c>
      <c r="D100" s="0" t="str">
        <f aca="false">IFERROR(INDEX(Itens!$C$2:$C$100,MATCH(C100,Itens!$A$2:$A$100,0)),"")</f>
        <v>Infraestrutura civil</v>
      </c>
      <c r="E100" s="0" t="str">
        <f aca="false">IFERROR(INDEX(Visitas!$C$2:$C$401,MATCH(A100,Visitas!$A$2:$A$401,0)),"")</f>
        <v>2023</v>
      </c>
      <c r="F100" s="0" t="str">
        <f aca="false">IFERROR(INDEX(Itens!$B$2:$B$100,MATCH(C100,Itens!$A$2:$A$100,0)),"")</f>
        <v>I</v>
      </c>
      <c r="G100" s="13" t="n">
        <v>2</v>
      </c>
      <c r="H100" s="13" t="n">
        <v>0</v>
      </c>
    </row>
    <row r="101" customFormat="false" ht="15" hidden="false" customHeight="false" outlineLevel="0" collapsed="false">
      <c r="A101" s="13" t="n">
        <v>8</v>
      </c>
      <c r="B101" s="0" t="str">
        <f aca="false">IFERROR(INDEX(Visitas!$B$2:$B$401,MATCH(A101,Visitas!$A$2:$A$401,0)),"")</f>
        <v>UBS Cariobinha</v>
      </c>
      <c r="C101" s="13" t="s">
        <v>70</v>
      </c>
      <c r="D101" s="0" t="str">
        <f aca="false">IFERROR(INDEX(Itens!$C$2:$C$100,MATCH(C101,Itens!$A$2:$A$100,0)),"")</f>
        <v>Infraestrutura elétrica</v>
      </c>
      <c r="E101" s="0" t="str">
        <f aca="false">IFERROR(INDEX(Visitas!$C$2:$C$401,MATCH(A101,Visitas!$A$2:$A$401,0)),"")</f>
        <v>2023</v>
      </c>
      <c r="F101" s="0" t="str">
        <f aca="false">IFERROR(INDEX(Itens!$B$2:$B$100,MATCH(C101,Itens!$A$2:$A$100,0)),"")</f>
        <v>I</v>
      </c>
      <c r="G101" s="13" t="n">
        <v>2</v>
      </c>
      <c r="H101" s="13" t="n">
        <v>0</v>
      </c>
    </row>
    <row r="102" customFormat="false" ht="15" hidden="false" customHeight="false" outlineLevel="0" collapsed="false">
      <c r="A102" s="13" t="n">
        <v>8</v>
      </c>
      <c r="B102" s="0" t="str">
        <f aca="false">IFERROR(INDEX(Visitas!$B$2:$B$401,MATCH(A102,Visitas!$A$2:$A$401,0)),"")</f>
        <v>UBS Cariobinha</v>
      </c>
      <c r="C102" s="13" t="s">
        <v>73</v>
      </c>
      <c r="D102" s="0" t="str">
        <f aca="false">IFERROR(INDEX(Itens!$C$2:$C$100,MATCH(C102,Itens!$A$2:$A$100,0)),"")</f>
        <v>Infraestrutura hidráulica</v>
      </c>
      <c r="E102" s="0" t="str">
        <f aca="false">IFERROR(INDEX(Visitas!$C$2:$C$401,MATCH(A102,Visitas!$A$2:$A$401,0)),"")</f>
        <v>2023</v>
      </c>
      <c r="F102" s="0" t="str">
        <f aca="false">IFERROR(INDEX(Itens!$B$2:$B$100,MATCH(C102,Itens!$A$2:$A$100,0)),"")</f>
        <v>I</v>
      </c>
      <c r="G102" s="13" t="n">
        <v>2</v>
      </c>
      <c r="H102" s="13" t="n">
        <v>0</v>
      </c>
    </row>
    <row r="103" customFormat="false" ht="15" hidden="false" customHeight="false" outlineLevel="0" collapsed="false">
      <c r="A103" s="13" t="n">
        <v>8</v>
      </c>
      <c r="B103" s="0" t="str">
        <f aca="false">IFERROR(INDEX(Visitas!$B$2:$B$401,MATCH(A103,Visitas!$A$2:$A$401,0)),"")</f>
        <v>UBS Cariobinha</v>
      </c>
      <c r="C103" s="13" t="s">
        <v>76</v>
      </c>
      <c r="D103" s="0" t="str">
        <f aca="false">IFERROR(INDEX(Itens!$C$2:$C$100,MATCH(C103,Itens!$A$2:$A$100,0)),"")</f>
        <v>Infraestrutura de comunicação</v>
      </c>
      <c r="E103" s="0" t="str">
        <f aca="false">IFERROR(INDEX(Visitas!$C$2:$C$401,MATCH(A103,Visitas!$A$2:$A$401,0)),"")</f>
        <v>2023</v>
      </c>
      <c r="F103" s="0" t="str">
        <f aca="false">IFERROR(INDEX(Itens!$B$2:$B$100,MATCH(C103,Itens!$A$2:$A$100,0)),"")</f>
        <v>I</v>
      </c>
      <c r="G103" s="13" t="n">
        <v>2</v>
      </c>
      <c r="H103" s="13" t="n">
        <v>0</v>
      </c>
    </row>
    <row r="104" customFormat="false" ht="15" hidden="false" customHeight="false" outlineLevel="0" collapsed="false">
      <c r="A104" s="13" t="n">
        <v>8</v>
      </c>
      <c r="B104" s="0" t="str">
        <f aca="false">IFERROR(INDEX(Visitas!$B$2:$B$401,MATCH(A104,Visitas!$A$2:$A$401,0)),"")</f>
        <v>UBS Cariobinha</v>
      </c>
      <c r="C104" s="13" t="s">
        <v>79</v>
      </c>
      <c r="D104" s="0" t="str">
        <f aca="false">IFERROR(INDEX(Itens!$C$2:$C$100,MATCH(C104,Itens!$A$2:$A$100,0)),"")</f>
        <v>Equipamentos</v>
      </c>
      <c r="E104" s="0" t="str">
        <f aca="false">IFERROR(INDEX(Visitas!$C$2:$C$401,MATCH(A104,Visitas!$A$2:$A$401,0)),"")</f>
        <v>2023</v>
      </c>
      <c r="F104" s="0" t="str">
        <f aca="false">IFERROR(INDEX(Itens!$B$2:$B$100,MATCH(C104,Itens!$A$2:$A$100,0)),"")</f>
        <v>I</v>
      </c>
      <c r="G104" s="13" t="n">
        <v>2</v>
      </c>
      <c r="H104" s="13" t="n">
        <v>0</v>
      </c>
    </row>
    <row r="105" customFormat="false" ht="15" hidden="false" customHeight="false" outlineLevel="0" collapsed="false">
      <c r="A105" s="13" t="n">
        <v>8</v>
      </c>
      <c r="B105" s="0" t="str">
        <f aca="false">IFERROR(INDEX(Visitas!$B$2:$B$401,MATCH(A105,Visitas!$A$2:$A$401,0)),"")</f>
        <v>UBS Cariobinha</v>
      </c>
      <c r="C105" s="13" t="s">
        <v>82</v>
      </c>
      <c r="D105" s="0" t="str">
        <f aca="false">IFERROR(INDEX(Itens!$C$2:$C$100,MATCH(C105,Itens!$A$2:$A$100,0)),"")</f>
        <v>Materiais, medicamentos e insumos</v>
      </c>
      <c r="E105" s="0" t="str">
        <f aca="false">IFERROR(INDEX(Visitas!$C$2:$C$401,MATCH(A105,Visitas!$A$2:$A$401,0)),"")</f>
        <v>2023</v>
      </c>
      <c r="F105" s="0" t="str">
        <f aca="false">IFERROR(INDEX(Itens!$B$2:$B$100,MATCH(C105,Itens!$A$2:$A$100,0)),"")</f>
        <v>I</v>
      </c>
      <c r="G105" s="13" t="n">
        <v>2</v>
      </c>
      <c r="H105" s="13" t="n">
        <v>0</v>
      </c>
    </row>
    <row r="106" customFormat="false" ht="15" hidden="false" customHeight="false" outlineLevel="0" collapsed="false">
      <c r="A106" s="13" t="n">
        <v>8</v>
      </c>
      <c r="B106" s="0" t="str">
        <f aca="false">IFERROR(INDEX(Visitas!$B$2:$B$401,MATCH(A106,Visitas!$A$2:$A$401,0)),"")</f>
        <v>UBS Cariobinha</v>
      </c>
      <c r="C106" s="13" t="s">
        <v>85</v>
      </c>
      <c r="D106" s="0" t="str">
        <f aca="false">IFERROR(INDEX(Itens!$C$2:$C$100,MATCH(C106,Itens!$A$2:$A$100,0)),"")</f>
        <v>Conforto, limpeza e organização</v>
      </c>
      <c r="E106" s="0" t="str">
        <f aca="false">IFERROR(INDEX(Visitas!$C$2:$C$401,MATCH(A106,Visitas!$A$2:$A$401,0)),"")</f>
        <v>2023</v>
      </c>
      <c r="F106" s="0" t="str">
        <f aca="false">IFERROR(INDEX(Itens!$B$2:$B$100,MATCH(C106,Itens!$A$2:$A$100,0)),"")</f>
        <v>I</v>
      </c>
      <c r="G106" s="13" t="n">
        <v>2</v>
      </c>
      <c r="H106" s="13" t="n">
        <v>0</v>
      </c>
    </row>
    <row r="107" customFormat="false" ht="15" hidden="false" customHeight="false" outlineLevel="0" collapsed="false">
      <c r="A107" s="13" t="n">
        <v>8</v>
      </c>
      <c r="B107" s="0" t="str">
        <f aca="false">IFERROR(INDEX(Visitas!$B$2:$B$401,MATCH(A107,Visitas!$A$2:$A$401,0)),"")</f>
        <v>UBS Cariobinha</v>
      </c>
      <c r="C107" s="13" t="s">
        <v>88</v>
      </c>
      <c r="D107" s="0" t="str">
        <f aca="false">IFERROR(INDEX(Itens!$C$2:$C$100,MATCH(C107,Itens!$A$2:$A$100,0)),"")</f>
        <v>Utilização de indicadores de gestão</v>
      </c>
      <c r="E107" s="0" t="str">
        <f aca="false">IFERROR(INDEX(Visitas!$C$2:$C$401,MATCH(A107,Visitas!$A$2:$A$401,0)),"")</f>
        <v>2023</v>
      </c>
      <c r="F107" s="0" t="str">
        <f aca="false">IFERROR(INDEX(Itens!$B$2:$B$100,MATCH(C107,Itens!$A$2:$A$100,0)),"")</f>
        <v>II</v>
      </c>
      <c r="G107" s="13"/>
      <c r="H107" s="13" t="n">
        <v>0</v>
      </c>
    </row>
    <row r="108" customFormat="false" ht="15" hidden="false" customHeight="false" outlineLevel="0" collapsed="false">
      <c r="A108" s="13" t="n">
        <v>8</v>
      </c>
      <c r="B108" s="0" t="str">
        <f aca="false">IFERROR(INDEX(Visitas!$B$2:$B$401,MATCH(A108,Visitas!$A$2:$A$401,0)),"")</f>
        <v>UBS Cariobinha</v>
      </c>
      <c r="C108" s="13" t="s">
        <v>92</v>
      </c>
      <c r="D108" s="0" t="str">
        <f aca="false">IFERROR(INDEX(Itens!$C$2:$C$100,MATCH(C108,Itens!$A$2:$A$100,0)),"")</f>
        <v>Dimensionamento de equipe</v>
      </c>
      <c r="E108" s="0" t="str">
        <f aca="false">IFERROR(INDEX(Visitas!$C$2:$C$401,MATCH(A108,Visitas!$A$2:$A$401,0)),"")</f>
        <v>2023</v>
      </c>
      <c r="F108" s="0" t="str">
        <f aca="false">IFERROR(INDEX(Itens!$B$2:$B$100,MATCH(C108,Itens!$A$2:$A$100,0)),"")</f>
        <v>II</v>
      </c>
      <c r="G108" s="13"/>
      <c r="H108" s="13" t="n">
        <v>0</v>
      </c>
    </row>
    <row r="109" customFormat="false" ht="15" hidden="false" customHeight="false" outlineLevel="0" collapsed="false">
      <c r="A109" s="13" t="n">
        <v>8</v>
      </c>
      <c r="B109" s="0" t="str">
        <f aca="false">IFERROR(INDEX(Visitas!$B$2:$B$401,MATCH(A109,Visitas!$A$2:$A$401,0)),"")</f>
        <v>UBS Cariobinha</v>
      </c>
      <c r="C109" s="13" t="s">
        <v>96</v>
      </c>
      <c r="D109" s="0" t="str">
        <f aca="false">IFERROR(INDEX(Itens!$C$2:$C$100,MATCH(C109,Itens!$A$2:$A$100,0)),"")</f>
        <v>Execução do cronograma de capacitação da equipe de trabalho</v>
      </c>
      <c r="E109" s="0" t="str">
        <f aca="false">IFERROR(INDEX(Visitas!$C$2:$C$401,MATCH(A109,Visitas!$A$2:$A$401,0)),"")</f>
        <v>2023</v>
      </c>
      <c r="F109" s="0" t="str">
        <f aca="false">IFERROR(INDEX(Itens!$B$2:$B$100,MATCH(C109,Itens!$A$2:$A$100,0)),"")</f>
        <v>II</v>
      </c>
      <c r="G109" s="13"/>
      <c r="H109" s="13" t="n">
        <v>0</v>
      </c>
    </row>
    <row r="110" customFormat="false" ht="15" hidden="false" customHeight="false" outlineLevel="0" collapsed="false">
      <c r="A110" s="13" t="n">
        <v>8</v>
      </c>
      <c r="B110" s="0" t="str">
        <f aca="false">IFERROR(INDEX(Visitas!$B$2:$B$401,MATCH(A110,Visitas!$A$2:$A$401,0)),"")</f>
        <v>UBS Cariobinha</v>
      </c>
      <c r="C110" s="13" t="s">
        <v>100</v>
      </c>
      <c r="D110" s="0" t="str">
        <f aca="false">IFERROR(INDEX(Itens!$C$2:$C$100,MATCH(C110,Itens!$A$2:$A$100,0)),"")</f>
        <v>Disponibilidade de agendamento de consultas, exames e procedimentos</v>
      </c>
      <c r="E110" s="0" t="str">
        <f aca="false">IFERROR(INDEX(Visitas!$C$2:$C$401,MATCH(A110,Visitas!$A$2:$A$401,0)),"")</f>
        <v>2023</v>
      </c>
      <c r="F110" s="0" t="str">
        <f aca="false">IFERROR(INDEX(Itens!$B$2:$B$100,MATCH(C110,Itens!$A$2:$A$100,0)),"")</f>
        <v>II</v>
      </c>
      <c r="G110" s="13"/>
      <c r="H110" s="13" t="n">
        <v>0</v>
      </c>
    </row>
    <row r="111" customFormat="false" ht="15" hidden="false" customHeight="false" outlineLevel="0" collapsed="false">
      <c r="A111" s="13" t="n">
        <v>8</v>
      </c>
      <c r="B111" s="0" t="str">
        <f aca="false">IFERROR(INDEX(Visitas!$B$2:$B$401,MATCH(A111,Visitas!$A$2:$A$401,0)),"")</f>
        <v>UBS Cariobinha</v>
      </c>
      <c r="C111" s="13" t="s">
        <v>104</v>
      </c>
      <c r="D111" s="0" t="str">
        <f aca="false">IFERROR(INDEX(Itens!$C$2:$C$100,MATCH(C111,Itens!$A$2:$A$100,0)),"")</f>
        <v>Atendimento aos indicadores do PMS</v>
      </c>
      <c r="E111" s="0" t="str">
        <f aca="false">IFERROR(INDEX(Visitas!$C$2:$C$401,MATCH(A111,Visitas!$A$2:$A$401,0)),"")</f>
        <v>2023</v>
      </c>
      <c r="F111" s="0" t="str">
        <f aca="false">IFERROR(INDEX(Itens!$B$2:$B$100,MATCH(C111,Itens!$A$2:$A$100,0)),"")</f>
        <v>III</v>
      </c>
      <c r="G111" s="13"/>
      <c r="H111" s="13" t="n">
        <v>0</v>
      </c>
    </row>
    <row r="112" customFormat="false" ht="15" hidden="false" customHeight="false" outlineLevel="0" collapsed="false">
      <c r="A112" s="13" t="n">
        <v>8</v>
      </c>
      <c r="B112" s="0" t="str">
        <f aca="false">IFERROR(INDEX(Visitas!$B$2:$B$401,MATCH(A112,Visitas!$A$2:$A$401,0)),"")</f>
        <v>UBS Cariobinha</v>
      </c>
      <c r="C112" s="13" t="s">
        <v>109</v>
      </c>
      <c r="D112" s="0" t="str">
        <f aca="false">IFERROR(INDEX(Itens!$C$2:$C$100,MATCH(C112,Itens!$A$2:$A$100,0)),"")</f>
        <v>Registro de reclamações na Ouvidoria do COMSAUDE</v>
      </c>
      <c r="E112" s="0" t="str">
        <f aca="false">IFERROR(INDEX(Visitas!$C$2:$C$401,MATCH(A112,Visitas!$A$2:$A$401,0)),"")</f>
        <v>2023</v>
      </c>
      <c r="F112" s="0" t="str">
        <f aca="false">IFERROR(INDEX(Itens!$B$2:$B$100,MATCH(C112,Itens!$A$2:$A$100,0)),"")</f>
        <v>IV</v>
      </c>
      <c r="G112" s="13"/>
      <c r="H112" s="13" t="n">
        <v>0</v>
      </c>
    </row>
    <row r="113" customFormat="false" ht="15" hidden="false" customHeight="false" outlineLevel="0" collapsed="false">
      <c r="A113" s="13" t="n">
        <v>8</v>
      </c>
      <c r="B113" s="0" t="str">
        <f aca="false">IFERROR(INDEX(Visitas!$B$2:$B$401,MATCH(A113,Visitas!$A$2:$A$401,0)),"")</f>
        <v>UBS Cariobinha</v>
      </c>
      <c r="C113" s="13" t="s">
        <v>113</v>
      </c>
      <c r="D113" s="0" t="str">
        <f aca="false">IFERROR(INDEX(Itens!$C$2:$C$100,MATCH(C113,Itens!$A$2:$A$100,0)),"")</f>
        <v>Satisfação dos usuários</v>
      </c>
      <c r="E113" s="0" t="str">
        <f aca="false">IFERROR(INDEX(Visitas!$C$2:$C$401,MATCH(A113,Visitas!$A$2:$A$401,0)),"")</f>
        <v>2023</v>
      </c>
      <c r="F113" s="0" t="str">
        <f aca="false">IFERROR(INDEX(Itens!$B$2:$B$100,MATCH(C113,Itens!$A$2:$A$100,0)),"")</f>
        <v>IV</v>
      </c>
      <c r="G113" s="13"/>
      <c r="H113" s="13" t="n">
        <v>0</v>
      </c>
    </row>
    <row r="114" customFormat="false" ht="15" hidden="false" customHeight="false" outlineLevel="0" collapsed="false">
      <c r="A114" s="13" t="n">
        <v>9</v>
      </c>
      <c r="B114" s="0" t="str">
        <f aca="false">IFERROR(INDEX(Visitas!$B$2:$B$401,MATCH(A114,Visitas!$A$2:$A$401,0)),"")</f>
        <v>UBS Vila Gallo</v>
      </c>
      <c r="C114" s="13" t="s">
        <v>65</v>
      </c>
      <c r="D114" s="0" t="str">
        <f aca="false">IFERROR(INDEX(Itens!$C$2:$C$100,MATCH(C114,Itens!$A$2:$A$100,0)),"")</f>
        <v>Infraestrutura civil</v>
      </c>
      <c r="E114" s="0" t="str">
        <f aca="false">IFERROR(INDEX(Visitas!$C$2:$C$401,MATCH(A114,Visitas!$A$2:$A$401,0)),"")</f>
        <v>2023</v>
      </c>
      <c r="F114" s="0" t="str">
        <f aca="false">IFERROR(INDEX(Itens!$B$2:$B$100,MATCH(C114,Itens!$A$2:$A$100,0)),"")</f>
        <v>I</v>
      </c>
      <c r="G114" s="13" t="n">
        <v>1</v>
      </c>
      <c r="H114" s="13" t="n">
        <v>0</v>
      </c>
    </row>
    <row r="115" customFormat="false" ht="15" hidden="false" customHeight="false" outlineLevel="0" collapsed="false">
      <c r="A115" s="13" t="n">
        <v>9</v>
      </c>
      <c r="B115" s="0" t="str">
        <f aca="false">IFERROR(INDEX(Visitas!$B$2:$B$401,MATCH(A115,Visitas!$A$2:$A$401,0)),"")</f>
        <v>UBS Vila Gallo</v>
      </c>
      <c r="C115" s="13" t="s">
        <v>70</v>
      </c>
      <c r="D115" s="0" t="str">
        <f aca="false">IFERROR(INDEX(Itens!$C$2:$C$100,MATCH(C115,Itens!$A$2:$A$100,0)),"")</f>
        <v>Infraestrutura elétrica</v>
      </c>
      <c r="E115" s="0" t="str">
        <f aca="false">IFERROR(INDEX(Visitas!$C$2:$C$401,MATCH(A115,Visitas!$A$2:$A$401,0)),"")</f>
        <v>2023</v>
      </c>
      <c r="F115" s="0" t="str">
        <f aca="false">IFERROR(INDEX(Itens!$B$2:$B$100,MATCH(C115,Itens!$A$2:$A$100,0)),"")</f>
        <v>I</v>
      </c>
      <c r="G115" s="13" t="n">
        <v>2</v>
      </c>
      <c r="H115" s="13" t="n">
        <v>0</v>
      </c>
    </row>
    <row r="116" customFormat="false" ht="15" hidden="false" customHeight="false" outlineLevel="0" collapsed="false">
      <c r="A116" s="13" t="n">
        <v>9</v>
      </c>
      <c r="B116" s="0" t="str">
        <f aca="false">IFERROR(INDEX(Visitas!$B$2:$B$401,MATCH(A116,Visitas!$A$2:$A$401,0)),"")</f>
        <v>UBS Vila Gallo</v>
      </c>
      <c r="C116" s="13" t="s">
        <v>73</v>
      </c>
      <c r="D116" s="0" t="str">
        <f aca="false">IFERROR(INDEX(Itens!$C$2:$C$100,MATCH(C116,Itens!$A$2:$A$100,0)),"")</f>
        <v>Infraestrutura hidráulica</v>
      </c>
      <c r="E116" s="0" t="str">
        <f aca="false">IFERROR(INDEX(Visitas!$C$2:$C$401,MATCH(A116,Visitas!$A$2:$A$401,0)),"")</f>
        <v>2023</v>
      </c>
      <c r="F116" s="0" t="str">
        <f aca="false">IFERROR(INDEX(Itens!$B$2:$B$100,MATCH(C116,Itens!$A$2:$A$100,0)),"")</f>
        <v>I</v>
      </c>
      <c r="G116" s="13" t="n">
        <v>1</v>
      </c>
      <c r="H116" s="13" t="n">
        <v>0</v>
      </c>
    </row>
    <row r="117" customFormat="false" ht="15" hidden="false" customHeight="false" outlineLevel="0" collapsed="false">
      <c r="A117" s="13" t="n">
        <v>9</v>
      </c>
      <c r="B117" s="0" t="str">
        <f aca="false">IFERROR(INDEX(Visitas!$B$2:$B$401,MATCH(A117,Visitas!$A$2:$A$401,0)),"")</f>
        <v>UBS Vila Gallo</v>
      </c>
      <c r="C117" s="13" t="s">
        <v>76</v>
      </c>
      <c r="D117" s="0" t="str">
        <f aca="false">IFERROR(INDEX(Itens!$C$2:$C$100,MATCH(C117,Itens!$A$2:$A$100,0)),"")</f>
        <v>Infraestrutura de comunicação</v>
      </c>
      <c r="E117" s="0" t="str">
        <f aca="false">IFERROR(INDEX(Visitas!$C$2:$C$401,MATCH(A117,Visitas!$A$2:$A$401,0)),"")</f>
        <v>2023</v>
      </c>
      <c r="F117" s="0" t="str">
        <f aca="false">IFERROR(INDEX(Itens!$B$2:$B$100,MATCH(C117,Itens!$A$2:$A$100,0)),"")</f>
        <v>I</v>
      </c>
      <c r="G117" s="13" t="n">
        <v>2</v>
      </c>
      <c r="H117" s="13" t="n">
        <v>0</v>
      </c>
    </row>
    <row r="118" customFormat="false" ht="15" hidden="false" customHeight="false" outlineLevel="0" collapsed="false">
      <c r="A118" s="13" t="n">
        <v>9</v>
      </c>
      <c r="B118" s="0" t="str">
        <f aca="false">IFERROR(INDEX(Visitas!$B$2:$B$401,MATCH(A118,Visitas!$A$2:$A$401,0)),"")</f>
        <v>UBS Vila Gallo</v>
      </c>
      <c r="C118" s="13" t="s">
        <v>79</v>
      </c>
      <c r="D118" s="0" t="str">
        <f aca="false">IFERROR(INDEX(Itens!$C$2:$C$100,MATCH(C118,Itens!$A$2:$A$100,0)),"")</f>
        <v>Equipamentos</v>
      </c>
      <c r="E118" s="0" t="str">
        <f aca="false">IFERROR(INDEX(Visitas!$C$2:$C$401,MATCH(A118,Visitas!$A$2:$A$401,0)),"")</f>
        <v>2023</v>
      </c>
      <c r="F118" s="0" t="str">
        <f aca="false">IFERROR(INDEX(Itens!$B$2:$B$100,MATCH(C118,Itens!$A$2:$A$100,0)),"")</f>
        <v>I</v>
      </c>
      <c r="G118" s="13" t="n">
        <v>2</v>
      </c>
      <c r="H118" s="13" t="n">
        <v>0</v>
      </c>
    </row>
    <row r="119" customFormat="false" ht="15" hidden="false" customHeight="false" outlineLevel="0" collapsed="false">
      <c r="A119" s="13" t="n">
        <v>9</v>
      </c>
      <c r="B119" s="0" t="str">
        <f aca="false">IFERROR(INDEX(Visitas!$B$2:$B$401,MATCH(A119,Visitas!$A$2:$A$401,0)),"")</f>
        <v>UBS Vila Gallo</v>
      </c>
      <c r="C119" s="13" t="s">
        <v>82</v>
      </c>
      <c r="D119" s="0" t="str">
        <f aca="false">IFERROR(INDEX(Itens!$C$2:$C$100,MATCH(C119,Itens!$A$2:$A$100,0)),"")</f>
        <v>Materiais, medicamentos e insumos</v>
      </c>
      <c r="E119" s="0" t="str">
        <f aca="false">IFERROR(INDEX(Visitas!$C$2:$C$401,MATCH(A119,Visitas!$A$2:$A$401,0)),"")</f>
        <v>2023</v>
      </c>
      <c r="F119" s="0" t="str">
        <f aca="false">IFERROR(INDEX(Itens!$B$2:$B$100,MATCH(C119,Itens!$A$2:$A$100,0)),"")</f>
        <v>I</v>
      </c>
      <c r="G119" s="13" t="n">
        <v>2</v>
      </c>
      <c r="H119" s="13" t="n">
        <v>0</v>
      </c>
    </row>
    <row r="120" customFormat="false" ht="15" hidden="false" customHeight="false" outlineLevel="0" collapsed="false">
      <c r="A120" s="13" t="n">
        <v>9</v>
      </c>
      <c r="B120" s="0" t="str">
        <f aca="false">IFERROR(INDEX(Visitas!$B$2:$B$401,MATCH(A120,Visitas!$A$2:$A$401,0)),"")</f>
        <v>UBS Vila Gallo</v>
      </c>
      <c r="C120" s="13" t="s">
        <v>85</v>
      </c>
      <c r="D120" s="0" t="str">
        <f aca="false">IFERROR(INDEX(Itens!$C$2:$C$100,MATCH(C120,Itens!$A$2:$A$100,0)),"")</f>
        <v>Conforto, limpeza e organização</v>
      </c>
      <c r="E120" s="0" t="str">
        <f aca="false">IFERROR(INDEX(Visitas!$C$2:$C$401,MATCH(A120,Visitas!$A$2:$A$401,0)),"")</f>
        <v>2023</v>
      </c>
      <c r="F120" s="0" t="str">
        <f aca="false">IFERROR(INDEX(Itens!$B$2:$B$100,MATCH(C120,Itens!$A$2:$A$100,0)),"")</f>
        <v>I</v>
      </c>
      <c r="G120" s="13" t="n">
        <v>2</v>
      </c>
      <c r="H120" s="13" t="n">
        <v>0</v>
      </c>
    </row>
    <row r="121" customFormat="false" ht="15" hidden="false" customHeight="false" outlineLevel="0" collapsed="false">
      <c r="A121" s="13" t="n">
        <v>9</v>
      </c>
      <c r="B121" s="0" t="str">
        <f aca="false">IFERROR(INDEX(Visitas!$B$2:$B$401,MATCH(A121,Visitas!$A$2:$A$401,0)),"")</f>
        <v>UBS Vila Gallo</v>
      </c>
      <c r="C121" s="13" t="s">
        <v>88</v>
      </c>
      <c r="D121" s="0" t="str">
        <f aca="false">IFERROR(INDEX(Itens!$C$2:$C$100,MATCH(C121,Itens!$A$2:$A$100,0)),"")</f>
        <v>Utilização de indicadores de gestão</v>
      </c>
      <c r="E121" s="0" t="str">
        <f aca="false">IFERROR(INDEX(Visitas!$C$2:$C$401,MATCH(A121,Visitas!$A$2:$A$401,0)),"")</f>
        <v>2023</v>
      </c>
      <c r="F121" s="0" t="str">
        <f aca="false">IFERROR(INDEX(Itens!$B$2:$B$100,MATCH(C121,Itens!$A$2:$A$100,0)),"")</f>
        <v>II</v>
      </c>
      <c r="G121" s="13" t="n">
        <v>1</v>
      </c>
      <c r="H121" s="13" t="n">
        <v>0</v>
      </c>
    </row>
    <row r="122" customFormat="false" ht="15" hidden="false" customHeight="false" outlineLevel="0" collapsed="false">
      <c r="A122" s="13" t="n">
        <v>9</v>
      </c>
      <c r="B122" s="0" t="str">
        <f aca="false">IFERROR(INDEX(Visitas!$B$2:$B$401,MATCH(A122,Visitas!$A$2:$A$401,0)),"")</f>
        <v>UBS Vila Gallo</v>
      </c>
      <c r="C122" s="13" t="s">
        <v>92</v>
      </c>
      <c r="D122" s="0" t="str">
        <f aca="false">IFERROR(INDEX(Itens!$C$2:$C$100,MATCH(C122,Itens!$A$2:$A$100,0)),"")</f>
        <v>Dimensionamento de equipe</v>
      </c>
      <c r="E122" s="0" t="str">
        <f aca="false">IFERROR(INDEX(Visitas!$C$2:$C$401,MATCH(A122,Visitas!$A$2:$A$401,0)),"")</f>
        <v>2023</v>
      </c>
      <c r="F122" s="0" t="str">
        <f aca="false">IFERROR(INDEX(Itens!$B$2:$B$100,MATCH(C122,Itens!$A$2:$A$100,0)),"")</f>
        <v>II</v>
      </c>
      <c r="G122" s="13" t="n">
        <v>2</v>
      </c>
      <c r="H122" s="13" t="n">
        <v>0</v>
      </c>
    </row>
    <row r="123" customFormat="false" ht="15" hidden="false" customHeight="false" outlineLevel="0" collapsed="false">
      <c r="A123" s="13" t="n">
        <v>9</v>
      </c>
      <c r="B123" s="0" t="str">
        <f aca="false">IFERROR(INDEX(Visitas!$B$2:$B$401,MATCH(A123,Visitas!$A$2:$A$401,0)),"")</f>
        <v>UBS Vila Gallo</v>
      </c>
      <c r="C123" s="13" t="s">
        <v>96</v>
      </c>
      <c r="D123" s="0" t="str">
        <f aca="false">IFERROR(INDEX(Itens!$C$2:$C$100,MATCH(C123,Itens!$A$2:$A$100,0)),"")</f>
        <v>Execução do cronograma de capacitação da equipe de trabalho</v>
      </c>
      <c r="E123" s="0" t="str">
        <f aca="false">IFERROR(INDEX(Visitas!$C$2:$C$401,MATCH(A123,Visitas!$A$2:$A$401,0)),"")</f>
        <v>2023</v>
      </c>
      <c r="F123" s="0" t="str">
        <f aca="false">IFERROR(INDEX(Itens!$B$2:$B$100,MATCH(C123,Itens!$A$2:$A$100,0)),"")</f>
        <v>II</v>
      </c>
      <c r="G123" s="13" t="n">
        <v>2</v>
      </c>
      <c r="H123" s="13" t="n">
        <v>0</v>
      </c>
    </row>
    <row r="124" customFormat="false" ht="15" hidden="false" customHeight="false" outlineLevel="0" collapsed="false">
      <c r="A124" s="13" t="n">
        <v>9</v>
      </c>
      <c r="B124" s="0" t="str">
        <f aca="false">IFERROR(INDEX(Visitas!$B$2:$B$401,MATCH(A124,Visitas!$A$2:$A$401,0)),"")</f>
        <v>UBS Vila Gallo</v>
      </c>
      <c r="C124" s="13" t="s">
        <v>100</v>
      </c>
      <c r="D124" s="0" t="str">
        <f aca="false">IFERROR(INDEX(Itens!$C$2:$C$100,MATCH(C124,Itens!$A$2:$A$100,0)),"")</f>
        <v>Disponibilidade de agendamento de consultas, exames e procedimentos</v>
      </c>
      <c r="E124" s="0" t="str">
        <f aca="false">IFERROR(INDEX(Visitas!$C$2:$C$401,MATCH(A124,Visitas!$A$2:$A$401,0)),"")</f>
        <v>2023</v>
      </c>
      <c r="F124" s="0" t="str">
        <f aca="false">IFERROR(INDEX(Itens!$B$2:$B$100,MATCH(C124,Itens!$A$2:$A$100,0)),"")</f>
        <v>II</v>
      </c>
      <c r="G124" s="13" t="n">
        <v>2</v>
      </c>
      <c r="H124" s="13" t="n">
        <v>0</v>
      </c>
    </row>
    <row r="125" customFormat="false" ht="15" hidden="false" customHeight="false" outlineLevel="0" collapsed="false">
      <c r="A125" s="13" t="n">
        <v>9</v>
      </c>
      <c r="B125" s="0" t="str">
        <f aca="false">IFERROR(INDEX(Visitas!$B$2:$B$401,MATCH(A125,Visitas!$A$2:$A$401,0)),"")</f>
        <v>UBS Vila Gallo</v>
      </c>
      <c r="C125" s="13" t="s">
        <v>104</v>
      </c>
      <c r="D125" s="0" t="str">
        <f aca="false">IFERROR(INDEX(Itens!$C$2:$C$100,MATCH(C125,Itens!$A$2:$A$100,0)),"")</f>
        <v>Atendimento aos indicadores do PMS</v>
      </c>
      <c r="E125" s="0" t="str">
        <f aca="false">IFERROR(INDEX(Visitas!$C$2:$C$401,MATCH(A125,Visitas!$A$2:$A$401,0)),"")</f>
        <v>2023</v>
      </c>
      <c r="F125" s="0" t="str">
        <f aca="false">IFERROR(INDEX(Itens!$B$2:$B$100,MATCH(C125,Itens!$A$2:$A$100,0)),"")</f>
        <v>III</v>
      </c>
      <c r="G125" s="13" t="n">
        <v>1</v>
      </c>
      <c r="H125" s="13" t="n">
        <v>0</v>
      </c>
    </row>
    <row r="126" customFormat="false" ht="15" hidden="false" customHeight="false" outlineLevel="0" collapsed="false">
      <c r="A126" s="13" t="n">
        <v>9</v>
      </c>
      <c r="B126" s="0" t="str">
        <f aca="false">IFERROR(INDEX(Visitas!$B$2:$B$401,MATCH(A126,Visitas!$A$2:$A$401,0)),"")</f>
        <v>UBS Vila Gallo</v>
      </c>
      <c r="C126" s="13" t="s">
        <v>109</v>
      </c>
      <c r="D126" s="0" t="str">
        <f aca="false">IFERROR(INDEX(Itens!$C$2:$C$100,MATCH(C126,Itens!$A$2:$A$100,0)),"")</f>
        <v>Registro de reclamações na Ouvidoria do COMSAUDE</v>
      </c>
      <c r="E126" s="0" t="str">
        <f aca="false">IFERROR(INDEX(Visitas!$C$2:$C$401,MATCH(A126,Visitas!$A$2:$A$401,0)),"")</f>
        <v>2023</v>
      </c>
      <c r="F126" s="0" t="str">
        <f aca="false">IFERROR(INDEX(Itens!$B$2:$B$100,MATCH(C126,Itens!$A$2:$A$100,0)),"")</f>
        <v>IV</v>
      </c>
      <c r="G126" s="13" t="n">
        <v>2</v>
      </c>
      <c r="H126" s="13" t="n">
        <v>0</v>
      </c>
    </row>
    <row r="127" customFormat="false" ht="15" hidden="false" customHeight="false" outlineLevel="0" collapsed="false">
      <c r="A127" s="13" t="n">
        <v>9</v>
      </c>
      <c r="B127" s="0" t="str">
        <f aca="false">IFERROR(INDEX(Visitas!$B$2:$B$401,MATCH(A127,Visitas!$A$2:$A$401,0)),"")</f>
        <v>UBS Vila Gallo</v>
      </c>
      <c r="C127" s="13" t="s">
        <v>113</v>
      </c>
      <c r="D127" s="0" t="str">
        <f aca="false">IFERROR(INDEX(Itens!$C$2:$C$100,MATCH(C127,Itens!$A$2:$A$100,0)),"")</f>
        <v>Satisfação dos usuários</v>
      </c>
      <c r="E127" s="0" t="str">
        <f aca="false">IFERROR(INDEX(Visitas!$C$2:$C$401,MATCH(A127,Visitas!$A$2:$A$401,0)),"")</f>
        <v>2023</v>
      </c>
      <c r="F127" s="0" t="str">
        <f aca="false">IFERROR(INDEX(Itens!$B$2:$B$100,MATCH(C127,Itens!$A$2:$A$100,0)),"")</f>
        <v>IV</v>
      </c>
      <c r="G127" s="13" t="n">
        <v>2</v>
      </c>
      <c r="H127" s="13" t="n">
        <v>0</v>
      </c>
    </row>
    <row r="128" customFormat="false" ht="15" hidden="false" customHeight="false" outlineLevel="0" collapsed="false">
      <c r="A128" s="13" t="n">
        <v>10</v>
      </c>
      <c r="B128" s="0" t="str">
        <f aca="false">IFERROR(INDEX(Visitas!$B$2:$B$401,MATCH(A128,Visitas!$A$2:$A$401,0)),"")</f>
        <v>ESF Alvorada</v>
      </c>
      <c r="C128" s="13" t="s">
        <v>65</v>
      </c>
      <c r="D128" s="0" t="str">
        <f aca="false">IFERROR(INDEX(Itens!$C$2:$C$100,MATCH(C128,Itens!$A$2:$A$100,0)),"")</f>
        <v>Infraestrutura civil</v>
      </c>
      <c r="E128" s="0" t="str">
        <f aca="false">IFERROR(INDEX(Visitas!$C$2:$C$401,MATCH(A128,Visitas!$A$2:$A$401,0)),"")</f>
        <v>2023</v>
      </c>
      <c r="F128" s="0" t="str">
        <f aca="false">IFERROR(INDEX(Itens!$B$2:$B$100,MATCH(C128,Itens!$A$2:$A$100,0)),"")</f>
        <v>I</v>
      </c>
      <c r="G128" s="13"/>
      <c r="H128" s="13" t="n">
        <v>0</v>
      </c>
    </row>
    <row r="129" customFormat="false" ht="15" hidden="false" customHeight="false" outlineLevel="0" collapsed="false">
      <c r="A129" s="13" t="n">
        <v>10</v>
      </c>
      <c r="B129" s="0" t="str">
        <f aca="false">IFERROR(INDEX(Visitas!$B$2:$B$401,MATCH(A129,Visitas!$A$2:$A$401,0)),"")</f>
        <v>ESF Alvorada</v>
      </c>
      <c r="C129" s="13" t="s">
        <v>70</v>
      </c>
      <c r="D129" s="0" t="str">
        <f aca="false">IFERROR(INDEX(Itens!$C$2:$C$100,MATCH(C129,Itens!$A$2:$A$100,0)),"")</f>
        <v>Infraestrutura elétrica</v>
      </c>
      <c r="E129" s="0" t="str">
        <f aca="false">IFERROR(INDEX(Visitas!$C$2:$C$401,MATCH(A129,Visitas!$A$2:$A$401,0)),"")</f>
        <v>2023</v>
      </c>
      <c r="F129" s="0" t="str">
        <f aca="false">IFERROR(INDEX(Itens!$B$2:$B$100,MATCH(C129,Itens!$A$2:$A$100,0)),"")</f>
        <v>I</v>
      </c>
      <c r="G129" s="13"/>
      <c r="H129" s="13" t="n">
        <v>0</v>
      </c>
    </row>
    <row r="130" customFormat="false" ht="15" hidden="false" customHeight="false" outlineLevel="0" collapsed="false">
      <c r="A130" s="13" t="n">
        <v>10</v>
      </c>
      <c r="B130" s="0" t="str">
        <f aca="false">IFERROR(INDEX(Visitas!$B$2:$B$401,MATCH(A130,Visitas!$A$2:$A$401,0)),"")</f>
        <v>ESF Alvorada</v>
      </c>
      <c r="C130" s="13" t="s">
        <v>73</v>
      </c>
      <c r="D130" s="0" t="str">
        <f aca="false">IFERROR(INDEX(Itens!$C$2:$C$100,MATCH(C130,Itens!$A$2:$A$100,0)),"")</f>
        <v>Infraestrutura hidráulica</v>
      </c>
      <c r="E130" s="0" t="str">
        <f aca="false">IFERROR(INDEX(Visitas!$C$2:$C$401,MATCH(A130,Visitas!$A$2:$A$401,0)),"")</f>
        <v>2023</v>
      </c>
      <c r="F130" s="0" t="str">
        <f aca="false">IFERROR(INDEX(Itens!$B$2:$B$100,MATCH(C130,Itens!$A$2:$A$100,0)),"")</f>
        <v>I</v>
      </c>
      <c r="G130" s="13" t="n">
        <v>1</v>
      </c>
      <c r="H130" s="13" t="n">
        <v>0</v>
      </c>
    </row>
    <row r="131" customFormat="false" ht="15" hidden="false" customHeight="false" outlineLevel="0" collapsed="false">
      <c r="A131" s="13" t="n">
        <v>10</v>
      </c>
      <c r="B131" s="0" t="str">
        <f aca="false">IFERROR(INDEX(Visitas!$B$2:$B$401,MATCH(A131,Visitas!$A$2:$A$401,0)),"")</f>
        <v>ESF Alvorada</v>
      </c>
      <c r="C131" s="13" t="s">
        <v>76</v>
      </c>
      <c r="D131" s="0" t="str">
        <f aca="false">IFERROR(INDEX(Itens!$C$2:$C$100,MATCH(C131,Itens!$A$2:$A$100,0)),"")</f>
        <v>Infraestrutura de comunicação</v>
      </c>
      <c r="E131" s="0" t="str">
        <f aca="false">IFERROR(INDEX(Visitas!$C$2:$C$401,MATCH(A131,Visitas!$A$2:$A$401,0)),"")</f>
        <v>2023</v>
      </c>
      <c r="F131" s="0" t="str">
        <f aca="false">IFERROR(INDEX(Itens!$B$2:$B$100,MATCH(C131,Itens!$A$2:$A$100,0)),"")</f>
        <v>I</v>
      </c>
      <c r="G131" s="13"/>
      <c r="H131" s="13" t="n">
        <v>0</v>
      </c>
    </row>
    <row r="132" customFormat="false" ht="15" hidden="false" customHeight="false" outlineLevel="0" collapsed="false">
      <c r="A132" s="13" t="n">
        <v>10</v>
      </c>
      <c r="B132" s="0" t="str">
        <f aca="false">IFERROR(INDEX(Visitas!$B$2:$B$401,MATCH(A132,Visitas!$A$2:$A$401,0)),"")</f>
        <v>ESF Alvorada</v>
      </c>
      <c r="C132" s="13" t="s">
        <v>79</v>
      </c>
      <c r="D132" s="0" t="str">
        <f aca="false">IFERROR(INDEX(Itens!$C$2:$C$100,MATCH(C132,Itens!$A$2:$A$100,0)),"")</f>
        <v>Equipamentos</v>
      </c>
      <c r="E132" s="0" t="str">
        <f aca="false">IFERROR(INDEX(Visitas!$C$2:$C$401,MATCH(A132,Visitas!$A$2:$A$401,0)),"")</f>
        <v>2023</v>
      </c>
      <c r="F132" s="0" t="str">
        <f aca="false">IFERROR(INDEX(Itens!$B$2:$B$100,MATCH(C132,Itens!$A$2:$A$100,0)),"")</f>
        <v>I</v>
      </c>
      <c r="G132" s="13" t="n">
        <v>1</v>
      </c>
      <c r="H132" s="13" t="n">
        <v>0</v>
      </c>
    </row>
    <row r="133" customFormat="false" ht="15" hidden="false" customHeight="false" outlineLevel="0" collapsed="false">
      <c r="A133" s="13" t="n">
        <v>10</v>
      </c>
      <c r="B133" s="0" t="str">
        <f aca="false">IFERROR(INDEX(Visitas!$B$2:$B$401,MATCH(A133,Visitas!$A$2:$A$401,0)),"")</f>
        <v>ESF Alvorada</v>
      </c>
      <c r="C133" s="13" t="s">
        <v>82</v>
      </c>
      <c r="D133" s="0" t="str">
        <f aca="false">IFERROR(INDEX(Itens!$C$2:$C$100,MATCH(C133,Itens!$A$2:$A$100,0)),"")</f>
        <v>Materiais, medicamentos e insumos</v>
      </c>
      <c r="E133" s="0" t="str">
        <f aca="false">IFERROR(INDEX(Visitas!$C$2:$C$401,MATCH(A133,Visitas!$A$2:$A$401,0)),"")</f>
        <v>2023</v>
      </c>
      <c r="F133" s="0" t="str">
        <f aca="false">IFERROR(INDEX(Itens!$B$2:$B$100,MATCH(C133,Itens!$A$2:$A$100,0)),"")</f>
        <v>I</v>
      </c>
      <c r="G133" s="13"/>
      <c r="H133" s="13" t="n">
        <v>0</v>
      </c>
    </row>
    <row r="134" customFormat="false" ht="15" hidden="false" customHeight="false" outlineLevel="0" collapsed="false">
      <c r="A134" s="13" t="n">
        <v>10</v>
      </c>
      <c r="B134" s="0" t="str">
        <f aca="false">IFERROR(INDEX(Visitas!$B$2:$B$401,MATCH(A134,Visitas!$A$2:$A$401,0)),"")</f>
        <v>ESF Alvorada</v>
      </c>
      <c r="C134" s="13" t="s">
        <v>85</v>
      </c>
      <c r="D134" s="0" t="str">
        <f aca="false">IFERROR(INDEX(Itens!$C$2:$C$100,MATCH(C134,Itens!$A$2:$A$100,0)),"")</f>
        <v>Conforto, limpeza e organização</v>
      </c>
      <c r="E134" s="0" t="str">
        <f aca="false">IFERROR(INDEX(Visitas!$C$2:$C$401,MATCH(A134,Visitas!$A$2:$A$401,0)),"")</f>
        <v>2023</v>
      </c>
      <c r="F134" s="0" t="str">
        <f aca="false">IFERROR(INDEX(Itens!$B$2:$B$100,MATCH(C134,Itens!$A$2:$A$100,0)),"")</f>
        <v>I</v>
      </c>
      <c r="G134" s="13" t="n">
        <v>2</v>
      </c>
      <c r="H134" s="13" t="n">
        <v>0</v>
      </c>
    </row>
    <row r="135" customFormat="false" ht="15" hidden="false" customHeight="false" outlineLevel="0" collapsed="false">
      <c r="A135" s="13" t="n">
        <v>10</v>
      </c>
      <c r="B135" s="0" t="str">
        <f aca="false">IFERROR(INDEX(Visitas!$B$2:$B$401,MATCH(A135,Visitas!$A$2:$A$401,0)),"")</f>
        <v>ESF Alvorada</v>
      </c>
      <c r="C135" s="13" t="s">
        <v>88</v>
      </c>
      <c r="D135" s="0" t="str">
        <f aca="false">IFERROR(INDEX(Itens!$C$2:$C$100,MATCH(C135,Itens!$A$2:$A$100,0)),"")</f>
        <v>Utilização de indicadores de gestão</v>
      </c>
      <c r="E135" s="0" t="str">
        <f aca="false">IFERROR(INDEX(Visitas!$C$2:$C$401,MATCH(A135,Visitas!$A$2:$A$401,0)),"")</f>
        <v>2023</v>
      </c>
      <c r="F135" s="0" t="str">
        <f aca="false">IFERROR(INDEX(Itens!$B$2:$B$100,MATCH(C135,Itens!$A$2:$A$100,0)),"")</f>
        <v>II</v>
      </c>
      <c r="G135" s="13"/>
      <c r="H135" s="13" t="n">
        <v>0</v>
      </c>
    </row>
    <row r="136" customFormat="false" ht="15" hidden="false" customHeight="false" outlineLevel="0" collapsed="false">
      <c r="A136" s="13" t="n">
        <v>10</v>
      </c>
      <c r="B136" s="0" t="str">
        <f aca="false">IFERROR(INDEX(Visitas!$B$2:$B$401,MATCH(A136,Visitas!$A$2:$A$401,0)),"")</f>
        <v>ESF Alvorada</v>
      </c>
      <c r="C136" s="13" t="s">
        <v>92</v>
      </c>
      <c r="D136" s="0" t="str">
        <f aca="false">IFERROR(INDEX(Itens!$C$2:$C$100,MATCH(C136,Itens!$A$2:$A$100,0)),"")</f>
        <v>Dimensionamento de equipe</v>
      </c>
      <c r="E136" s="0" t="str">
        <f aca="false">IFERROR(INDEX(Visitas!$C$2:$C$401,MATCH(A136,Visitas!$A$2:$A$401,0)),"")</f>
        <v>2023</v>
      </c>
      <c r="F136" s="0" t="str">
        <f aca="false">IFERROR(INDEX(Itens!$B$2:$B$100,MATCH(C136,Itens!$A$2:$A$100,0)),"")</f>
        <v>II</v>
      </c>
      <c r="G136" s="13" t="n">
        <v>1</v>
      </c>
      <c r="H136" s="13" t="n">
        <v>0</v>
      </c>
    </row>
    <row r="137" customFormat="false" ht="15" hidden="false" customHeight="false" outlineLevel="0" collapsed="false">
      <c r="A137" s="13" t="n">
        <v>10</v>
      </c>
      <c r="B137" s="0" t="str">
        <f aca="false">IFERROR(INDEX(Visitas!$B$2:$B$401,MATCH(A137,Visitas!$A$2:$A$401,0)),"")</f>
        <v>ESF Alvorada</v>
      </c>
      <c r="C137" s="13" t="s">
        <v>96</v>
      </c>
      <c r="D137" s="0" t="str">
        <f aca="false">IFERROR(INDEX(Itens!$C$2:$C$100,MATCH(C137,Itens!$A$2:$A$100,0)),"")</f>
        <v>Execução do cronograma de capacitação da equipe de trabalho</v>
      </c>
      <c r="E137" s="0" t="str">
        <f aca="false">IFERROR(INDEX(Visitas!$C$2:$C$401,MATCH(A137,Visitas!$A$2:$A$401,0)),"")</f>
        <v>2023</v>
      </c>
      <c r="F137" s="0" t="str">
        <f aca="false">IFERROR(INDEX(Itens!$B$2:$B$100,MATCH(C137,Itens!$A$2:$A$100,0)),"")</f>
        <v>II</v>
      </c>
      <c r="G137" s="13"/>
      <c r="H137" s="13" t="n">
        <v>0</v>
      </c>
    </row>
    <row r="138" customFormat="false" ht="15" hidden="false" customHeight="false" outlineLevel="0" collapsed="false">
      <c r="A138" s="13" t="n">
        <v>10</v>
      </c>
      <c r="B138" s="0" t="str">
        <f aca="false">IFERROR(INDEX(Visitas!$B$2:$B$401,MATCH(A138,Visitas!$A$2:$A$401,0)),"")</f>
        <v>ESF Alvorada</v>
      </c>
      <c r="C138" s="13" t="s">
        <v>100</v>
      </c>
      <c r="D138" s="0" t="str">
        <f aca="false">IFERROR(INDEX(Itens!$C$2:$C$100,MATCH(C138,Itens!$A$2:$A$100,0)),"")</f>
        <v>Disponibilidade de agendamento de consultas, exames e procedimentos</v>
      </c>
      <c r="E138" s="0" t="str">
        <f aca="false">IFERROR(INDEX(Visitas!$C$2:$C$401,MATCH(A138,Visitas!$A$2:$A$401,0)),"")</f>
        <v>2023</v>
      </c>
      <c r="F138" s="0" t="str">
        <f aca="false">IFERROR(INDEX(Itens!$B$2:$B$100,MATCH(C138,Itens!$A$2:$A$100,0)),"")</f>
        <v>II</v>
      </c>
      <c r="G138" s="13"/>
      <c r="H138" s="13" t="n">
        <v>0</v>
      </c>
    </row>
    <row r="139" customFormat="false" ht="15" hidden="false" customHeight="false" outlineLevel="0" collapsed="false">
      <c r="A139" s="13" t="n">
        <v>10</v>
      </c>
      <c r="B139" s="0" t="str">
        <f aca="false">IFERROR(INDEX(Visitas!$B$2:$B$401,MATCH(A139,Visitas!$A$2:$A$401,0)),"")</f>
        <v>ESF Alvorada</v>
      </c>
      <c r="C139" s="13" t="s">
        <v>104</v>
      </c>
      <c r="D139" s="0" t="str">
        <f aca="false">IFERROR(INDEX(Itens!$C$2:$C$100,MATCH(C139,Itens!$A$2:$A$100,0)),"")</f>
        <v>Atendimento aos indicadores do PMS</v>
      </c>
      <c r="E139" s="0" t="str">
        <f aca="false">IFERROR(INDEX(Visitas!$C$2:$C$401,MATCH(A139,Visitas!$A$2:$A$401,0)),"")</f>
        <v>2023</v>
      </c>
      <c r="F139" s="0" t="str">
        <f aca="false">IFERROR(INDEX(Itens!$B$2:$B$100,MATCH(C139,Itens!$A$2:$A$100,0)),"")</f>
        <v>III</v>
      </c>
      <c r="G139" s="13"/>
      <c r="H139" s="13" t="n">
        <v>0</v>
      </c>
    </row>
    <row r="140" customFormat="false" ht="15" hidden="false" customHeight="false" outlineLevel="0" collapsed="false">
      <c r="A140" s="13" t="n">
        <v>10</v>
      </c>
      <c r="B140" s="0" t="str">
        <f aca="false">IFERROR(INDEX(Visitas!$B$2:$B$401,MATCH(A140,Visitas!$A$2:$A$401,0)),"")</f>
        <v>ESF Alvorada</v>
      </c>
      <c r="C140" s="13" t="s">
        <v>109</v>
      </c>
      <c r="D140" s="0" t="str">
        <f aca="false">IFERROR(INDEX(Itens!$C$2:$C$100,MATCH(C140,Itens!$A$2:$A$100,0)),"")</f>
        <v>Registro de reclamações na Ouvidoria do COMSAUDE</v>
      </c>
      <c r="E140" s="0" t="str">
        <f aca="false">IFERROR(INDEX(Visitas!$C$2:$C$401,MATCH(A140,Visitas!$A$2:$A$401,0)),"")</f>
        <v>2023</v>
      </c>
      <c r="F140" s="0" t="str">
        <f aca="false">IFERROR(INDEX(Itens!$B$2:$B$100,MATCH(C140,Itens!$A$2:$A$100,0)),"")</f>
        <v>IV</v>
      </c>
      <c r="G140" s="13"/>
      <c r="H140" s="13" t="n">
        <v>0</v>
      </c>
    </row>
    <row r="141" customFormat="false" ht="15" hidden="false" customHeight="false" outlineLevel="0" collapsed="false">
      <c r="A141" s="13" t="n">
        <v>10</v>
      </c>
      <c r="B141" s="0" t="str">
        <f aca="false">IFERROR(INDEX(Visitas!$B$2:$B$401,MATCH(A141,Visitas!$A$2:$A$401,0)),"")</f>
        <v>ESF Alvorada</v>
      </c>
      <c r="C141" s="13" t="s">
        <v>113</v>
      </c>
      <c r="D141" s="0" t="str">
        <f aca="false">IFERROR(INDEX(Itens!$C$2:$C$100,MATCH(C141,Itens!$A$2:$A$100,0)),"")</f>
        <v>Satisfação dos usuários</v>
      </c>
      <c r="E141" s="0" t="str">
        <f aca="false">IFERROR(INDEX(Visitas!$C$2:$C$401,MATCH(A141,Visitas!$A$2:$A$401,0)),"")</f>
        <v>2023</v>
      </c>
      <c r="F141" s="0" t="str">
        <f aca="false">IFERROR(INDEX(Itens!$B$2:$B$100,MATCH(C141,Itens!$A$2:$A$100,0)),"")</f>
        <v>IV</v>
      </c>
      <c r="G141" s="13"/>
      <c r="H141" s="13" t="n">
        <v>0</v>
      </c>
    </row>
    <row r="142" customFormat="false" ht="15" hidden="false" customHeight="false" outlineLevel="0" collapsed="false">
      <c r="A142" s="13" t="n">
        <v>11</v>
      </c>
      <c r="B142" s="0" t="str">
        <f aca="false">IFERROR(INDEX(Visitas!$B$2:$B$401,MATCH(A142,Visitas!$A$2:$A$401,0)),"")</f>
        <v>ESF Mário Covas</v>
      </c>
      <c r="C142" s="13" t="s">
        <v>65</v>
      </c>
      <c r="D142" s="0" t="str">
        <f aca="false">IFERROR(INDEX(Itens!$C$2:$C$100,MATCH(C142,Itens!$A$2:$A$100,0)),"")</f>
        <v>Infraestrutura civil</v>
      </c>
      <c r="E142" s="0" t="str">
        <f aca="false">IFERROR(INDEX(Visitas!$C$2:$C$401,MATCH(A142,Visitas!$A$2:$A$401,0)),"")</f>
        <v>2023</v>
      </c>
      <c r="F142" s="0" t="str">
        <f aca="false">IFERROR(INDEX(Itens!$B$2:$B$100,MATCH(C142,Itens!$A$2:$A$100,0)),"")</f>
        <v>I</v>
      </c>
      <c r="G142" s="13" t="n">
        <v>1</v>
      </c>
      <c r="H142" s="13" t="n">
        <v>0</v>
      </c>
    </row>
    <row r="143" customFormat="false" ht="15" hidden="false" customHeight="false" outlineLevel="0" collapsed="false">
      <c r="A143" s="13" t="n">
        <v>11</v>
      </c>
      <c r="B143" s="0" t="str">
        <f aca="false">IFERROR(INDEX(Visitas!$B$2:$B$401,MATCH(A143,Visitas!$A$2:$A$401,0)),"")</f>
        <v>ESF Mário Covas</v>
      </c>
      <c r="C143" s="13" t="s">
        <v>70</v>
      </c>
      <c r="D143" s="0" t="str">
        <f aca="false">IFERROR(INDEX(Itens!$C$2:$C$100,MATCH(C143,Itens!$A$2:$A$100,0)),"")</f>
        <v>Infraestrutura elétrica</v>
      </c>
      <c r="E143" s="0" t="str">
        <f aca="false">IFERROR(INDEX(Visitas!$C$2:$C$401,MATCH(A143,Visitas!$A$2:$A$401,0)),"")</f>
        <v>2023</v>
      </c>
      <c r="F143" s="0" t="str">
        <f aca="false">IFERROR(INDEX(Itens!$B$2:$B$100,MATCH(C143,Itens!$A$2:$A$100,0)),"")</f>
        <v>I</v>
      </c>
      <c r="G143" s="13" t="n">
        <v>2</v>
      </c>
      <c r="H143" s="13" t="n">
        <v>0</v>
      </c>
    </row>
    <row r="144" customFormat="false" ht="15" hidden="false" customHeight="false" outlineLevel="0" collapsed="false">
      <c r="A144" s="13" t="n">
        <v>11</v>
      </c>
      <c r="B144" s="0" t="str">
        <f aca="false">IFERROR(INDEX(Visitas!$B$2:$B$401,MATCH(A144,Visitas!$A$2:$A$401,0)),"")</f>
        <v>ESF Mário Covas</v>
      </c>
      <c r="C144" s="13" t="s">
        <v>73</v>
      </c>
      <c r="D144" s="0" t="str">
        <f aca="false">IFERROR(INDEX(Itens!$C$2:$C$100,MATCH(C144,Itens!$A$2:$A$100,0)),"")</f>
        <v>Infraestrutura hidráulica</v>
      </c>
      <c r="E144" s="0" t="str">
        <f aca="false">IFERROR(INDEX(Visitas!$C$2:$C$401,MATCH(A144,Visitas!$A$2:$A$401,0)),"")</f>
        <v>2023</v>
      </c>
      <c r="F144" s="0" t="str">
        <f aca="false">IFERROR(INDEX(Itens!$B$2:$B$100,MATCH(C144,Itens!$A$2:$A$100,0)),"")</f>
        <v>I</v>
      </c>
      <c r="G144" s="13" t="n">
        <v>1</v>
      </c>
      <c r="H144" s="13" t="n">
        <v>0</v>
      </c>
    </row>
    <row r="145" customFormat="false" ht="15" hidden="false" customHeight="false" outlineLevel="0" collapsed="false">
      <c r="A145" s="13" t="n">
        <v>11</v>
      </c>
      <c r="B145" s="0" t="str">
        <f aca="false">IFERROR(INDEX(Visitas!$B$2:$B$401,MATCH(A145,Visitas!$A$2:$A$401,0)),"")</f>
        <v>ESF Mário Covas</v>
      </c>
      <c r="C145" s="13" t="s">
        <v>76</v>
      </c>
      <c r="D145" s="0" t="str">
        <f aca="false">IFERROR(INDEX(Itens!$C$2:$C$100,MATCH(C145,Itens!$A$2:$A$100,0)),"")</f>
        <v>Infraestrutura de comunicação</v>
      </c>
      <c r="E145" s="0" t="str">
        <f aca="false">IFERROR(INDEX(Visitas!$C$2:$C$401,MATCH(A145,Visitas!$A$2:$A$401,0)),"")</f>
        <v>2023</v>
      </c>
      <c r="F145" s="0" t="str">
        <f aca="false">IFERROR(INDEX(Itens!$B$2:$B$100,MATCH(C145,Itens!$A$2:$A$100,0)),"")</f>
        <v>I</v>
      </c>
      <c r="G145" s="13" t="n">
        <v>1</v>
      </c>
      <c r="H145" s="13" t="n">
        <v>0</v>
      </c>
    </row>
    <row r="146" customFormat="false" ht="15" hidden="false" customHeight="false" outlineLevel="0" collapsed="false">
      <c r="A146" s="13" t="n">
        <v>11</v>
      </c>
      <c r="B146" s="0" t="str">
        <f aca="false">IFERROR(INDEX(Visitas!$B$2:$B$401,MATCH(A146,Visitas!$A$2:$A$401,0)),"")</f>
        <v>ESF Mário Covas</v>
      </c>
      <c r="C146" s="13" t="s">
        <v>79</v>
      </c>
      <c r="D146" s="0" t="str">
        <f aca="false">IFERROR(INDEX(Itens!$C$2:$C$100,MATCH(C146,Itens!$A$2:$A$100,0)),"")</f>
        <v>Equipamentos</v>
      </c>
      <c r="E146" s="0" t="str">
        <f aca="false">IFERROR(INDEX(Visitas!$C$2:$C$401,MATCH(A146,Visitas!$A$2:$A$401,0)),"")</f>
        <v>2023</v>
      </c>
      <c r="F146" s="0" t="str">
        <f aca="false">IFERROR(INDEX(Itens!$B$2:$B$100,MATCH(C146,Itens!$A$2:$A$100,0)),"")</f>
        <v>I</v>
      </c>
      <c r="G146" s="13" t="n">
        <v>1</v>
      </c>
      <c r="H146" s="13" t="n">
        <v>0</v>
      </c>
    </row>
    <row r="147" customFormat="false" ht="15" hidden="false" customHeight="false" outlineLevel="0" collapsed="false">
      <c r="A147" s="13" t="n">
        <v>11</v>
      </c>
      <c r="B147" s="0" t="str">
        <f aca="false">IFERROR(INDEX(Visitas!$B$2:$B$401,MATCH(A147,Visitas!$A$2:$A$401,0)),"")</f>
        <v>ESF Mário Covas</v>
      </c>
      <c r="C147" s="13" t="s">
        <v>82</v>
      </c>
      <c r="D147" s="0" t="str">
        <f aca="false">IFERROR(INDEX(Itens!$C$2:$C$100,MATCH(C147,Itens!$A$2:$A$100,0)),"")</f>
        <v>Materiais, medicamentos e insumos</v>
      </c>
      <c r="E147" s="0" t="str">
        <f aca="false">IFERROR(INDEX(Visitas!$C$2:$C$401,MATCH(A147,Visitas!$A$2:$A$401,0)),"")</f>
        <v>2023</v>
      </c>
      <c r="F147" s="0" t="str">
        <f aca="false">IFERROR(INDEX(Itens!$B$2:$B$100,MATCH(C147,Itens!$A$2:$A$100,0)),"")</f>
        <v>I</v>
      </c>
      <c r="G147" s="13" t="n">
        <v>2</v>
      </c>
      <c r="H147" s="13" t="n">
        <v>0</v>
      </c>
    </row>
    <row r="148" customFormat="false" ht="15" hidden="false" customHeight="false" outlineLevel="0" collapsed="false">
      <c r="A148" s="13" t="n">
        <v>11</v>
      </c>
      <c r="B148" s="0" t="str">
        <f aca="false">IFERROR(INDEX(Visitas!$B$2:$B$401,MATCH(A148,Visitas!$A$2:$A$401,0)),"")</f>
        <v>ESF Mário Covas</v>
      </c>
      <c r="C148" s="13" t="s">
        <v>85</v>
      </c>
      <c r="D148" s="0" t="str">
        <f aca="false">IFERROR(INDEX(Itens!$C$2:$C$100,MATCH(C148,Itens!$A$2:$A$100,0)),"")</f>
        <v>Conforto, limpeza e organização</v>
      </c>
      <c r="E148" s="0" t="str">
        <f aca="false">IFERROR(INDEX(Visitas!$C$2:$C$401,MATCH(A148,Visitas!$A$2:$A$401,0)),"")</f>
        <v>2023</v>
      </c>
      <c r="F148" s="0" t="str">
        <f aca="false">IFERROR(INDEX(Itens!$B$2:$B$100,MATCH(C148,Itens!$A$2:$A$100,0)),"")</f>
        <v>I</v>
      </c>
      <c r="G148" s="13" t="n">
        <v>1</v>
      </c>
      <c r="H148" s="13" t="n">
        <v>0</v>
      </c>
    </row>
    <row r="149" customFormat="false" ht="15" hidden="false" customHeight="false" outlineLevel="0" collapsed="false">
      <c r="A149" s="13" t="n">
        <v>11</v>
      </c>
      <c r="B149" s="0" t="str">
        <f aca="false">IFERROR(INDEX(Visitas!$B$2:$B$401,MATCH(A149,Visitas!$A$2:$A$401,0)),"")</f>
        <v>ESF Mário Covas</v>
      </c>
      <c r="C149" s="13" t="s">
        <v>88</v>
      </c>
      <c r="D149" s="0" t="str">
        <f aca="false">IFERROR(INDEX(Itens!$C$2:$C$100,MATCH(C149,Itens!$A$2:$A$100,0)),"")</f>
        <v>Utilização de indicadores de gestão</v>
      </c>
      <c r="E149" s="0" t="str">
        <f aca="false">IFERROR(INDEX(Visitas!$C$2:$C$401,MATCH(A149,Visitas!$A$2:$A$401,0)),"")</f>
        <v>2023</v>
      </c>
      <c r="F149" s="0" t="str">
        <f aca="false">IFERROR(INDEX(Itens!$B$2:$B$100,MATCH(C149,Itens!$A$2:$A$100,0)),"")</f>
        <v>II</v>
      </c>
      <c r="G149" s="13" t="n">
        <v>0</v>
      </c>
      <c r="H149" s="13" t="n">
        <v>0</v>
      </c>
    </row>
    <row r="150" customFormat="false" ht="15" hidden="false" customHeight="false" outlineLevel="0" collapsed="false">
      <c r="A150" s="13" t="n">
        <v>11</v>
      </c>
      <c r="B150" s="0" t="str">
        <f aca="false">IFERROR(INDEX(Visitas!$B$2:$B$401,MATCH(A150,Visitas!$A$2:$A$401,0)),"")</f>
        <v>ESF Mário Covas</v>
      </c>
      <c r="C150" s="13" t="s">
        <v>92</v>
      </c>
      <c r="D150" s="0" t="str">
        <f aca="false">IFERROR(INDEX(Itens!$C$2:$C$100,MATCH(C150,Itens!$A$2:$A$100,0)),"")</f>
        <v>Dimensionamento de equipe</v>
      </c>
      <c r="E150" s="0" t="str">
        <f aca="false">IFERROR(INDEX(Visitas!$C$2:$C$401,MATCH(A150,Visitas!$A$2:$A$401,0)),"")</f>
        <v>2023</v>
      </c>
      <c r="F150" s="0" t="str">
        <f aca="false">IFERROR(INDEX(Itens!$B$2:$B$100,MATCH(C150,Itens!$A$2:$A$100,0)),"")</f>
        <v>II</v>
      </c>
      <c r="G150" s="13" t="n">
        <v>1</v>
      </c>
      <c r="H150" s="13" t="n">
        <v>0</v>
      </c>
    </row>
    <row r="151" customFormat="false" ht="15" hidden="false" customHeight="false" outlineLevel="0" collapsed="false">
      <c r="A151" s="13" t="n">
        <v>11</v>
      </c>
      <c r="B151" s="0" t="str">
        <f aca="false">IFERROR(INDEX(Visitas!$B$2:$B$401,MATCH(A151,Visitas!$A$2:$A$401,0)),"")</f>
        <v>ESF Mário Covas</v>
      </c>
      <c r="C151" s="13" t="s">
        <v>96</v>
      </c>
      <c r="D151" s="0" t="str">
        <f aca="false">IFERROR(INDEX(Itens!$C$2:$C$100,MATCH(C151,Itens!$A$2:$A$100,0)),"")</f>
        <v>Execução do cronograma de capacitação da equipe de trabalho</v>
      </c>
      <c r="E151" s="0" t="str">
        <f aca="false">IFERROR(INDEX(Visitas!$C$2:$C$401,MATCH(A151,Visitas!$A$2:$A$401,0)),"")</f>
        <v>2023</v>
      </c>
      <c r="F151" s="0" t="str">
        <f aca="false">IFERROR(INDEX(Itens!$B$2:$B$100,MATCH(C151,Itens!$A$2:$A$100,0)),"")</f>
        <v>II</v>
      </c>
      <c r="G151" s="13" t="n">
        <v>0</v>
      </c>
      <c r="H151" s="13" t="n">
        <v>0</v>
      </c>
    </row>
    <row r="152" customFormat="false" ht="15" hidden="false" customHeight="false" outlineLevel="0" collapsed="false">
      <c r="A152" s="13" t="n">
        <v>11</v>
      </c>
      <c r="B152" s="0" t="str">
        <f aca="false">IFERROR(INDEX(Visitas!$B$2:$B$401,MATCH(A152,Visitas!$A$2:$A$401,0)),"")</f>
        <v>ESF Mário Covas</v>
      </c>
      <c r="C152" s="13" t="s">
        <v>100</v>
      </c>
      <c r="D152" s="0" t="str">
        <f aca="false">IFERROR(INDEX(Itens!$C$2:$C$100,MATCH(C152,Itens!$A$2:$A$100,0)),"")</f>
        <v>Disponibilidade de agendamento de consultas, exames e procedimentos</v>
      </c>
      <c r="E152" s="0" t="str">
        <f aca="false">IFERROR(INDEX(Visitas!$C$2:$C$401,MATCH(A152,Visitas!$A$2:$A$401,0)),"")</f>
        <v>2023</v>
      </c>
      <c r="F152" s="0" t="str">
        <f aca="false">IFERROR(INDEX(Itens!$B$2:$B$100,MATCH(C152,Itens!$A$2:$A$100,0)),"")</f>
        <v>II</v>
      </c>
      <c r="G152" s="13" t="n">
        <v>2</v>
      </c>
      <c r="H152" s="13" t="n">
        <v>0</v>
      </c>
    </row>
    <row r="153" customFormat="false" ht="15" hidden="false" customHeight="false" outlineLevel="0" collapsed="false">
      <c r="A153" s="13" t="n">
        <v>11</v>
      </c>
      <c r="B153" s="0" t="str">
        <f aca="false">IFERROR(INDEX(Visitas!$B$2:$B$401,MATCH(A153,Visitas!$A$2:$A$401,0)),"")</f>
        <v>ESF Mário Covas</v>
      </c>
      <c r="C153" s="13" t="s">
        <v>104</v>
      </c>
      <c r="D153" s="0" t="str">
        <f aca="false">IFERROR(INDEX(Itens!$C$2:$C$100,MATCH(C153,Itens!$A$2:$A$100,0)),"")</f>
        <v>Atendimento aos indicadores do PMS</v>
      </c>
      <c r="E153" s="0" t="str">
        <f aca="false">IFERROR(INDEX(Visitas!$C$2:$C$401,MATCH(A153,Visitas!$A$2:$A$401,0)),"")</f>
        <v>2023</v>
      </c>
      <c r="F153" s="0" t="str">
        <f aca="false">IFERROR(INDEX(Itens!$B$2:$B$100,MATCH(C153,Itens!$A$2:$A$100,0)),"")</f>
        <v>III</v>
      </c>
      <c r="G153" s="13" t="n">
        <v>1</v>
      </c>
      <c r="H153" s="13" t="n">
        <v>0</v>
      </c>
    </row>
    <row r="154" customFormat="false" ht="15" hidden="false" customHeight="false" outlineLevel="0" collapsed="false">
      <c r="A154" s="13" t="n">
        <v>11</v>
      </c>
      <c r="B154" s="0" t="str">
        <f aca="false">IFERROR(INDEX(Visitas!$B$2:$B$401,MATCH(A154,Visitas!$A$2:$A$401,0)),"")</f>
        <v>ESF Mário Covas</v>
      </c>
      <c r="C154" s="13" t="s">
        <v>109</v>
      </c>
      <c r="D154" s="0" t="str">
        <f aca="false">IFERROR(INDEX(Itens!$C$2:$C$100,MATCH(C154,Itens!$A$2:$A$100,0)),"")</f>
        <v>Registro de reclamações na Ouvidoria do COMSAUDE</v>
      </c>
      <c r="E154" s="0" t="str">
        <f aca="false">IFERROR(INDEX(Visitas!$C$2:$C$401,MATCH(A154,Visitas!$A$2:$A$401,0)),"")</f>
        <v>2023</v>
      </c>
      <c r="F154" s="0" t="str">
        <f aca="false">IFERROR(INDEX(Itens!$B$2:$B$100,MATCH(C154,Itens!$A$2:$A$100,0)),"")</f>
        <v>IV</v>
      </c>
      <c r="G154" s="13" t="n">
        <v>2</v>
      </c>
      <c r="H154" s="13" t="n">
        <v>0</v>
      </c>
    </row>
    <row r="155" customFormat="false" ht="15" hidden="false" customHeight="false" outlineLevel="0" collapsed="false">
      <c r="A155" s="13" t="n">
        <v>11</v>
      </c>
      <c r="B155" s="0" t="str">
        <f aca="false">IFERROR(INDEX(Visitas!$B$2:$B$401,MATCH(A155,Visitas!$A$2:$A$401,0)),"")</f>
        <v>ESF Mário Covas</v>
      </c>
      <c r="C155" s="13" t="s">
        <v>113</v>
      </c>
      <c r="D155" s="0" t="str">
        <f aca="false">IFERROR(INDEX(Itens!$C$2:$C$100,MATCH(C155,Itens!$A$2:$A$100,0)),"")</f>
        <v>Satisfação dos usuários</v>
      </c>
      <c r="E155" s="0" t="str">
        <f aca="false">IFERROR(INDEX(Visitas!$C$2:$C$401,MATCH(A155,Visitas!$A$2:$A$401,0)),"")</f>
        <v>2023</v>
      </c>
      <c r="F155" s="0" t="str">
        <f aca="false">IFERROR(INDEX(Itens!$B$2:$B$100,MATCH(C155,Itens!$A$2:$A$100,0)),"")</f>
        <v>IV</v>
      </c>
      <c r="G155" s="13" t="n">
        <v>2</v>
      </c>
      <c r="H155" s="13" t="n">
        <v>0</v>
      </c>
    </row>
    <row r="156" customFormat="false" ht="15" hidden="false" customHeight="false" outlineLevel="0" collapsed="false">
      <c r="A156" s="13" t="n">
        <v>12</v>
      </c>
      <c r="B156" s="0" t="str">
        <f aca="false">IFERROR(INDEX(Visitas!$B$2:$B$401,MATCH(A156,Visitas!$A$2:$A$401,0)),"")</f>
        <v>ESF São José</v>
      </c>
      <c r="C156" s="13" t="s">
        <v>65</v>
      </c>
      <c r="D156" s="0" t="str">
        <f aca="false">IFERROR(INDEX(Itens!$C$2:$C$100,MATCH(C156,Itens!$A$2:$A$100,0)),"")</f>
        <v>Infraestrutura civil</v>
      </c>
      <c r="E156" s="0" t="str">
        <f aca="false">IFERROR(INDEX(Visitas!$C$2:$C$401,MATCH(A156,Visitas!$A$2:$A$401,0)),"")</f>
        <v>2023</v>
      </c>
      <c r="F156" s="0" t="str">
        <f aca="false">IFERROR(INDEX(Itens!$B$2:$B$100,MATCH(C156,Itens!$A$2:$A$100,0)),"")</f>
        <v>I</v>
      </c>
      <c r="G156" s="13" t="n">
        <v>2</v>
      </c>
      <c r="H156" s="13" t="n">
        <v>0</v>
      </c>
    </row>
    <row r="157" customFormat="false" ht="15" hidden="false" customHeight="false" outlineLevel="0" collapsed="false">
      <c r="A157" s="13" t="n">
        <v>12</v>
      </c>
      <c r="B157" s="0" t="str">
        <f aca="false">IFERROR(INDEX(Visitas!$B$2:$B$401,MATCH(A157,Visitas!$A$2:$A$401,0)),"")</f>
        <v>ESF São José</v>
      </c>
      <c r="C157" s="13" t="s">
        <v>70</v>
      </c>
      <c r="D157" s="0" t="str">
        <f aca="false">IFERROR(INDEX(Itens!$C$2:$C$100,MATCH(C157,Itens!$A$2:$A$100,0)),"")</f>
        <v>Infraestrutura elétrica</v>
      </c>
      <c r="E157" s="0" t="str">
        <f aca="false">IFERROR(INDEX(Visitas!$C$2:$C$401,MATCH(A157,Visitas!$A$2:$A$401,0)),"")</f>
        <v>2023</v>
      </c>
      <c r="F157" s="0" t="str">
        <f aca="false">IFERROR(INDEX(Itens!$B$2:$B$100,MATCH(C157,Itens!$A$2:$A$100,0)),"")</f>
        <v>I</v>
      </c>
      <c r="G157" s="13" t="n">
        <v>2</v>
      </c>
      <c r="H157" s="13" t="n">
        <v>0</v>
      </c>
    </row>
    <row r="158" customFormat="false" ht="15" hidden="false" customHeight="false" outlineLevel="0" collapsed="false">
      <c r="A158" s="13" t="n">
        <v>12</v>
      </c>
      <c r="B158" s="0" t="str">
        <f aca="false">IFERROR(INDEX(Visitas!$B$2:$B$401,MATCH(A158,Visitas!$A$2:$A$401,0)),"")</f>
        <v>ESF São José</v>
      </c>
      <c r="C158" s="13" t="s">
        <v>73</v>
      </c>
      <c r="D158" s="0" t="str">
        <f aca="false">IFERROR(INDEX(Itens!$C$2:$C$100,MATCH(C158,Itens!$A$2:$A$100,0)),"")</f>
        <v>Infraestrutura hidráulica</v>
      </c>
      <c r="E158" s="0" t="str">
        <f aca="false">IFERROR(INDEX(Visitas!$C$2:$C$401,MATCH(A158,Visitas!$A$2:$A$401,0)),"")</f>
        <v>2023</v>
      </c>
      <c r="F158" s="0" t="str">
        <f aca="false">IFERROR(INDEX(Itens!$B$2:$B$100,MATCH(C158,Itens!$A$2:$A$100,0)),"")</f>
        <v>I</v>
      </c>
      <c r="G158" s="13" t="n">
        <v>2</v>
      </c>
      <c r="H158" s="13" t="n">
        <v>0</v>
      </c>
    </row>
    <row r="159" customFormat="false" ht="15" hidden="false" customHeight="false" outlineLevel="0" collapsed="false">
      <c r="A159" s="13" t="n">
        <v>12</v>
      </c>
      <c r="B159" s="0" t="str">
        <f aca="false">IFERROR(INDEX(Visitas!$B$2:$B$401,MATCH(A159,Visitas!$A$2:$A$401,0)),"")</f>
        <v>ESF São José</v>
      </c>
      <c r="C159" s="13" t="s">
        <v>76</v>
      </c>
      <c r="D159" s="0" t="str">
        <f aca="false">IFERROR(INDEX(Itens!$C$2:$C$100,MATCH(C159,Itens!$A$2:$A$100,0)),"")</f>
        <v>Infraestrutura de comunicação</v>
      </c>
      <c r="E159" s="0" t="str">
        <f aca="false">IFERROR(INDEX(Visitas!$C$2:$C$401,MATCH(A159,Visitas!$A$2:$A$401,0)),"")</f>
        <v>2023</v>
      </c>
      <c r="F159" s="0" t="str">
        <f aca="false">IFERROR(INDEX(Itens!$B$2:$B$100,MATCH(C159,Itens!$A$2:$A$100,0)),"")</f>
        <v>I</v>
      </c>
      <c r="G159" s="13" t="n">
        <v>2</v>
      </c>
      <c r="H159" s="13" t="n">
        <v>0</v>
      </c>
    </row>
    <row r="160" customFormat="false" ht="15" hidden="false" customHeight="false" outlineLevel="0" collapsed="false">
      <c r="A160" s="13" t="n">
        <v>12</v>
      </c>
      <c r="B160" s="0" t="str">
        <f aca="false">IFERROR(INDEX(Visitas!$B$2:$B$401,MATCH(A160,Visitas!$A$2:$A$401,0)),"")</f>
        <v>ESF São José</v>
      </c>
      <c r="C160" s="13" t="s">
        <v>79</v>
      </c>
      <c r="D160" s="0" t="str">
        <f aca="false">IFERROR(INDEX(Itens!$C$2:$C$100,MATCH(C160,Itens!$A$2:$A$100,0)),"")</f>
        <v>Equipamentos</v>
      </c>
      <c r="E160" s="0" t="str">
        <f aca="false">IFERROR(INDEX(Visitas!$C$2:$C$401,MATCH(A160,Visitas!$A$2:$A$401,0)),"")</f>
        <v>2023</v>
      </c>
      <c r="F160" s="0" t="str">
        <f aca="false">IFERROR(INDEX(Itens!$B$2:$B$100,MATCH(C160,Itens!$A$2:$A$100,0)),"")</f>
        <v>I</v>
      </c>
      <c r="G160" s="13" t="n">
        <v>2</v>
      </c>
      <c r="H160" s="13" t="n">
        <v>0</v>
      </c>
    </row>
    <row r="161" customFormat="false" ht="15" hidden="false" customHeight="false" outlineLevel="0" collapsed="false">
      <c r="A161" s="13" t="n">
        <v>12</v>
      </c>
      <c r="B161" s="0" t="str">
        <f aca="false">IFERROR(INDEX(Visitas!$B$2:$B$401,MATCH(A161,Visitas!$A$2:$A$401,0)),"")</f>
        <v>ESF São José</v>
      </c>
      <c r="C161" s="13" t="s">
        <v>82</v>
      </c>
      <c r="D161" s="0" t="str">
        <f aca="false">IFERROR(INDEX(Itens!$C$2:$C$100,MATCH(C161,Itens!$A$2:$A$100,0)),"")</f>
        <v>Materiais, medicamentos e insumos</v>
      </c>
      <c r="E161" s="0" t="str">
        <f aca="false">IFERROR(INDEX(Visitas!$C$2:$C$401,MATCH(A161,Visitas!$A$2:$A$401,0)),"")</f>
        <v>2023</v>
      </c>
      <c r="F161" s="0" t="str">
        <f aca="false">IFERROR(INDEX(Itens!$B$2:$B$100,MATCH(C161,Itens!$A$2:$A$100,0)),"")</f>
        <v>I</v>
      </c>
      <c r="G161" s="13" t="n">
        <v>2</v>
      </c>
      <c r="H161" s="13" t="n">
        <v>0</v>
      </c>
    </row>
    <row r="162" customFormat="false" ht="15" hidden="false" customHeight="false" outlineLevel="0" collapsed="false">
      <c r="A162" s="13" t="n">
        <v>12</v>
      </c>
      <c r="B162" s="0" t="str">
        <f aca="false">IFERROR(INDEX(Visitas!$B$2:$B$401,MATCH(A162,Visitas!$A$2:$A$401,0)),"")</f>
        <v>ESF São José</v>
      </c>
      <c r="C162" s="13" t="s">
        <v>85</v>
      </c>
      <c r="D162" s="0" t="str">
        <f aca="false">IFERROR(INDEX(Itens!$C$2:$C$100,MATCH(C162,Itens!$A$2:$A$100,0)),"")</f>
        <v>Conforto, limpeza e organização</v>
      </c>
      <c r="E162" s="0" t="str">
        <f aca="false">IFERROR(INDEX(Visitas!$C$2:$C$401,MATCH(A162,Visitas!$A$2:$A$401,0)),"")</f>
        <v>2023</v>
      </c>
      <c r="F162" s="0" t="str">
        <f aca="false">IFERROR(INDEX(Itens!$B$2:$B$100,MATCH(C162,Itens!$A$2:$A$100,0)),"")</f>
        <v>I</v>
      </c>
      <c r="G162" s="13" t="n">
        <v>2</v>
      </c>
      <c r="H162" s="13" t="n">
        <v>0</v>
      </c>
    </row>
    <row r="163" customFormat="false" ht="15" hidden="false" customHeight="false" outlineLevel="0" collapsed="false">
      <c r="A163" s="13" t="n">
        <v>12</v>
      </c>
      <c r="B163" s="0" t="str">
        <f aca="false">IFERROR(INDEX(Visitas!$B$2:$B$401,MATCH(A163,Visitas!$A$2:$A$401,0)),"")</f>
        <v>ESF São José</v>
      </c>
      <c r="C163" s="13" t="s">
        <v>88</v>
      </c>
      <c r="D163" s="0" t="str">
        <f aca="false">IFERROR(INDEX(Itens!$C$2:$C$100,MATCH(C163,Itens!$A$2:$A$100,0)),"")</f>
        <v>Utilização de indicadores de gestão</v>
      </c>
      <c r="E163" s="0" t="str">
        <f aca="false">IFERROR(INDEX(Visitas!$C$2:$C$401,MATCH(A163,Visitas!$A$2:$A$401,0)),"")</f>
        <v>2023</v>
      </c>
      <c r="F163" s="0" t="str">
        <f aca="false">IFERROR(INDEX(Itens!$B$2:$B$100,MATCH(C163,Itens!$A$2:$A$100,0)),"")</f>
        <v>II</v>
      </c>
      <c r="G163" s="13"/>
      <c r="H163" s="13" t="n">
        <v>0</v>
      </c>
    </row>
    <row r="164" customFormat="false" ht="15" hidden="false" customHeight="false" outlineLevel="0" collapsed="false">
      <c r="A164" s="13" t="n">
        <v>12</v>
      </c>
      <c r="B164" s="0" t="str">
        <f aca="false">IFERROR(INDEX(Visitas!$B$2:$B$401,MATCH(A164,Visitas!$A$2:$A$401,0)),"")</f>
        <v>ESF São José</v>
      </c>
      <c r="C164" s="13" t="s">
        <v>92</v>
      </c>
      <c r="D164" s="0" t="str">
        <f aca="false">IFERROR(INDEX(Itens!$C$2:$C$100,MATCH(C164,Itens!$A$2:$A$100,0)),"")</f>
        <v>Dimensionamento de equipe</v>
      </c>
      <c r="E164" s="0" t="str">
        <f aca="false">IFERROR(INDEX(Visitas!$C$2:$C$401,MATCH(A164,Visitas!$A$2:$A$401,0)),"")</f>
        <v>2023</v>
      </c>
      <c r="F164" s="0" t="str">
        <f aca="false">IFERROR(INDEX(Itens!$B$2:$B$100,MATCH(C164,Itens!$A$2:$A$100,0)),"")</f>
        <v>II</v>
      </c>
      <c r="G164" s="13"/>
      <c r="H164" s="13" t="n">
        <v>0</v>
      </c>
    </row>
    <row r="165" customFormat="false" ht="15" hidden="false" customHeight="false" outlineLevel="0" collapsed="false">
      <c r="A165" s="13" t="n">
        <v>12</v>
      </c>
      <c r="B165" s="0" t="str">
        <f aca="false">IFERROR(INDEX(Visitas!$B$2:$B$401,MATCH(A165,Visitas!$A$2:$A$401,0)),"")</f>
        <v>ESF São José</v>
      </c>
      <c r="C165" s="13" t="s">
        <v>96</v>
      </c>
      <c r="D165" s="0" t="str">
        <f aca="false">IFERROR(INDEX(Itens!$C$2:$C$100,MATCH(C165,Itens!$A$2:$A$100,0)),"")</f>
        <v>Execução do cronograma de capacitação da equipe de trabalho</v>
      </c>
      <c r="E165" s="0" t="str">
        <f aca="false">IFERROR(INDEX(Visitas!$C$2:$C$401,MATCH(A165,Visitas!$A$2:$A$401,0)),"")</f>
        <v>2023</v>
      </c>
      <c r="F165" s="0" t="str">
        <f aca="false">IFERROR(INDEX(Itens!$B$2:$B$100,MATCH(C165,Itens!$A$2:$A$100,0)),"")</f>
        <v>II</v>
      </c>
      <c r="G165" s="13"/>
      <c r="H165" s="13" t="n">
        <v>0</v>
      </c>
    </row>
    <row r="166" customFormat="false" ht="15" hidden="false" customHeight="false" outlineLevel="0" collapsed="false">
      <c r="A166" s="13" t="n">
        <v>12</v>
      </c>
      <c r="B166" s="0" t="str">
        <f aca="false">IFERROR(INDEX(Visitas!$B$2:$B$401,MATCH(A166,Visitas!$A$2:$A$401,0)),"")</f>
        <v>ESF São José</v>
      </c>
      <c r="C166" s="13" t="s">
        <v>100</v>
      </c>
      <c r="D166" s="0" t="str">
        <f aca="false">IFERROR(INDEX(Itens!$C$2:$C$100,MATCH(C166,Itens!$A$2:$A$100,0)),"")</f>
        <v>Disponibilidade de agendamento de consultas, exames e procedimentos</v>
      </c>
      <c r="E166" s="0" t="str">
        <f aca="false">IFERROR(INDEX(Visitas!$C$2:$C$401,MATCH(A166,Visitas!$A$2:$A$401,0)),"")</f>
        <v>2023</v>
      </c>
      <c r="F166" s="0" t="str">
        <f aca="false">IFERROR(INDEX(Itens!$B$2:$B$100,MATCH(C166,Itens!$A$2:$A$100,0)),"")</f>
        <v>II</v>
      </c>
      <c r="G166" s="13"/>
      <c r="H166" s="13" t="n">
        <v>0</v>
      </c>
    </row>
    <row r="167" customFormat="false" ht="15" hidden="false" customHeight="false" outlineLevel="0" collapsed="false">
      <c r="A167" s="13" t="n">
        <v>12</v>
      </c>
      <c r="B167" s="0" t="str">
        <f aca="false">IFERROR(INDEX(Visitas!$B$2:$B$401,MATCH(A167,Visitas!$A$2:$A$401,0)),"")</f>
        <v>ESF São José</v>
      </c>
      <c r="C167" s="13" t="s">
        <v>104</v>
      </c>
      <c r="D167" s="0" t="str">
        <f aca="false">IFERROR(INDEX(Itens!$C$2:$C$100,MATCH(C167,Itens!$A$2:$A$100,0)),"")</f>
        <v>Atendimento aos indicadores do PMS</v>
      </c>
      <c r="E167" s="0" t="str">
        <f aca="false">IFERROR(INDEX(Visitas!$C$2:$C$401,MATCH(A167,Visitas!$A$2:$A$401,0)),"")</f>
        <v>2023</v>
      </c>
      <c r="F167" s="0" t="str">
        <f aca="false">IFERROR(INDEX(Itens!$B$2:$B$100,MATCH(C167,Itens!$A$2:$A$100,0)),"")</f>
        <v>III</v>
      </c>
      <c r="G167" s="13"/>
      <c r="H167" s="13" t="n">
        <v>0</v>
      </c>
    </row>
    <row r="168" customFormat="false" ht="15" hidden="false" customHeight="false" outlineLevel="0" collapsed="false">
      <c r="A168" s="13" t="n">
        <v>12</v>
      </c>
      <c r="B168" s="0" t="str">
        <f aca="false">IFERROR(INDEX(Visitas!$B$2:$B$401,MATCH(A168,Visitas!$A$2:$A$401,0)),"")</f>
        <v>ESF São José</v>
      </c>
      <c r="C168" s="13" t="s">
        <v>109</v>
      </c>
      <c r="D168" s="0" t="str">
        <f aca="false">IFERROR(INDEX(Itens!$C$2:$C$100,MATCH(C168,Itens!$A$2:$A$100,0)),"")</f>
        <v>Registro de reclamações na Ouvidoria do COMSAUDE</v>
      </c>
      <c r="E168" s="0" t="str">
        <f aca="false">IFERROR(INDEX(Visitas!$C$2:$C$401,MATCH(A168,Visitas!$A$2:$A$401,0)),"")</f>
        <v>2023</v>
      </c>
      <c r="F168" s="0" t="str">
        <f aca="false">IFERROR(INDEX(Itens!$B$2:$B$100,MATCH(C168,Itens!$A$2:$A$100,0)),"")</f>
        <v>IV</v>
      </c>
      <c r="G168" s="13"/>
      <c r="H168" s="13" t="n">
        <v>0</v>
      </c>
    </row>
    <row r="169" customFormat="false" ht="15" hidden="false" customHeight="false" outlineLevel="0" collapsed="false">
      <c r="A169" s="13" t="n">
        <v>12</v>
      </c>
      <c r="B169" s="0" t="str">
        <f aca="false">IFERROR(INDEX(Visitas!$B$2:$B$401,MATCH(A169,Visitas!$A$2:$A$401,0)),"")</f>
        <v>ESF São José</v>
      </c>
      <c r="C169" s="13" t="s">
        <v>113</v>
      </c>
      <c r="D169" s="0" t="str">
        <f aca="false">IFERROR(INDEX(Itens!$C$2:$C$100,MATCH(C169,Itens!$A$2:$A$100,0)),"")</f>
        <v>Satisfação dos usuários</v>
      </c>
      <c r="E169" s="0" t="str">
        <f aca="false">IFERROR(INDEX(Visitas!$C$2:$C$401,MATCH(A169,Visitas!$A$2:$A$401,0)),"")</f>
        <v>2023</v>
      </c>
      <c r="F169" s="0" t="str">
        <f aca="false">IFERROR(INDEX(Itens!$B$2:$B$100,MATCH(C169,Itens!$A$2:$A$100,0)),"")</f>
        <v>IV</v>
      </c>
      <c r="G169" s="13"/>
      <c r="H169" s="13" t="n">
        <v>0</v>
      </c>
    </row>
    <row r="170" customFormat="false" ht="15" hidden="false" customHeight="false" outlineLevel="0" collapsed="false">
      <c r="A170" s="13" t="n">
        <v>13</v>
      </c>
      <c r="B170" s="0" t="str">
        <f aca="false">IFERROR(INDEX(Visitas!$B$2:$B$401,MATCH(A170,Visitas!$A$2:$A$401,0)),"")</f>
        <v>UAD - Unidade de Atendimento Domiciliar</v>
      </c>
      <c r="C170" s="13" t="s">
        <v>65</v>
      </c>
      <c r="D170" s="0" t="str">
        <f aca="false">IFERROR(INDEX(Itens!$C$2:$C$100,MATCH(C170,Itens!$A$2:$A$100,0)),"")</f>
        <v>Infraestrutura civil</v>
      </c>
      <c r="E170" s="0" t="str">
        <f aca="false">IFERROR(INDEX(Visitas!$C$2:$C$401,MATCH(A170,Visitas!$A$2:$A$401,0)),"")</f>
        <v>2023</v>
      </c>
      <c r="F170" s="0" t="str">
        <f aca="false">IFERROR(INDEX(Itens!$B$2:$B$100,MATCH(C170,Itens!$A$2:$A$100,0)),"")</f>
        <v>I</v>
      </c>
      <c r="G170" s="13" t="n">
        <v>2</v>
      </c>
      <c r="H170" s="13" t="n">
        <v>0</v>
      </c>
    </row>
    <row r="171" customFormat="false" ht="15" hidden="false" customHeight="false" outlineLevel="0" collapsed="false">
      <c r="A171" s="13" t="n">
        <v>13</v>
      </c>
      <c r="B171" s="0" t="str">
        <f aca="false">IFERROR(INDEX(Visitas!$B$2:$B$401,MATCH(A171,Visitas!$A$2:$A$401,0)),"")</f>
        <v>UAD - Unidade de Atendimento Domiciliar</v>
      </c>
      <c r="C171" s="13" t="s">
        <v>70</v>
      </c>
      <c r="D171" s="0" t="str">
        <f aca="false">IFERROR(INDEX(Itens!$C$2:$C$100,MATCH(C171,Itens!$A$2:$A$100,0)),"")</f>
        <v>Infraestrutura elétrica</v>
      </c>
      <c r="E171" s="0" t="str">
        <f aca="false">IFERROR(INDEX(Visitas!$C$2:$C$401,MATCH(A171,Visitas!$A$2:$A$401,0)),"")</f>
        <v>2023</v>
      </c>
      <c r="F171" s="0" t="str">
        <f aca="false">IFERROR(INDEX(Itens!$B$2:$B$100,MATCH(C171,Itens!$A$2:$A$100,0)),"")</f>
        <v>I</v>
      </c>
      <c r="G171" s="13" t="n">
        <v>2</v>
      </c>
      <c r="H171" s="13" t="n">
        <v>0</v>
      </c>
    </row>
    <row r="172" customFormat="false" ht="15" hidden="false" customHeight="false" outlineLevel="0" collapsed="false">
      <c r="A172" s="13" t="n">
        <v>13</v>
      </c>
      <c r="B172" s="0" t="str">
        <f aca="false">IFERROR(INDEX(Visitas!$B$2:$B$401,MATCH(A172,Visitas!$A$2:$A$401,0)),"")</f>
        <v>UAD - Unidade de Atendimento Domiciliar</v>
      </c>
      <c r="C172" s="13" t="s">
        <v>73</v>
      </c>
      <c r="D172" s="0" t="str">
        <f aca="false">IFERROR(INDEX(Itens!$C$2:$C$100,MATCH(C172,Itens!$A$2:$A$100,0)),"")</f>
        <v>Infraestrutura hidráulica</v>
      </c>
      <c r="E172" s="0" t="str">
        <f aca="false">IFERROR(INDEX(Visitas!$C$2:$C$401,MATCH(A172,Visitas!$A$2:$A$401,0)),"")</f>
        <v>2023</v>
      </c>
      <c r="F172" s="0" t="str">
        <f aca="false">IFERROR(INDEX(Itens!$B$2:$B$100,MATCH(C172,Itens!$A$2:$A$100,0)),"")</f>
        <v>I</v>
      </c>
      <c r="G172" s="13" t="n">
        <v>2</v>
      </c>
      <c r="H172" s="13" t="n">
        <v>0</v>
      </c>
    </row>
    <row r="173" customFormat="false" ht="15" hidden="false" customHeight="false" outlineLevel="0" collapsed="false">
      <c r="A173" s="13" t="n">
        <v>13</v>
      </c>
      <c r="B173" s="0" t="str">
        <f aca="false">IFERROR(INDEX(Visitas!$B$2:$B$401,MATCH(A173,Visitas!$A$2:$A$401,0)),"")</f>
        <v>UAD - Unidade de Atendimento Domiciliar</v>
      </c>
      <c r="C173" s="13" t="s">
        <v>76</v>
      </c>
      <c r="D173" s="0" t="str">
        <f aca="false">IFERROR(INDEX(Itens!$C$2:$C$100,MATCH(C173,Itens!$A$2:$A$100,0)),"")</f>
        <v>Infraestrutura de comunicação</v>
      </c>
      <c r="E173" s="0" t="str">
        <f aca="false">IFERROR(INDEX(Visitas!$C$2:$C$401,MATCH(A173,Visitas!$A$2:$A$401,0)),"")</f>
        <v>2023</v>
      </c>
      <c r="F173" s="0" t="str">
        <f aca="false">IFERROR(INDEX(Itens!$B$2:$B$100,MATCH(C173,Itens!$A$2:$A$100,0)),"")</f>
        <v>I</v>
      </c>
      <c r="G173" s="13" t="n">
        <v>2</v>
      </c>
      <c r="H173" s="13" t="n">
        <v>0</v>
      </c>
    </row>
    <row r="174" customFormat="false" ht="15" hidden="false" customHeight="false" outlineLevel="0" collapsed="false">
      <c r="A174" s="13" t="n">
        <v>13</v>
      </c>
      <c r="B174" s="0" t="str">
        <f aca="false">IFERROR(INDEX(Visitas!$B$2:$B$401,MATCH(A174,Visitas!$A$2:$A$401,0)),"")</f>
        <v>UAD - Unidade de Atendimento Domiciliar</v>
      </c>
      <c r="C174" s="13" t="s">
        <v>79</v>
      </c>
      <c r="D174" s="0" t="str">
        <f aca="false">IFERROR(INDEX(Itens!$C$2:$C$100,MATCH(C174,Itens!$A$2:$A$100,0)),"")</f>
        <v>Equipamentos</v>
      </c>
      <c r="E174" s="0" t="str">
        <f aca="false">IFERROR(INDEX(Visitas!$C$2:$C$401,MATCH(A174,Visitas!$A$2:$A$401,0)),"")</f>
        <v>2023</v>
      </c>
      <c r="F174" s="0" t="str">
        <f aca="false">IFERROR(INDEX(Itens!$B$2:$B$100,MATCH(C174,Itens!$A$2:$A$100,0)),"")</f>
        <v>I</v>
      </c>
      <c r="G174" s="13" t="n">
        <v>2</v>
      </c>
      <c r="H174" s="13" t="n">
        <v>0</v>
      </c>
    </row>
    <row r="175" customFormat="false" ht="15" hidden="false" customHeight="false" outlineLevel="0" collapsed="false">
      <c r="A175" s="13" t="n">
        <v>13</v>
      </c>
      <c r="B175" s="0" t="str">
        <f aca="false">IFERROR(INDEX(Visitas!$B$2:$B$401,MATCH(A175,Visitas!$A$2:$A$401,0)),"")</f>
        <v>UAD - Unidade de Atendimento Domiciliar</v>
      </c>
      <c r="C175" s="13" t="s">
        <v>82</v>
      </c>
      <c r="D175" s="0" t="str">
        <f aca="false">IFERROR(INDEX(Itens!$C$2:$C$100,MATCH(C175,Itens!$A$2:$A$100,0)),"")</f>
        <v>Materiais, medicamentos e insumos</v>
      </c>
      <c r="E175" s="0" t="str">
        <f aca="false">IFERROR(INDEX(Visitas!$C$2:$C$401,MATCH(A175,Visitas!$A$2:$A$401,0)),"")</f>
        <v>2023</v>
      </c>
      <c r="F175" s="0" t="str">
        <f aca="false">IFERROR(INDEX(Itens!$B$2:$B$100,MATCH(C175,Itens!$A$2:$A$100,0)),"")</f>
        <v>I</v>
      </c>
      <c r="G175" s="13" t="n">
        <v>1</v>
      </c>
      <c r="H175" s="13" t="n">
        <v>0</v>
      </c>
    </row>
    <row r="176" customFormat="false" ht="15" hidden="false" customHeight="false" outlineLevel="0" collapsed="false">
      <c r="A176" s="13" t="n">
        <v>13</v>
      </c>
      <c r="B176" s="0" t="str">
        <f aca="false">IFERROR(INDEX(Visitas!$B$2:$B$401,MATCH(A176,Visitas!$A$2:$A$401,0)),"")</f>
        <v>UAD - Unidade de Atendimento Domiciliar</v>
      </c>
      <c r="C176" s="13" t="s">
        <v>85</v>
      </c>
      <c r="D176" s="0" t="str">
        <f aca="false">IFERROR(INDEX(Itens!$C$2:$C$100,MATCH(C176,Itens!$A$2:$A$100,0)),"")</f>
        <v>Conforto, limpeza e organização</v>
      </c>
      <c r="E176" s="0" t="str">
        <f aca="false">IFERROR(INDEX(Visitas!$C$2:$C$401,MATCH(A176,Visitas!$A$2:$A$401,0)),"")</f>
        <v>2023</v>
      </c>
      <c r="F176" s="0" t="str">
        <f aca="false">IFERROR(INDEX(Itens!$B$2:$B$100,MATCH(C176,Itens!$A$2:$A$100,0)),"")</f>
        <v>I</v>
      </c>
      <c r="G176" s="13" t="n">
        <v>2</v>
      </c>
      <c r="H176" s="13" t="n">
        <v>0</v>
      </c>
    </row>
    <row r="177" customFormat="false" ht="15" hidden="false" customHeight="false" outlineLevel="0" collapsed="false">
      <c r="A177" s="13" t="n">
        <v>13</v>
      </c>
      <c r="B177" s="0" t="str">
        <f aca="false">IFERROR(INDEX(Visitas!$B$2:$B$401,MATCH(A177,Visitas!$A$2:$A$401,0)),"")</f>
        <v>UAD - Unidade de Atendimento Domiciliar</v>
      </c>
      <c r="C177" s="13" t="s">
        <v>88</v>
      </c>
      <c r="D177" s="0" t="str">
        <f aca="false">IFERROR(INDEX(Itens!$C$2:$C$100,MATCH(C177,Itens!$A$2:$A$100,0)),"")</f>
        <v>Utilização de indicadores de gestão</v>
      </c>
      <c r="E177" s="0" t="str">
        <f aca="false">IFERROR(INDEX(Visitas!$C$2:$C$401,MATCH(A177,Visitas!$A$2:$A$401,0)),"")</f>
        <v>2023</v>
      </c>
      <c r="F177" s="0" t="str">
        <f aca="false">IFERROR(INDEX(Itens!$B$2:$B$100,MATCH(C177,Itens!$A$2:$A$100,0)),"")</f>
        <v>II</v>
      </c>
      <c r="G177" s="13" t="n">
        <v>1</v>
      </c>
      <c r="H177" s="13" t="n">
        <v>0</v>
      </c>
    </row>
    <row r="178" customFormat="false" ht="15" hidden="false" customHeight="false" outlineLevel="0" collapsed="false">
      <c r="A178" s="13" t="n">
        <v>13</v>
      </c>
      <c r="B178" s="0" t="str">
        <f aca="false">IFERROR(INDEX(Visitas!$B$2:$B$401,MATCH(A178,Visitas!$A$2:$A$401,0)),"")</f>
        <v>UAD - Unidade de Atendimento Domiciliar</v>
      </c>
      <c r="C178" s="13" t="s">
        <v>92</v>
      </c>
      <c r="D178" s="0" t="str">
        <f aca="false">IFERROR(INDEX(Itens!$C$2:$C$100,MATCH(C178,Itens!$A$2:$A$100,0)),"")</f>
        <v>Dimensionamento de equipe</v>
      </c>
      <c r="E178" s="0" t="str">
        <f aca="false">IFERROR(INDEX(Visitas!$C$2:$C$401,MATCH(A178,Visitas!$A$2:$A$401,0)),"")</f>
        <v>2023</v>
      </c>
      <c r="F178" s="0" t="str">
        <f aca="false">IFERROR(INDEX(Itens!$B$2:$B$100,MATCH(C178,Itens!$A$2:$A$100,0)),"")</f>
        <v>II</v>
      </c>
      <c r="G178" s="13" t="n">
        <v>2</v>
      </c>
      <c r="H178" s="13" t="n">
        <v>0</v>
      </c>
    </row>
    <row r="179" customFormat="false" ht="15" hidden="false" customHeight="false" outlineLevel="0" collapsed="false">
      <c r="A179" s="13" t="n">
        <v>13</v>
      </c>
      <c r="B179" s="0" t="str">
        <f aca="false">IFERROR(INDEX(Visitas!$B$2:$B$401,MATCH(A179,Visitas!$A$2:$A$401,0)),"")</f>
        <v>UAD - Unidade de Atendimento Domiciliar</v>
      </c>
      <c r="C179" s="13" t="s">
        <v>96</v>
      </c>
      <c r="D179" s="0" t="str">
        <f aca="false">IFERROR(INDEX(Itens!$C$2:$C$100,MATCH(C179,Itens!$A$2:$A$100,0)),"")</f>
        <v>Execução do cronograma de capacitação da equipe de trabalho</v>
      </c>
      <c r="E179" s="0" t="str">
        <f aca="false">IFERROR(INDEX(Visitas!$C$2:$C$401,MATCH(A179,Visitas!$A$2:$A$401,0)),"")</f>
        <v>2023</v>
      </c>
      <c r="F179" s="0" t="str">
        <f aca="false">IFERROR(INDEX(Itens!$B$2:$B$100,MATCH(C179,Itens!$A$2:$A$100,0)),"")</f>
        <v>II</v>
      </c>
      <c r="G179" s="13" t="n">
        <v>2</v>
      </c>
      <c r="H179" s="13" t="n">
        <v>0</v>
      </c>
    </row>
    <row r="180" customFormat="false" ht="15" hidden="false" customHeight="false" outlineLevel="0" collapsed="false">
      <c r="A180" s="13" t="n">
        <v>13</v>
      </c>
      <c r="B180" s="0" t="str">
        <f aca="false">IFERROR(INDEX(Visitas!$B$2:$B$401,MATCH(A180,Visitas!$A$2:$A$401,0)),"")</f>
        <v>UAD - Unidade de Atendimento Domiciliar</v>
      </c>
      <c r="C180" s="13" t="s">
        <v>100</v>
      </c>
      <c r="D180" s="0" t="str">
        <f aca="false">IFERROR(INDEX(Itens!$C$2:$C$100,MATCH(C180,Itens!$A$2:$A$100,0)),"")</f>
        <v>Disponibilidade de agendamento de consultas, exames e procedimentos</v>
      </c>
      <c r="E180" s="0" t="str">
        <f aca="false">IFERROR(INDEX(Visitas!$C$2:$C$401,MATCH(A180,Visitas!$A$2:$A$401,0)),"")</f>
        <v>2023</v>
      </c>
      <c r="F180" s="0" t="str">
        <f aca="false">IFERROR(INDEX(Itens!$B$2:$B$100,MATCH(C180,Itens!$A$2:$A$100,0)),"")</f>
        <v>II</v>
      </c>
      <c r="G180" s="13" t="n">
        <v>2</v>
      </c>
      <c r="H180" s="13" t="n">
        <v>0</v>
      </c>
    </row>
    <row r="181" customFormat="false" ht="15" hidden="false" customHeight="false" outlineLevel="0" collapsed="false">
      <c r="A181" s="13" t="n">
        <v>13</v>
      </c>
      <c r="B181" s="0" t="str">
        <f aca="false">IFERROR(INDEX(Visitas!$B$2:$B$401,MATCH(A181,Visitas!$A$2:$A$401,0)),"")</f>
        <v>UAD - Unidade de Atendimento Domiciliar</v>
      </c>
      <c r="C181" s="13" t="s">
        <v>104</v>
      </c>
      <c r="D181" s="0" t="str">
        <f aca="false">IFERROR(INDEX(Itens!$C$2:$C$100,MATCH(C181,Itens!$A$2:$A$100,0)),"")</f>
        <v>Atendimento aos indicadores do PMS</v>
      </c>
      <c r="E181" s="0" t="str">
        <f aca="false">IFERROR(INDEX(Visitas!$C$2:$C$401,MATCH(A181,Visitas!$A$2:$A$401,0)),"")</f>
        <v>2023</v>
      </c>
      <c r="F181" s="0" t="str">
        <f aca="false">IFERROR(INDEX(Itens!$B$2:$B$100,MATCH(C181,Itens!$A$2:$A$100,0)),"")</f>
        <v>III</v>
      </c>
      <c r="G181" s="13" t="n">
        <v>2</v>
      </c>
      <c r="H181" s="13" t="n">
        <v>0</v>
      </c>
    </row>
    <row r="182" customFormat="false" ht="15" hidden="false" customHeight="false" outlineLevel="0" collapsed="false">
      <c r="A182" s="13" t="n">
        <v>13</v>
      </c>
      <c r="B182" s="0" t="str">
        <f aca="false">IFERROR(INDEX(Visitas!$B$2:$B$401,MATCH(A182,Visitas!$A$2:$A$401,0)),"")</f>
        <v>UAD - Unidade de Atendimento Domiciliar</v>
      </c>
      <c r="C182" s="13" t="s">
        <v>109</v>
      </c>
      <c r="D182" s="0" t="str">
        <f aca="false">IFERROR(INDEX(Itens!$C$2:$C$100,MATCH(C182,Itens!$A$2:$A$100,0)),"")</f>
        <v>Registro de reclamações na Ouvidoria do COMSAUDE</v>
      </c>
      <c r="E182" s="0" t="str">
        <f aca="false">IFERROR(INDEX(Visitas!$C$2:$C$401,MATCH(A182,Visitas!$A$2:$A$401,0)),"")</f>
        <v>2023</v>
      </c>
      <c r="F182" s="0" t="str">
        <f aca="false">IFERROR(INDEX(Itens!$B$2:$B$100,MATCH(C182,Itens!$A$2:$A$100,0)),"")</f>
        <v>IV</v>
      </c>
      <c r="G182" s="13" t="n">
        <v>1</v>
      </c>
      <c r="H182" s="13" t="n">
        <v>0</v>
      </c>
    </row>
    <row r="183" customFormat="false" ht="15" hidden="false" customHeight="false" outlineLevel="0" collapsed="false">
      <c r="A183" s="13" t="n">
        <v>13</v>
      </c>
      <c r="B183" s="0" t="str">
        <f aca="false">IFERROR(INDEX(Visitas!$B$2:$B$401,MATCH(A183,Visitas!$A$2:$A$401,0)),"")</f>
        <v>UAD - Unidade de Atendimento Domiciliar</v>
      </c>
      <c r="C183" s="13" t="s">
        <v>113</v>
      </c>
      <c r="D183" s="0" t="str">
        <f aca="false">IFERROR(INDEX(Itens!$C$2:$C$100,MATCH(C183,Itens!$A$2:$A$100,0)),"")</f>
        <v>Satisfação dos usuários</v>
      </c>
      <c r="E183" s="0" t="str">
        <f aca="false">IFERROR(INDEX(Visitas!$C$2:$C$401,MATCH(A183,Visitas!$A$2:$A$401,0)),"")</f>
        <v>2023</v>
      </c>
      <c r="F183" s="0" t="str">
        <f aca="false">IFERROR(INDEX(Itens!$B$2:$B$100,MATCH(C183,Itens!$A$2:$A$100,0)),"")</f>
        <v>IV</v>
      </c>
      <c r="G183" s="13" t="n">
        <v>1</v>
      </c>
      <c r="H183" s="13" t="n">
        <v>0</v>
      </c>
    </row>
    <row r="184" customFormat="false" ht="15" hidden="false" customHeight="false" outlineLevel="0" collapsed="false">
      <c r="A184" s="13" t="n">
        <v>14</v>
      </c>
      <c r="B184" s="0" t="str">
        <f aca="false">IFERROR(INDEX(Visitas!$B$2:$B$401,MATCH(A184,Visitas!$A$2:$A$401,0)),"")</f>
        <v>CAPS AD Vida Nova (Álcool e Drogas)</v>
      </c>
      <c r="C184" s="13" t="s">
        <v>65</v>
      </c>
      <c r="D184" s="0" t="str">
        <f aca="false">IFERROR(INDEX(Itens!$C$2:$C$100,MATCH(C184,Itens!$A$2:$A$100,0)),"")</f>
        <v>Infraestrutura civil</v>
      </c>
      <c r="E184" s="0" t="str">
        <f aca="false">IFERROR(INDEX(Visitas!$C$2:$C$401,MATCH(A184,Visitas!$A$2:$A$401,0)),"")</f>
        <v>2023</v>
      </c>
      <c r="F184" s="0" t="str">
        <f aca="false">IFERROR(INDEX(Itens!$B$2:$B$100,MATCH(C184,Itens!$A$2:$A$100,0)),"")</f>
        <v>I</v>
      </c>
      <c r="G184" s="13" t="n">
        <v>0</v>
      </c>
      <c r="H184" s="13" t="n">
        <v>0</v>
      </c>
    </row>
    <row r="185" customFormat="false" ht="15" hidden="false" customHeight="false" outlineLevel="0" collapsed="false">
      <c r="A185" s="13" t="n">
        <v>14</v>
      </c>
      <c r="B185" s="0" t="str">
        <f aca="false">IFERROR(INDEX(Visitas!$B$2:$B$401,MATCH(A185,Visitas!$A$2:$A$401,0)),"")</f>
        <v>CAPS AD Vida Nova (Álcool e Drogas)</v>
      </c>
      <c r="C185" s="13" t="s">
        <v>70</v>
      </c>
      <c r="D185" s="0" t="str">
        <f aca="false">IFERROR(INDEX(Itens!$C$2:$C$100,MATCH(C185,Itens!$A$2:$A$100,0)),"")</f>
        <v>Infraestrutura elétrica</v>
      </c>
      <c r="E185" s="0" t="str">
        <f aca="false">IFERROR(INDEX(Visitas!$C$2:$C$401,MATCH(A185,Visitas!$A$2:$A$401,0)),"")</f>
        <v>2023</v>
      </c>
      <c r="F185" s="0" t="str">
        <f aca="false">IFERROR(INDEX(Itens!$B$2:$B$100,MATCH(C185,Itens!$A$2:$A$100,0)),"")</f>
        <v>I</v>
      </c>
      <c r="G185" s="13" t="n">
        <v>2</v>
      </c>
      <c r="H185" s="13" t="n">
        <v>0</v>
      </c>
    </row>
    <row r="186" customFormat="false" ht="15" hidden="false" customHeight="false" outlineLevel="0" collapsed="false">
      <c r="A186" s="13" t="n">
        <v>14</v>
      </c>
      <c r="B186" s="0" t="str">
        <f aca="false">IFERROR(INDEX(Visitas!$B$2:$B$401,MATCH(A186,Visitas!$A$2:$A$401,0)),"")</f>
        <v>CAPS AD Vida Nova (Álcool e Drogas)</v>
      </c>
      <c r="C186" s="13" t="s">
        <v>73</v>
      </c>
      <c r="D186" s="0" t="str">
        <f aca="false">IFERROR(INDEX(Itens!$C$2:$C$100,MATCH(C186,Itens!$A$2:$A$100,0)),"")</f>
        <v>Infraestrutura hidráulica</v>
      </c>
      <c r="E186" s="0" t="str">
        <f aca="false">IFERROR(INDEX(Visitas!$C$2:$C$401,MATCH(A186,Visitas!$A$2:$A$401,0)),"")</f>
        <v>2023</v>
      </c>
      <c r="F186" s="0" t="str">
        <f aca="false">IFERROR(INDEX(Itens!$B$2:$B$100,MATCH(C186,Itens!$A$2:$A$100,0)),"")</f>
        <v>I</v>
      </c>
      <c r="G186" s="13" t="n">
        <v>2</v>
      </c>
      <c r="H186" s="13" t="n">
        <v>0</v>
      </c>
    </row>
    <row r="187" customFormat="false" ht="15" hidden="false" customHeight="false" outlineLevel="0" collapsed="false">
      <c r="A187" s="13" t="n">
        <v>14</v>
      </c>
      <c r="B187" s="0" t="str">
        <f aca="false">IFERROR(INDEX(Visitas!$B$2:$B$401,MATCH(A187,Visitas!$A$2:$A$401,0)),"")</f>
        <v>CAPS AD Vida Nova (Álcool e Drogas)</v>
      </c>
      <c r="C187" s="13" t="s">
        <v>76</v>
      </c>
      <c r="D187" s="0" t="str">
        <f aca="false">IFERROR(INDEX(Itens!$C$2:$C$100,MATCH(C187,Itens!$A$2:$A$100,0)),"")</f>
        <v>Infraestrutura de comunicação</v>
      </c>
      <c r="E187" s="0" t="str">
        <f aca="false">IFERROR(INDEX(Visitas!$C$2:$C$401,MATCH(A187,Visitas!$A$2:$A$401,0)),"")</f>
        <v>2023</v>
      </c>
      <c r="F187" s="0" t="str">
        <f aca="false">IFERROR(INDEX(Itens!$B$2:$B$100,MATCH(C187,Itens!$A$2:$A$100,0)),"")</f>
        <v>I</v>
      </c>
      <c r="G187" s="13" t="n">
        <v>2</v>
      </c>
      <c r="H187" s="13" t="n">
        <v>0</v>
      </c>
    </row>
    <row r="188" customFormat="false" ht="15" hidden="false" customHeight="false" outlineLevel="0" collapsed="false">
      <c r="A188" s="13" t="n">
        <v>14</v>
      </c>
      <c r="B188" s="0" t="str">
        <f aca="false">IFERROR(INDEX(Visitas!$B$2:$B$401,MATCH(A188,Visitas!$A$2:$A$401,0)),"")</f>
        <v>CAPS AD Vida Nova (Álcool e Drogas)</v>
      </c>
      <c r="C188" s="13" t="s">
        <v>79</v>
      </c>
      <c r="D188" s="0" t="str">
        <f aca="false">IFERROR(INDEX(Itens!$C$2:$C$100,MATCH(C188,Itens!$A$2:$A$100,0)),"")</f>
        <v>Equipamentos</v>
      </c>
      <c r="E188" s="0" t="str">
        <f aca="false">IFERROR(INDEX(Visitas!$C$2:$C$401,MATCH(A188,Visitas!$A$2:$A$401,0)),"")</f>
        <v>2023</v>
      </c>
      <c r="F188" s="0" t="str">
        <f aca="false">IFERROR(INDEX(Itens!$B$2:$B$100,MATCH(C188,Itens!$A$2:$A$100,0)),"")</f>
        <v>I</v>
      </c>
      <c r="G188" s="13" t="n">
        <v>1</v>
      </c>
      <c r="H188" s="13" t="n">
        <v>0</v>
      </c>
    </row>
    <row r="189" customFormat="false" ht="15" hidden="false" customHeight="false" outlineLevel="0" collapsed="false">
      <c r="A189" s="13" t="n">
        <v>14</v>
      </c>
      <c r="B189" s="0" t="str">
        <f aca="false">IFERROR(INDEX(Visitas!$B$2:$B$401,MATCH(A189,Visitas!$A$2:$A$401,0)),"")</f>
        <v>CAPS AD Vida Nova (Álcool e Drogas)</v>
      </c>
      <c r="C189" s="13" t="s">
        <v>82</v>
      </c>
      <c r="D189" s="0" t="str">
        <f aca="false">IFERROR(INDEX(Itens!$C$2:$C$100,MATCH(C189,Itens!$A$2:$A$100,0)),"")</f>
        <v>Materiais, medicamentos e insumos</v>
      </c>
      <c r="E189" s="0" t="str">
        <f aca="false">IFERROR(INDEX(Visitas!$C$2:$C$401,MATCH(A189,Visitas!$A$2:$A$401,0)),"")</f>
        <v>2023</v>
      </c>
      <c r="F189" s="0" t="str">
        <f aca="false">IFERROR(INDEX(Itens!$B$2:$B$100,MATCH(C189,Itens!$A$2:$A$100,0)),"")</f>
        <v>I</v>
      </c>
      <c r="G189" s="13" t="n">
        <v>1</v>
      </c>
      <c r="H189" s="13" t="n">
        <v>0</v>
      </c>
    </row>
    <row r="190" customFormat="false" ht="15" hidden="false" customHeight="false" outlineLevel="0" collapsed="false">
      <c r="A190" s="13" t="n">
        <v>14</v>
      </c>
      <c r="B190" s="0" t="str">
        <f aca="false">IFERROR(INDEX(Visitas!$B$2:$B$401,MATCH(A190,Visitas!$A$2:$A$401,0)),"")</f>
        <v>CAPS AD Vida Nova (Álcool e Drogas)</v>
      </c>
      <c r="C190" s="13" t="s">
        <v>85</v>
      </c>
      <c r="D190" s="0" t="str">
        <f aca="false">IFERROR(INDEX(Itens!$C$2:$C$100,MATCH(C190,Itens!$A$2:$A$100,0)),"")</f>
        <v>Conforto, limpeza e organização</v>
      </c>
      <c r="E190" s="0" t="str">
        <f aca="false">IFERROR(INDEX(Visitas!$C$2:$C$401,MATCH(A190,Visitas!$A$2:$A$401,0)),"")</f>
        <v>2023</v>
      </c>
      <c r="F190" s="0" t="str">
        <f aca="false">IFERROR(INDEX(Itens!$B$2:$B$100,MATCH(C190,Itens!$A$2:$A$100,0)),"")</f>
        <v>I</v>
      </c>
      <c r="G190" s="13" t="n">
        <v>0</v>
      </c>
      <c r="H190" s="13" t="n">
        <v>0</v>
      </c>
    </row>
    <row r="191" customFormat="false" ht="15" hidden="false" customHeight="false" outlineLevel="0" collapsed="false">
      <c r="A191" s="13" t="n">
        <v>14</v>
      </c>
      <c r="B191" s="0" t="str">
        <f aca="false">IFERROR(INDEX(Visitas!$B$2:$B$401,MATCH(A191,Visitas!$A$2:$A$401,0)),"")</f>
        <v>CAPS AD Vida Nova (Álcool e Drogas)</v>
      </c>
      <c r="C191" s="13" t="s">
        <v>88</v>
      </c>
      <c r="D191" s="0" t="str">
        <f aca="false">IFERROR(INDEX(Itens!$C$2:$C$100,MATCH(C191,Itens!$A$2:$A$100,0)),"")</f>
        <v>Utilização de indicadores de gestão</v>
      </c>
      <c r="E191" s="0" t="str">
        <f aca="false">IFERROR(INDEX(Visitas!$C$2:$C$401,MATCH(A191,Visitas!$A$2:$A$401,0)),"")</f>
        <v>2023</v>
      </c>
      <c r="F191" s="0" t="str">
        <f aca="false">IFERROR(INDEX(Itens!$B$2:$B$100,MATCH(C191,Itens!$A$2:$A$100,0)),"")</f>
        <v>II</v>
      </c>
      <c r="G191" s="13" t="n">
        <v>0</v>
      </c>
      <c r="H191" s="13" t="n">
        <v>0</v>
      </c>
    </row>
    <row r="192" customFormat="false" ht="15" hidden="false" customHeight="false" outlineLevel="0" collapsed="false">
      <c r="A192" s="13" t="n">
        <v>14</v>
      </c>
      <c r="B192" s="0" t="str">
        <f aca="false">IFERROR(INDEX(Visitas!$B$2:$B$401,MATCH(A192,Visitas!$A$2:$A$401,0)),"")</f>
        <v>CAPS AD Vida Nova (Álcool e Drogas)</v>
      </c>
      <c r="C192" s="13" t="s">
        <v>92</v>
      </c>
      <c r="D192" s="0" t="str">
        <f aca="false">IFERROR(INDEX(Itens!$C$2:$C$100,MATCH(C192,Itens!$A$2:$A$100,0)),"")</f>
        <v>Dimensionamento de equipe</v>
      </c>
      <c r="E192" s="0" t="str">
        <f aca="false">IFERROR(INDEX(Visitas!$C$2:$C$401,MATCH(A192,Visitas!$A$2:$A$401,0)),"")</f>
        <v>2023</v>
      </c>
      <c r="F192" s="0" t="str">
        <f aca="false">IFERROR(INDEX(Itens!$B$2:$B$100,MATCH(C192,Itens!$A$2:$A$100,0)),"")</f>
        <v>II</v>
      </c>
      <c r="G192" s="13" t="n">
        <v>2</v>
      </c>
      <c r="H192" s="13" t="n">
        <v>0</v>
      </c>
    </row>
    <row r="193" customFormat="false" ht="15" hidden="false" customHeight="false" outlineLevel="0" collapsed="false">
      <c r="A193" s="13" t="n">
        <v>14</v>
      </c>
      <c r="B193" s="0" t="str">
        <f aca="false">IFERROR(INDEX(Visitas!$B$2:$B$401,MATCH(A193,Visitas!$A$2:$A$401,0)),"")</f>
        <v>CAPS AD Vida Nova (Álcool e Drogas)</v>
      </c>
      <c r="C193" s="13" t="s">
        <v>96</v>
      </c>
      <c r="D193" s="0" t="str">
        <f aca="false">IFERROR(INDEX(Itens!$C$2:$C$100,MATCH(C193,Itens!$A$2:$A$100,0)),"")</f>
        <v>Execução do cronograma de capacitação da equipe de trabalho</v>
      </c>
      <c r="E193" s="0" t="str">
        <f aca="false">IFERROR(INDEX(Visitas!$C$2:$C$401,MATCH(A193,Visitas!$A$2:$A$401,0)),"")</f>
        <v>2023</v>
      </c>
      <c r="F193" s="0" t="str">
        <f aca="false">IFERROR(INDEX(Itens!$B$2:$B$100,MATCH(C193,Itens!$A$2:$A$100,0)),"")</f>
        <v>II</v>
      </c>
      <c r="G193" s="13" t="n">
        <v>1</v>
      </c>
      <c r="H193" s="13" t="n">
        <v>0</v>
      </c>
    </row>
    <row r="194" customFormat="false" ht="15" hidden="false" customHeight="false" outlineLevel="0" collapsed="false">
      <c r="A194" s="13" t="n">
        <v>14</v>
      </c>
      <c r="B194" s="0" t="str">
        <f aca="false">IFERROR(INDEX(Visitas!$B$2:$B$401,MATCH(A194,Visitas!$A$2:$A$401,0)),"")</f>
        <v>CAPS AD Vida Nova (Álcool e Drogas)</v>
      </c>
      <c r="C194" s="13" t="s">
        <v>100</v>
      </c>
      <c r="D194" s="0" t="str">
        <f aca="false">IFERROR(INDEX(Itens!$C$2:$C$100,MATCH(C194,Itens!$A$2:$A$100,0)),"")</f>
        <v>Disponibilidade de agendamento de consultas, exames e procedimentos</v>
      </c>
      <c r="E194" s="0" t="str">
        <f aca="false">IFERROR(INDEX(Visitas!$C$2:$C$401,MATCH(A194,Visitas!$A$2:$A$401,0)),"")</f>
        <v>2023</v>
      </c>
      <c r="F194" s="0" t="str">
        <f aca="false">IFERROR(INDEX(Itens!$B$2:$B$100,MATCH(C194,Itens!$A$2:$A$100,0)),"")</f>
        <v>II</v>
      </c>
      <c r="G194" s="13" t="n">
        <v>2</v>
      </c>
      <c r="H194" s="13" t="n">
        <v>0</v>
      </c>
    </row>
    <row r="195" customFormat="false" ht="15" hidden="false" customHeight="false" outlineLevel="0" collapsed="false">
      <c r="A195" s="13" t="n">
        <v>14</v>
      </c>
      <c r="B195" s="0" t="str">
        <f aca="false">IFERROR(INDEX(Visitas!$B$2:$B$401,MATCH(A195,Visitas!$A$2:$A$401,0)),"")</f>
        <v>CAPS AD Vida Nova (Álcool e Drogas)</v>
      </c>
      <c r="C195" s="13" t="s">
        <v>104</v>
      </c>
      <c r="D195" s="0" t="str">
        <f aca="false">IFERROR(INDEX(Itens!$C$2:$C$100,MATCH(C195,Itens!$A$2:$A$100,0)),"")</f>
        <v>Atendimento aos indicadores do PMS</v>
      </c>
      <c r="E195" s="0" t="str">
        <f aca="false">IFERROR(INDEX(Visitas!$C$2:$C$401,MATCH(A195,Visitas!$A$2:$A$401,0)),"")</f>
        <v>2023</v>
      </c>
      <c r="F195" s="0" t="str">
        <f aca="false">IFERROR(INDEX(Itens!$B$2:$B$100,MATCH(C195,Itens!$A$2:$A$100,0)),"")</f>
        <v>III</v>
      </c>
      <c r="G195" s="13" t="n">
        <v>0</v>
      </c>
      <c r="H195" s="13" t="n">
        <v>0</v>
      </c>
    </row>
    <row r="196" customFormat="false" ht="15" hidden="false" customHeight="false" outlineLevel="0" collapsed="false">
      <c r="A196" s="13" t="n">
        <v>14</v>
      </c>
      <c r="B196" s="0" t="str">
        <f aca="false">IFERROR(INDEX(Visitas!$B$2:$B$401,MATCH(A196,Visitas!$A$2:$A$401,0)),"")</f>
        <v>CAPS AD Vida Nova (Álcool e Drogas)</v>
      </c>
      <c r="C196" s="13" t="s">
        <v>109</v>
      </c>
      <c r="D196" s="0" t="str">
        <f aca="false">IFERROR(INDEX(Itens!$C$2:$C$100,MATCH(C196,Itens!$A$2:$A$100,0)),"")</f>
        <v>Registro de reclamações na Ouvidoria do COMSAUDE</v>
      </c>
      <c r="E196" s="0" t="str">
        <f aca="false">IFERROR(INDEX(Visitas!$C$2:$C$401,MATCH(A196,Visitas!$A$2:$A$401,0)),"")</f>
        <v>2023</v>
      </c>
      <c r="F196" s="0" t="str">
        <f aca="false">IFERROR(INDEX(Itens!$B$2:$B$100,MATCH(C196,Itens!$A$2:$A$100,0)),"")</f>
        <v>IV</v>
      </c>
      <c r="G196" s="13" t="n">
        <v>2</v>
      </c>
      <c r="H196" s="13" t="n">
        <v>0</v>
      </c>
    </row>
    <row r="197" customFormat="false" ht="15" hidden="false" customHeight="false" outlineLevel="0" collapsed="false">
      <c r="A197" s="13" t="n">
        <v>14</v>
      </c>
      <c r="B197" s="0" t="str">
        <f aca="false">IFERROR(INDEX(Visitas!$B$2:$B$401,MATCH(A197,Visitas!$A$2:$A$401,0)),"")</f>
        <v>CAPS AD Vida Nova (Álcool e Drogas)</v>
      </c>
      <c r="C197" s="13" t="s">
        <v>113</v>
      </c>
      <c r="D197" s="0" t="str">
        <f aca="false">IFERROR(INDEX(Itens!$C$2:$C$100,MATCH(C197,Itens!$A$2:$A$100,0)),"")</f>
        <v>Satisfação dos usuários</v>
      </c>
      <c r="E197" s="0" t="str">
        <f aca="false">IFERROR(INDEX(Visitas!$C$2:$C$401,MATCH(A197,Visitas!$A$2:$A$401,0)),"")</f>
        <v>2023</v>
      </c>
      <c r="F197" s="0" t="str">
        <f aca="false">IFERROR(INDEX(Itens!$B$2:$B$100,MATCH(C197,Itens!$A$2:$A$100,0)),"")</f>
        <v>IV</v>
      </c>
      <c r="G197" s="13" t="n">
        <v>2</v>
      </c>
      <c r="H197" s="13" t="n">
        <v>0</v>
      </c>
    </row>
    <row r="198" customFormat="false" ht="15" hidden="false" customHeight="false" outlineLevel="0" collapsed="false">
      <c r="A198" s="13" t="n">
        <v>15</v>
      </c>
      <c r="B198" s="0" t="str">
        <f aca="false">IFERROR(INDEX(Visitas!$B$2:$B$401,MATCH(A198,Visitas!$A$2:$A$401,0)),"")</f>
        <v>Núcleo de Especialidades de Americana</v>
      </c>
      <c r="C198" s="13" t="s">
        <v>65</v>
      </c>
      <c r="D198" s="0" t="str">
        <f aca="false">IFERROR(INDEX(Itens!$C$2:$C$100,MATCH(C198,Itens!$A$2:$A$100,0)),"")</f>
        <v>Infraestrutura civil</v>
      </c>
      <c r="E198" s="0" t="str">
        <f aca="false">IFERROR(INDEX(Visitas!$C$2:$C$401,MATCH(A198,Visitas!$A$2:$A$401,0)),"")</f>
        <v>2023</v>
      </c>
      <c r="F198" s="0" t="str">
        <f aca="false">IFERROR(INDEX(Itens!$B$2:$B$100,MATCH(C198,Itens!$A$2:$A$100,0)),"")</f>
        <v>I</v>
      </c>
      <c r="G198" s="13" t="n">
        <v>1</v>
      </c>
      <c r="H198" s="13" t="n">
        <v>0</v>
      </c>
    </row>
    <row r="199" customFormat="false" ht="15" hidden="false" customHeight="false" outlineLevel="0" collapsed="false">
      <c r="A199" s="13" t="n">
        <v>15</v>
      </c>
      <c r="B199" s="0" t="str">
        <f aca="false">IFERROR(INDEX(Visitas!$B$2:$B$401,MATCH(A199,Visitas!$A$2:$A$401,0)),"")</f>
        <v>Núcleo de Especialidades de Americana</v>
      </c>
      <c r="C199" s="13" t="s">
        <v>70</v>
      </c>
      <c r="D199" s="0" t="str">
        <f aca="false">IFERROR(INDEX(Itens!$C$2:$C$100,MATCH(C199,Itens!$A$2:$A$100,0)),"")</f>
        <v>Infraestrutura elétrica</v>
      </c>
      <c r="E199" s="0" t="str">
        <f aca="false">IFERROR(INDEX(Visitas!$C$2:$C$401,MATCH(A199,Visitas!$A$2:$A$401,0)),"")</f>
        <v>2023</v>
      </c>
      <c r="F199" s="0" t="str">
        <f aca="false">IFERROR(INDEX(Itens!$B$2:$B$100,MATCH(C199,Itens!$A$2:$A$100,0)),"")</f>
        <v>I</v>
      </c>
      <c r="G199" s="13" t="n">
        <v>2</v>
      </c>
      <c r="H199" s="13" t="n">
        <v>0</v>
      </c>
    </row>
    <row r="200" customFormat="false" ht="15" hidden="false" customHeight="false" outlineLevel="0" collapsed="false">
      <c r="A200" s="13" t="n">
        <v>15</v>
      </c>
      <c r="B200" s="0" t="str">
        <f aca="false">IFERROR(INDEX(Visitas!$B$2:$B$401,MATCH(A200,Visitas!$A$2:$A$401,0)),"")</f>
        <v>Núcleo de Especialidades de Americana</v>
      </c>
      <c r="C200" s="13" t="s">
        <v>73</v>
      </c>
      <c r="D200" s="0" t="str">
        <f aca="false">IFERROR(INDEX(Itens!$C$2:$C$100,MATCH(C200,Itens!$A$2:$A$100,0)),"")</f>
        <v>Infraestrutura hidráulica</v>
      </c>
      <c r="E200" s="0" t="str">
        <f aca="false">IFERROR(INDEX(Visitas!$C$2:$C$401,MATCH(A200,Visitas!$A$2:$A$401,0)),"")</f>
        <v>2023</v>
      </c>
      <c r="F200" s="0" t="str">
        <f aca="false">IFERROR(INDEX(Itens!$B$2:$B$100,MATCH(C200,Itens!$A$2:$A$100,0)),"")</f>
        <v>I</v>
      </c>
      <c r="G200" s="13" t="n">
        <v>1</v>
      </c>
      <c r="H200" s="13" t="n">
        <v>0</v>
      </c>
    </row>
    <row r="201" customFormat="false" ht="15" hidden="false" customHeight="false" outlineLevel="0" collapsed="false">
      <c r="A201" s="13" t="n">
        <v>15</v>
      </c>
      <c r="B201" s="0" t="str">
        <f aca="false">IFERROR(INDEX(Visitas!$B$2:$B$401,MATCH(A201,Visitas!$A$2:$A$401,0)),"")</f>
        <v>Núcleo de Especialidades de Americana</v>
      </c>
      <c r="C201" s="13" t="s">
        <v>76</v>
      </c>
      <c r="D201" s="0" t="str">
        <f aca="false">IFERROR(INDEX(Itens!$C$2:$C$100,MATCH(C201,Itens!$A$2:$A$100,0)),"")</f>
        <v>Infraestrutura de comunicação</v>
      </c>
      <c r="E201" s="0" t="str">
        <f aca="false">IFERROR(INDEX(Visitas!$C$2:$C$401,MATCH(A201,Visitas!$A$2:$A$401,0)),"")</f>
        <v>2023</v>
      </c>
      <c r="F201" s="0" t="str">
        <f aca="false">IFERROR(INDEX(Itens!$B$2:$B$100,MATCH(C201,Itens!$A$2:$A$100,0)),"")</f>
        <v>I</v>
      </c>
      <c r="G201" s="13" t="n">
        <v>2</v>
      </c>
      <c r="H201" s="13" t="n">
        <v>0</v>
      </c>
    </row>
    <row r="202" customFormat="false" ht="15" hidden="false" customHeight="false" outlineLevel="0" collapsed="false">
      <c r="A202" s="13" t="n">
        <v>15</v>
      </c>
      <c r="B202" s="0" t="str">
        <f aca="false">IFERROR(INDEX(Visitas!$B$2:$B$401,MATCH(A202,Visitas!$A$2:$A$401,0)),"")</f>
        <v>Núcleo de Especialidades de Americana</v>
      </c>
      <c r="C202" s="13" t="s">
        <v>79</v>
      </c>
      <c r="D202" s="0" t="str">
        <f aca="false">IFERROR(INDEX(Itens!$C$2:$C$100,MATCH(C202,Itens!$A$2:$A$100,0)),"")</f>
        <v>Equipamentos</v>
      </c>
      <c r="E202" s="0" t="str">
        <f aca="false">IFERROR(INDEX(Visitas!$C$2:$C$401,MATCH(A202,Visitas!$A$2:$A$401,0)),"")</f>
        <v>2023</v>
      </c>
      <c r="F202" s="0" t="str">
        <f aca="false">IFERROR(INDEX(Itens!$B$2:$B$100,MATCH(C202,Itens!$A$2:$A$100,0)),"")</f>
        <v>I</v>
      </c>
      <c r="G202" s="13" t="n">
        <v>2</v>
      </c>
      <c r="H202" s="13" t="n">
        <v>0</v>
      </c>
    </row>
    <row r="203" customFormat="false" ht="15" hidden="false" customHeight="false" outlineLevel="0" collapsed="false">
      <c r="A203" s="13" t="n">
        <v>15</v>
      </c>
      <c r="B203" s="0" t="str">
        <f aca="false">IFERROR(INDEX(Visitas!$B$2:$B$401,MATCH(A203,Visitas!$A$2:$A$401,0)),"")</f>
        <v>Núcleo de Especialidades de Americana</v>
      </c>
      <c r="C203" s="13" t="s">
        <v>82</v>
      </c>
      <c r="D203" s="0" t="str">
        <f aca="false">IFERROR(INDEX(Itens!$C$2:$C$100,MATCH(C203,Itens!$A$2:$A$100,0)),"")</f>
        <v>Materiais, medicamentos e insumos</v>
      </c>
      <c r="E203" s="0" t="str">
        <f aca="false">IFERROR(INDEX(Visitas!$C$2:$C$401,MATCH(A203,Visitas!$A$2:$A$401,0)),"")</f>
        <v>2023</v>
      </c>
      <c r="F203" s="0" t="str">
        <f aca="false">IFERROR(INDEX(Itens!$B$2:$B$100,MATCH(C203,Itens!$A$2:$A$100,0)),"")</f>
        <v>I</v>
      </c>
      <c r="G203" s="13" t="n">
        <v>2</v>
      </c>
      <c r="H203" s="13" t="n">
        <v>0</v>
      </c>
    </row>
    <row r="204" customFormat="false" ht="15" hidden="false" customHeight="false" outlineLevel="0" collapsed="false">
      <c r="A204" s="13" t="n">
        <v>15</v>
      </c>
      <c r="B204" s="0" t="str">
        <f aca="false">IFERROR(INDEX(Visitas!$B$2:$B$401,MATCH(A204,Visitas!$A$2:$A$401,0)),"")</f>
        <v>Núcleo de Especialidades de Americana</v>
      </c>
      <c r="C204" s="13" t="s">
        <v>85</v>
      </c>
      <c r="D204" s="0" t="str">
        <f aca="false">IFERROR(INDEX(Itens!$C$2:$C$100,MATCH(C204,Itens!$A$2:$A$100,0)),"")</f>
        <v>Conforto, limpeza e organização</v>
      </c>
      <c r="E204" s="0" t="str">
        <f aca="false">IFERROR(INDEX(Visitas!$C$2:$C$401,MATCH(A204,Visitas!$A$2:$A$401,0)),"")</f>
        <v>2023</v>
      </c>
      <c r="F204" s="0" t="str">
        <f aca="false">IFERROR(INDEX(Itens!$B$2:$B$100,MATCH(C204,Itens!$A$2:$A$100,0)),"")</f>
        <v>I</v>
      </c>
      <c r="G204" s="13" t="n">
        <v>1</v>
      </c>
      <c r="H204" s="13" t="n">
        <v>0</v>
      </c>
    </row>
    <row r="205" customFormat="false" ht="15" hidden="false" customHeight="false" outlineLevel="0" collapsed="false">
      <c r="A205" s="13" t="n">
        <v>15</v>
      </c>
      <c r="B205" s="0" t="str">
        <f aca="false">IFERROR(INDEX(Visitas!$B$2:$B$401,MATCH(A205,Visitas!$A$2:$A$401,0)),"")</f>
        <v>Núcleo de Especialidades de Americana</v>
      </c>
      <c r="C205" s="13" t="s">
        <v>88</v>
      </c>
      <c r="D205" s="0" t="str">
        <f aca="false">IFERROR(INDEX(Itens!$C$2:$C$100,MATCH(C205,Itens!$A$2:$A$100,0)),"")</f>
        <v>Utilização de indicadores de gestão</v>
      </c>
      <c r="E205" s="0" t="str">
        <f aca="false">IFERROR(INDEX(Visitas!$C$2:$C$401,MATCH(A205,Visitas!$A$2:$A$401,0)),"")</f>
        <v>2023</v>
      </c>
      <c r="F205" s="0" t="str">
        <f aca="false">IFERROR(INDEX(Itens!$B$2:$B$100,MATCH(C205,Itens!$A$2:$A$100,0)),"")</f>
        <v>II</v>
      </c>
      <c r="G205" s="13" t="n">
        <v>1</v>
      </c>
      <c r="H205" s="13" t="n">
        <v>0</v>
      </c>
    </row>
    <row r="206" customFormat="false" ht="15" hidden="false" customHeight="false" outlineLevel="0" collapsed="false">
      <c r="A206" s="13" t="n">
        <v>15</v>
      </c>
      <c r="B206" s="0" t="str">
        <f aca="false">IFERROR(INDEX(Visitas!$B$2:$B$401,MATCH(A206,Visitas!$A$2:$A$401,0)),"")</f>
        <v>Núcleo de Especialidades de Americana</v>
      </c>
      <c r="C206" s="13" t="s">
        <v>92</v>
      </c>
      <c r="D206" s="0" t="str">
        <f aca="false">IFERROR(INDEX(Itens!$C$2:$C$100,MATCH(C206,Itens!$A$2:$A$100,0)),"")</f>
        <v>Dimensionamento de equipe</v>
      </c>
      <c r="E206" s="0" t="str">
        <f aca="false">IFERROR(INDEX(Visitas!$C$2:$C$401,MATCH(A206,Visitas!$A$2:$A$401,0)),"")</f>
        <v>2023</v>
      </c>
      <c r="F206" s="0" t="str">
        <f aca="false">IFERROR(INDEX(Itens!$B$2:$B$100,MATCH(C206,Itens!$A$2:$A$100,0)),"")</f>
        <v>II</v>
      </c>
      <c r="G206" s="13" t="n">
        <v>2</v>
      </c>
      <c r="H206" s="13" t="n">
        <v>0</v>
      </c>
    </row>
    <row r="207" customFormat="false" ht="15" hidden="false" customHeight="false" outlineLevel="0" collapsed="false">
      <c r="A207" s="13" t="n">
        <v>15</v>
      </c>
      <c r="B207" s="0" t="str">
        <f aca="false">IFERROR(INDEX(Visitas!$B$2:$B$401,MATCH(A207,Visitas!$A$2:$A$401,0)),"")</f>
        <v>Núcleo de Especialidades de Americana</v>
      </c>
      <c r="C207" s="13" t="s">
        <v>96</v>
      </c>
      <c r="D207" s="0" t="str">
        <f aca="false">IFERROR(INDEX(Itens!$C$2:$C$100,MATCH(C207,Itens!$A$2:$A$100,0)),"")</f>
        <v>Execução do cronograma de capacitação da equipe de trabalho</v>
      </c>
      <c r="E207" s="0" t="str">
        <f aca="false">IFERROR(INDEX(Visitas!$C$2:$C$401,MATCH(A207,Visitas!$A$2:$A$401,0)),"")</f>
        <v>2023</v>
      </c>
      <c r="F207" s="0" t="str">
        <f aca="false">IFERROR(INDEX(Itens!$B$2:$B$100,MATCH(C207,Itens!$A$2:$A$100,0)),"")</f>
        <v>II</v>
      </c>
      <c r="G207" s="13" t="n">
        <v>0</v>
      </c>
      <c r="H207" s="13" t="n">
        <v>0</v>
      </c>
    </row>
    <row r="208" customFormat="false" ht="15" hidden="false" customHeight="false" outlineLevel="0" collapsed="false">
      <c r="A208" s="13" t="n">
        <v>15</v>
      </c>
      <c r="B208" s="0" t="str">
        <f aca="false">IFERROR(INDEX(Visitas!$B$2:$B$401,MATCH(A208,Visitas!$A$2:$A$401,0)),"")</f>
        <v>Núcleo de Especialidades de Americana</v>
      </c>
      <c r="C208" s="13" t="s">
        <v>100</v>
      </c>
      <c r="D208" s="0" t="str">
        <f aca="false">IFERROR(INDEX(Itens!$C$2:$C$100,MATCH(C208,Itens!$A$2:$A$100,0)),"")</f>
        <v>Disponibilidade de agendamento de consultas, exames e procedimentos</v>
      </c>
      <c r="E208" s="0" t="str">
        <f aca="false">IFERROR(INDEX(Visitas!$C$2:$C$401,MATCH(A208,Visitas!$A$2:$A$401,0)),"")</f>
        <v>2023</v>
      </c>
      <c r="F208" s="0" t="str">
        <f aca="false">IFERROR(INDEX(Itens!$B$2:$B$100,MATCH(C208,Itens!$A$2:$A$100,0)),"")</f>
        <v>II</v>
      </c>
      <c r="G208" s="13" t="n">
        <v>1</v>
      </c>
      <c r="H208" s="13" t="n">
        <v>0</v>
      </c>
    </row>
    <row r="209" customFormat="false" ht="15" hidden="false" customHeight="false" outlineLevel="0" collapsed="false">
      <c r="A209" s="13" t="n">
        <v>15</v>
      </c>
      <c r="B209" s="0" t="str">
        <f aca="false">IFERROR(INDEX(Visitas!$B$2:$B$401,MATCH(A209,Visitas!$A$2:$A$401,0)),"")</f>
        <v>Núcleo de Especialidades de Americana</v>
      </c>
      <c r="C209" s="13" t="s">
        <v>104</v>
      </c>
      <c r="D209" s="0" t="str">
        <f aca="false">IFERROR(INDEX(Itens!$C$2:$C$100,MATCH(C209,Itens!$A$2:$A$100,0)),"")</f>
        <v>Atendimento aos indicadores do PMS</v>
      </c>
      <c r="E209" s="0" t="str">
        <f aca="false">IFERROR(INDEX(Visitas!$C$2:$C$401,MATCH(A209,Visitas!$A$2:$A$401,0)),"")</f>
        <v>2023</v>
      </c>
      <c r="F209" s="0" t="str">
        <f aca="false">IFERROR(INDEX(Itens!$B$2:$B$100,MATCH(C209,Itens!$A$2:$A$100,0)),"")</f>
        <v>III</v>
      </c>
      <c r="G209" s="13" t="n">
        <v>1</v>
      </c>
      <c r="H209" s="13" t="n">
        <v>0</v>
      </c>
    </row>
    <row r="210" customFormat="false" ht="15" hidden="false" customHeight="false" outlineLevel="0" collapsed="false">
      <c r="A210" s="13" t="n">
        <v>15</v>
      </c>
      <c r="B210" s="0" t="str">
        <f aca="false">IFERROR(INDEX(Visitas!$B$2:$B$401,MATCH(A210,Visitas!$A$2:$A$401,0)),"")</f>
        <v>Núcleo de Especialidades de Americana</v>
      </c>
      <c r="C210" s="13" t="s">
        <v>109</v>
      </c>
      <c r="D210" s="0" t="str">
        <f aca="false">IFERROR(INDEX(Itens!$C$2:$C$100,MATCH(C210,Itens!$A$2:$A$100,0)),"")</f>
        <v>Registro de reclamações na Ouvidoria do COMSAUDE</v>
      </c>
      <c r="E210" s="0" t="str">
        <f aca="false">IFERROR(INDEX(Visitas!$C$2:$C$401,MATCH(A210,Visitas!$A$2:$A$401,0)),"")</f>
        <v>2023</v>
      </c>
      <c r="F210" s="0" t="str">
        <f aca="false">IFERROR(INDEX(Itens!$B$2:$B$100,MATCH(C210,Itens!$A$2:$A$100,0)),"")</f>
        <v>IV</v>
      </c>
      <c r="G210" s="13" t="n">
        <v>1</v>
      </c>
      <c r="H210" s="13" t="n">
        <v>0</v>
      </c>
    </row>
    <row r="211" customFormat="false" ht="15" hidden="false" customHeight="false" outlineLevel="0" collapsed="false">
      <c r="A211" s="13" t="n">
        <v>15</v>
      </c>
      <c r="B211" s="0" t="str">
        <f aca="false">IFERROR(INDEX(Visitas!$B$2:$B$401,MATCH(A211,Visitas!$A$2:$A$401,0)),"")</f>
        <v>Núcleo de Especialidades de Americana</v>
      </c>
      <c r="C211" s="13" t="s">
        <v>113</v>
      </c>
      <c r="D211" s="0" t="str">
        <f aca="false">IFERROR(INDEX(Itens!$C$2:$C$100,MATCH(C211,Itens!$A$2:$A$100,0)),"")</f>
        <v>Satisfação dos usuários</v>
      </c>
      <c r="E211" s="0" t="str">
        <f aca="false">IFERROR(INDEX(Visitas!$C$2:$C$401,MATCH(A211,Visitas!$A$2:$A$401,0)),"")</f>
        <v>2023</v>
      </c>
      <c r="F211" s="0" t="str">
        <f aca="false">IFERROR(INDEX(Itens!$B$2:$B$100,MATCH(C211,Itens!$A$2:$A$100,0)),"")</f>
        <v>IV</v>
      </c>
      <c r="G211" s="13" t="n">
        <v>1</v>
      </c>
      <c r="H211" s="13" t="n">
        <v>0</v>
      </c>
    </row>
    <row r="212" customFormat="false" ht="15" hidden="false" customHeight="false" outlineLevel="0" collapsed="false">
      <c r="A212" s="13" t="n">
        <v>16</v>
      </c>
      <c r="B212" s="0" t="str">
        <f aca="false">IFERROR(INDEX(Visitas!$B$2:$B$401,MATCH(A212,Visitas!$A$2:$A$401,0)),"")</f>
        <v>UPA São José</v>
      </c>
      <c r="C212" s="13" t="s">
        <v>65</v>
      </c>
      <c r="D212" s="0" t="str">
        <f aca="false">IFERROR(INDEX(Itens!$C$2:$C$100,MATCH(C212,Itens!$A$2:$A$100,0)),"")</f>
        <v>Infraestrutura civil</v>
      </c>
      <c r="E212" s="0" t="str">
        <f aca="false">IFERROR(INDEX(Visitas!$C$2:$C$401,MATCH(A212,Visitas!$A$2:$A$401,0)),"")</f>
        <v>2023</v>
      </c>
      <c r="F212" s="0" t="str">
        <f aca="false">IFERROR(INDEX(Itens!$B$2:$B$100,MATCH(C212,Itens!$A$2:$A$100,0)),"")</f>
        <v>I</v>
      </c>
      <c r="G212" s="13" t="n">
        <v>2</v>
      </c>
      <c r="H212" s="13" t="n">
        <v>0</v>
      </c>
    </row>
    <row r="213" customFormat="false" ht="15" hidden="false" customHeight="false" outlineLevel="0" collapsed="false">
      <c r="A213" s="13" t="n">
        <v>16</v>
      </c>
      <c r="B213" s="0" t="str">
        <f aca="false">IFERROR(INDEX(Visitas!$B$2:$B$401,MATCH(A213,Visitas!$A$2:$A$401,0)),"")</f>
        <v>UPA São José</v>
      </c>
      <c r="C213" s="13" t="s">
        <v>70</v>
      </c>
      <c r="D213" s="0" t="str">
        <f aca="false">IFERROR(INDEX(Itens!$C$2:$C$100,MATCH(C213,Itens!$A$2:$A$100,0)),"")</f>
        <v>Infraestrutura elétrica</v>
      </c>
      <c r="E213" s="0" t="str">
        <f aca="false">IFERROR(INDEX(Visitas!$C$2:$C$401,MATCH(A213,Visitas!$A$2:$A$401,0)),"")</f>
        <v>2023</v>
      </c>
      <c r="F213" s="0" t="str">
        <f aca="false">IFERROR(INDEX(Itens!$B$2:$B$100,MATCH(C213,Itens!$A$2:$A$100,0)),"")</f>
        <v>I</v>
      </c>
      <c r="G213" s="13" t="n">
        <v>2</v>
      </c>
      <c r="H213" s="13" t="n">
        <v>0</v>
      </c>
    </row>
    <row r="214" customFormat="false" ht="15" hidden="false" customHeight="false" outlineLevel="0" collapsed="false">
      <c r="A214" s="13" t="n">
        <v>16</v>
      </c>
      <c r="B214" s="0" t="str">
        <f aca="false">IFERROR(INDEX(Visitas!$B$2:$B$401,MATCH(A214,Visitas!$A$2:$A$401,0)),"")</f>
        <v>UPA São José</v>
      </c>
      <c r="C214" s="13" t="s">
        <v>73</v>
      </c>
      <c r="D214" s="0" t="str">
        <f aca="false">IFERROR(INDEX(Itens!$C$2:$C$100,MATCH(C214,Itens!$A$2:$A$100,0)),"")</f>
        <v>Infraestrutura hidráulica</v>
      </c>
      <c r="E214" s="0" t="str">
        <f aca="false">IFERROR(INDEX(Visitas!$C$2:$C$401,MATCH(A214,Visitas!$A$2:$A$401,0)),"")</f>
        <v>2023</v>
      </c>
      <c r="F214" s="0" t="str">
        <f aca="false">IFERROR(INDEX(Itens!$B$2:$B$100,MATCH(C214,Itens!$A$2:$A$100,0)),"")</f>
        <v>I</v>
      </c>
      <c r="G214" s="13" t="n">
        <v>2</v>
      </c>
      <c r="H214" s="13" t="n">
        <v>0</v>
      </c>
    </row>
    <row r="215" customFormat="false" ht="15" hidden="false" customHeight="false" outlineLevel="0" collapsed="false">
      <c r="A215" s="13" t="n">
        <v>16</v>
      </c>
      <c r="B215" s="0" t="str">
        <f aca="false">IFERROR(INDEX(Visitas!$B$2:$B$401,MATCH(A215,Visitas!$A$2:$A$401,0)),"")</f>
        <v>UPA São José</v>
      </c>
      <c r="C215" s="13" t="s">
        <v>76</v>
      </c>
      <c r="D215" s="0" t="str">
        <f aca="false">IFERROR(INDEX(Itens!$C$2:$C$100,MATCH(C215,Itens!$A$2:$A$100,0)),"")</f>
        <v>Infraestrutura de comunicação</v>
      </c>
      <c r="E215" s="0" t="str">
        <f aca="false">IFERROR(INDEX(Visitas!$C$2:$C$401,MATCH(A215,Visitas!$A$2:$A$401,0)),"")</f>
        <v>2023</v>
      </c>
      <c r="F215" s="0" t="str">
        <f aca="false">IFERROR(INDEX(Itens!$B$2:$B$100,MATCH(C215,Itens!$A$2:$A$100,0)),"")</f>
        <v>I</v>
      </c>
      <c r="G215" s="13" t="n">
        <v>2</v>
      </c>
      <c r="H215" s="13" t="n">
        <v>0</v>
      </c>
    </row>
    <row r="216" customFormat="false" ht="15" hidden="false" customHeight="false" outlineLevel="0" collapsed="false">
      <c r="A216" s="13" t="n">
        <v>16</v>
      </c>
      <c r="B216" s="0" t="str">
        <f aca="false">IFERROR(INDEX(Visitas!$B$2:$B$401,MATCH(A216,Visitas!$A$2:$A$401,0)),"")</f>
        <v>UPA São José</v>
      </c>
      <c r="C216" s="13" t="s">
        <v>79</v>
      </c>
      <c r="D216" s="0" t="str">
        <f aca="false">IFERROR(INDEX(Itens!$C$2:$C$100,MATCH(C216,Itens!$A$2:$A$100,0)),"")</f>
        <v>Equipamentos</v>
      </c>
      <c r="E216" s="0" t="str">
        <f aca="false">IFERROR(INDEX(Visitas!$C$2:$C$401,MATCH(A216,Visitas!$A$2:$A$401,0)),"")</f>
        <v>2023</v>
      </c>
      <c r="F216" s="0" t="str">
        <f aca="false">IFERROR(INDEX(Itens!$B$2:$B$100,MATCH(C216,Itens!$A$2:$A$100,0)),"")</f>
        <v>I</v>
      </c>
      <c r="G216" s="13" t="n">
        <v>2</v>
      </c>
      <c r="H216" s="13" t="n">
        <v>0</v>
      </c>
    </row>
    <row r="217" customFormat="false" ht="15" hidden="false" customHeight="false" outlineLevel="0" collapsed="false">
      <c r="A217" s="13" t="n">
        <v>16</v>
      </c>
      <c r="B217" s="0" t="str">
        <f aca="false">IFERROR(INDEX(Visitas!$B$2:$B$401,MATCH(A217,Visitas!$A$2:$A$401,0)),"")</f>
        <v>UPA São José</v>
      </c>
      <c r="C217" s="13" t="s">
        <v>82</v>
      </c>
      <c r="D217" s="0" t="str">
        <f aca="false">IFERROR(INDEX(Itens!$C$2:$C$100,MATCH(C217,Itens!$A$2:$A$100,0)),"")</f>
        <v>Materiais, medicamentos e insumos</v>
      </c>
      <c r="E217" s="0" t="str">
        <f aca="false">IFERROR(INDEX(Visitas!$C$2:$C$401,MATCH(A217,Visitas!$A$2:$A$401,0)),"")</f>
        <v>2023</v>
      </c>
      <c r="F217" s="0" t="str">
        <f aca="false">IFERROR(INDEX(Itens!$B$2:$B$100,MATCH(C217,Itens!$A$2:$A$100,0)),"")</f>
        <v>I</v>
      </c>
      <c r="G217" s="13" t="n">
        <v>2</v>
      </c>
      <c r="H217" s="13" t="n">
        <v>0</v>
      </c>
    </row>
    <row r="218" customFormat="false" ht="15" hidden="false" customHeight="false" outlineLevel="0" collapsed="false">
      <c r="A218" s="13" t="n">
        <v>16</v>
      </c>
      <c r="B218" s="0" t="str">
        <f aca="false">IFERROR(INDEX(Visitas!$B$2:$B$401,MATCH(A218,Visitas!$A$2:$A$401,0)),"")</f>
        <v>UPA São José</v>
      </c>
      <c r="C218" s="13" t="s">
        <v>85</v>
      </c>
      <c r="D218" s="0" t="str">
        <f aca="false">IFERROR(INDEX(Itens!$C$2:$C$100,MATCH(C218,Itens!$A$2:$A$100,0)),"")</f>
        <v>Conforto, limpeza e organização</v>
      </c>
      <c r="E218" s="0" t="str">
        <f aca="false">IFERROR(INDEX(Visitas!$C$2:$C$401,MATCH(A218,Visitas!$A$2:$A$401,0)),"")</f>
        <v>2023</v>
      </c>
      <c r="F218" s="0" t="str">
        <f aca="false">IFERROR(INDEX(Itens!$B$2:$B$100,MATCH(C218,Itens!$A$2:$A$100,0)),"")</f>
        <v>I</v>
      </c>
      <c r="G218" s="13" t="n">
        <v>2</v>
      </c>
      <c r="H218" s="13" t="n">
        <v>0</v>
      </c>
    </row>
    <row r="219" customFormat="false" ht="15" hidden="false" customHeight="false" outlineLevel="0" collapsed="false">
      <c r="A219" s="13" t="n">
        <v>16</v>
      </c>
      <c r="B219" s="0" t="str">
        <f aca="false">IFERROR(INDEX(Visitas!$B$2:$B$401,MATCH(A219,Visitas!$A$2:$A$401,0)),"")</f>
        <v>UPA São José</v>
      </c>
      <c r="C219" s="13" t="s">
        <v>88</v>
      </c>
      <c r="D219" s="0" t="str">
        <f aca="false">IFERROR(INDEX(Itens!$C$2:$C$100,MATCH(C219,Itens!$A$2:$A$100,0)),"")</f>
        <v>Utilização de indicadores de gestão</v>
      </c>
      <c r="E219" s="0" t="str">
        <f aca="false">IFERROR(INDEX(Visitas!$C$2:$C$401,MATCH(A219,Visitas!$A$2:$A$401,0)),"")</f>
        <v>2023</v>
      </c>
      <c r="F219" s="0" t="str">
        <f aca="false">IFERROR(INDEX(Itens!$B$2:$B$100,MATCH(C219,Itens!$A$2:$A$100,0)),"")</f>
        <v>II</v>
      </c>
      <c r="G219" s="13" t="n">
        <v>1</v>
      </c>
      <c r="H219" s="13" t="n">
        <v>0</v>
      </c>
    </row>
    <row r="220" customFormat="false" ht="15" hidden="false" customHeight="false" outlineLevel="0" collapsed="false">
      <c r="A220" s="13" t="n">
        <v>16</v>
      </c>
      <c r="B220" s="0" t="str">
        <f aca="false">IFERROR(INDEX(Visitas!$B$2:$B$401,MATCH(A220,Visitas!$A$2:$A$401,0)),"")</f>
        <v>UPA São José</v>
      </c>
      <c r="C220" s="13" t="s">
        <v>92</v>
      </c>
      <c r="D220" s="0" t="str">
        <f aca="false">IFERROR(INDEX(Itens!$C$2:$C$100,MATCH(C220,Itens!$A$2:$A$100,0)),"")</f>
        <v>Dimensionamento de equipe</v>
      </c>
      <c r="E220" s="0" t="str">
        <f aca="false">IFERROR(INDEX(Visitas!$C$2:$C$401,MATCH(A220,Visitas!$A$2:$A$401,0)),"")</f>
        <v>2023</v>
      </c>
      <c r="F220" s="0" t="str">
        <f aca="false">IFERROR(INDEX(Itens!$B$2:$B$100,MATCH(C220,Itens!$A$2:$A$100,0)),"")</f>
        <v>II</v>
      </c>
      <c r="G220" s="13" t="n">
        <v>2</v>
      </c>
      <c r="H220" s="13" t="n">
        <v>0</v>
      </c>
    </row>
    <row r="221" customFormat="false" ht="15" hidden="false" customHeight="false" outlineLevel="0" collapsed="false">
      <c r="A221" s="13" t="n">
        <v>16</v>
      </c>
      <c r="B221" s="0" t="str">
        <f aca="false">IFERROR(INDEX(Visitas!$B$2:$B$401,MATCH(A221,Visitas!$A$2:$A$401,0)),"")</f>
        <v>UPA São José</v>
      </c>
      <c r="C221" s="13" t="s">
        <v>96</v>
      </c>
      <c r="D221" s="0" t="str">
        <f aca="false">IFERROR(INDEX(Itens!$C$2:$C$100,MATCH(C221,Itens!$A$2:$A$100,0)),"")</f>
        <v>Execução do cronograma de capacitação da equipe de trabalho</v>
      </c>
      <c r="E221" s="0" t="str">
        <f aca="false">IFERROR(INDEX(Visitas!$C$2:$C$401,MATCH(A221,Visitas!$A$2:$A$401,0)),"")</f>
        <v>2023</v>
      </c>
      <c r="F221" s="0" t="str">
        <f aca="false">IFERROR(INDEX(Itens!$B$2:$B$100,MATCH(C221,Itens!$A$2:$A$100,0)),"")</f>
        <v>II</v>
      </c>
      <c r="G221" s="13" t="n">
        <v>1</v>
      </c>
      <c r="H221" s="13" t="n">
        <v>0</v>
      </c>
    </row>
    <row r="222" customFormat="false" ht="15" hidden="false" customHeight="false" outlineLevel="0" collapsed="false">
      <c r="A222" s="13" t="n">
        <v>16</v>
      </c>
      <c r="B222" s="0" t="str">
        <f aca="false">IFERROR(INDEX(Visitas!$B$2:$B$401,MATCH(A222,Visitas!$A$2:$A$401,0)),"")</f>
        <v>UPA São José</v>
      </c>
      <c r="C222" s="13" t="s">
        <v>100</v>
      </c>
      <c r="D222" s="0" t="str">
        <f aca="false">IFERROR(INDEX(Itens!$C$2:$C$100,MATCH(C222,Itens!$A$2:$A$100,0)),"")</f>
        <v>Disponibilidade de agendamento de consultas, exames e procedimentos</v>
      </c>
      <c r="E222" s="0" t="str">
        <f aca="false">IFERROR(INDEX(Visitas!$C$2:$C$401,MATCH(A222,Visitas!$A$2:$A$401,0)),"")</f>
        <v>2023</v>
      </c>
      <c r="F222" s="0" t="str">
        <f aca="false">IFERROR(INDEX(Itens!$B$2:$B$100,MATCH(C222,Itens!$A$2:$A$100,0)),"")</f>
        <v>II</v>
      </c>
      <c r="G222" s="13" t="n">
        <v>2</v>
      </c>
      <c r="H222" s="13" t="n">
        <v>0</v>
      </c>
    </row>
    <row r="223" customFormat="false" ht="15" hidden="false" customHeight="false" outlineLevel="0" collapsed="false">
      <c r="A223" s="13" t="n">
        <v>16</v>
      </c>
      <c r="B223" s="0" t="str">
        <f aca="false">IFERROR(INDEX(Visitas!$B$2:$B$401,MATCH(A223,Visitas!$A$2:$A$401,0)),"")</f>
        <v>UPA São José</v>
      </c>
      <c r="C223" s="13" t="s">
        <v>104</v>
      </c>
      <c r="D223" s="0" t="str">
        <f aca="false">IFERROR(INDEX(Itens!$C$2:$C$100,MATCH(C223,Itens!$A$2:$A$100,0)),"")</f>
        <v>Atendimento aos indicadores do PMS</v>
      </c>
      <c r="E223" s="0" t="str">
        <f aca="false">IFERROR(INDEX(Visitas!$C$2:$C$401,MATCH(A223,Visitas!$A$2:$A$401,0)),"")</f>
        <v>2023</v>
      </c>
      <c r="F223" s="0" t="str">
        <f aca="false">IFERROR(INDEX(Itens!$B$2:$B$100,MATCH(C223,Itens!$A$2:$A$100,0)),"")</f>
        <v>III</v>
      </c>
      <c r="G223" s="13" t="n">
        <v>0</v>
      </c>
      <c r="H223" s="13" t="n">
        <v>0</v>
      </c>
    </row>
    <row r="224" customFormat="false" ht="15" hidden="false" customHeight="false" outlineLevel="0" collapsed="false">
      <c r="A224" s="13" t="n">
        <v>16</v>
      </c>
      <c r="B224" s="0" t="str">
        <f aca="false">IFERROR(INDEX(Visitas!$B$2:$B$401,MATCH(A224,Visitas!$A$2:$A$401,0)),"")</f>
        <v>UPA São José</v>
      </c>
      <c r="C224" s="13" t="s">
        <v>109</v>
      </c>
      <c r="D224" s="0" t="str">
        <f aca="false">IFERROR(INDEX(Itens!$C$2:$C$100,MATCH(C224,Itens!$A$2:$A$100,0)),"")</f>
        <v>Registro de reclamações na Ouvidoria do COMSAUDE</v>
      </c>
      <c r="E224" s="0" t="str">
        <f aca="false">IFERROR(INDEX(Visitas!$C$2:$C$401,MATCH(A224,Visitas!$A$2:$A$401,0)),"")</f>
        <v>2023</v>
      </c>
      <c r="F224" s="0" t="str">
        <f aca="false">IFERROR(INDEX(Itens!$B$2:$B$100,MATCH(C224,Itens!$A$2:$A$100,0)),"")</f>
        <v>IV</v>
      </c>
      <c r="G224" s="13" t="n">
        <v>2</v>
      </c>
      <c r="H224" s="13" t="n">
        <v>0</v>
      </c>
    </row>
    <row r="225" customFormat="false" ht="15" hidden="false" customHeight="false" outlineLevel="0" collapsed="false">
      <c r="A225" s="13" t="n">
        <v>16</v>
      </c>
      <c r="B225" s="0" t="str">
        <f aca="false">IFERROR(INDEX(Visitas!$B$2:$B$401,MATCH(A225,Visitas!$A$2:$A$401,0)),"")</f>
        <v>UPA São José</v>
      </c>
      <c r="C225" s="13" t="s">
        <v>113</v>
      </c>
      <c r="D225" s="0" t="str">
        <f aca="false">IFERROR(INDEX(Itens!$C$2:$C$100,MATCH(C225,Itens!$A$2:$A$100,0)),"")</f>
        <v>Satisfação dos usuários</v>
      </c>
      <c r="E225" s="0" t="str">
        <f aca="false">IFERROR(INDEX(Visitas!$C$2:$C$401,MATCH(A225,Visitas!$A$2:$A$401,0)),"")</f>
        <v>2023</v>
      </c>
      <c r="F225" s="0" t="str">
        <f aca="false">IFERROR(INDEX(Itens!$B$2:$B$100,MATCH(C225,Itens!$A$2:$A$100,0)),"")</f>
        <v>IV</v>
      </c>
      <c r="G225" s="13" t="n">
        <v>2</v>
      </c>
      <c r="H225" s="13" t="n">
        <v>0</v>
      </c>
    </row>
    <row r="226" customFormat="false" ht="15" hidden="false" customHeight="false" outlineLevel="0" collapsed="false">
      <c r="A226" s="13" t="n">
        <v>17</v>
      </c>
      <c r="B226" s="0" t="str">
        <f aca="false">IFERROR(INDEX(Visitas!$B$2:$B$401,MATCH(A226,Visitas!$A$2:$A$401,0)),"")</f>
        <v>PA Antonio Zanaga</v>
      </c>
      <c r="C226" s="13" t="s">
        <v>65</v>
      </c>
      <c r="D226" s="0" t="str">
        <f aca="false">IFERROR(INDEX(Itens!$C$2:$C$100,MATCH(C226,Itens!$A$2:$A$100,0)),"")</f>
        <v>Infraestrutura civil</v>
      </c>
      <c r="E226" s="0" t="str">
        <f aca="false">IFERROR(INDEX(Visitas!$C$2:$C$401,MATCH(A226,Visitas!$A$2:$A$401,0)),"")</f>
        <v>2023</v>
      </c>
      <c r="F226" s="0" t="str">
        <f aca="false">IFERROR(INDEX(Itens!$B$2:$B$100,MATCH(C226,Itens!$A$2:$A$100,0)),"")</f>
        <v>I</v>
      </c>
      <c r="G226" s="13" t="n">
        <v>0</v>
      </c>
      <c r="H226" s="13" t="n">
        <v>0</v>
      </c>
    </row>
    <row r="227" customFormat="false" ht="15" hidden="false" customHeight="false" outlineLevel="0" collapsed="false">
      <c r="A227" s="13" t="n">
        <v>17</v>
      </c>
      <c r="B227" s="0" t="str">
        <f aca="false">IFERROR(INDEX(Visitas!$B$2:$B$401,MATCH(A227,Visitas!$A$2:$A$401,0)),"")</f>
        <v>PA Antonio Zanaga</v>
      </c>
      <c r="C227" s="13" t="s">
        <v>70</v>
      </c>
      <c r="D227" s="0" t="str">
        <f aca="false">IFERROR(INDEX(Itens!$C$2:$C$100,MATCH(C227,Itens!$A$2:$A$100,0)),"")</f>
        <v>Infraestrutura elétrica</v>
      </c>
      <c r="E227" s="0" t="str">
        <f aca="false">IFERROR(INDEX(Visitas!$C$2:$C$401,MATCH(A227,Visitas!$A$2:$A$401,0)),"")</f>
        <v>2023</v>
      </c>
      <c r="F227" s="0" t="str">
        <f aca="false">IFERROR(INDEX(Itens!$B$2:$B$100,MATCH(C227,Itens!$A$2:$A$100,0)),"")</f>
        <v>I</v>
      </c>
      <c r="G227" s="13"/>
      <c r="H227" s="13" t="n">
        <v>0</v>
      </c>
    </row>
    <row r="228" customFormat="false" ht="15" hidden="false" customHeight="false" outlineLevel="0" collapsed="false">
      <c r="A228" s="13" t="n">
        <v>17</v>
      </c>
      <c r="B228" s="0" t="str">
        <f aca="false">IFERROR(INDEX(Visitas!$B$2:$B$401,MATCH(A228,Visitas!$A$2:$A$401,0)),"")</f>
        <v>PA Antonio Zanaga</v>
      </c>
      <c r="C228" s="13" t="s">
        <v>73</v>
      </c>
      <c r="D228" s="0" t="str">
        <f aca="false">IFERROR(INDEX(Itens!$C$2:$C$100,MATCH(C228,Itens!$A$2:$A$100,0)),"")</f>
        <v>Infraestrutura hidráulica</v>
      </c>
      <c r="E228" s="0" t="str">
        <f aca="false">IFERROR(INDEX(Visitas!$C$2:$C$401,MATCH(A228,Visitas!$A$2:$A$401,0)),"")</f>
        <v>2023</v>
      </c>
      <c r="F228" s="0" t="str">
        <f aca="false">IFERROR(INDEX(Itens!$B$2:$B$100,MATCH(C228,Itens!$A$2:$A$100,0)),"")</f>
        <v>I</v>
      </c>
      <c r="G228" s="13" t="n">
        <v>1</v>
      </c>
      <c r="H228" s="13" t="n">
        <v>0</v>
      </c>
    </row>
    <row r="229" customFormat="false" ht="15" hidden="false" customHeight="false" outlineLevel="0" collapsed="false">
      <c r="A229" s="13" t="n">
        <v>17</v>
      </c>
      <c r="B229" s="0" t="str">
        <f aca="false">IFERROR(INDEX(Visitas!$B$2:$B$401,MATCH(A229,Visitas!$A$2:$A$401,0)),"")</f>
        <v>PA Antonio Zanaga</v>
      </c>
      <c r="C229" s="13" t="s">
        <v>76</v>
      </c>
      <c r="D229" s="0" t="str">
        <f aca="false">IFERROR(INDEX(Itens!$C$2:$C$100,MATCH(C229,Itens!$A$2:$A$100,0)),"")</f>
        <v>Infraestrutura de comunicação</v>
      </c>
      <c r="E229" s="0" t="str">
        <f aca="false">IFERROR(INDEX(Visitas!$C$2:$C$401,MATCH(A229,Visitas!$A$2:$A$401,0)),"")</f>
        <v>2023</v>
      </c>
      <c r="F229" s="0" t="str">
        <f aca="false">IFERROR(INDEX(Itens!$B$2:$B$100,MATCH(C229,Itens!$A$2:$A$100,0)),"")</f>
        <v>I</v>
      </c>
      <c r="G229" s="13" t="n">
        <v>2</v>
      </c>
      <c r="H229" s="13" t="n">
        <v>0</v>
      </c>
    </row>
    <row r="230" customFormat="false" ht="15" hidden="false" customHeight="false" outlineLevel="0" collapsed="false">
      <c r="A230" s="13" t="n">
        <v>17</v>
      </c>
      <c r="B230" s="0" t="str">
        <f aca="false">IFERROR(INDEX(Visitas!$B$2:$B$401,MATCH(A230,Visitas!$A$2:$A$401,0)),"")</f>
        <v>PA Antonio Zanaga</v>
      </c>
      <c r="C230" s="13" t="s">
        <v>79</v>
      </c>
      <c r="D230" s="0" t="str">
        <f aca="false">IFERROR(INDEX(Itens!$C$2:$C$100,MATCH(C230,Itens!$A$2:$A$100,0)),"")</f>
        <v>Equipamentos</v>
      </c>
      <c r="E230" s="0" t="str">
        <f aca="false">IFERROR(INDEX(Visitas!$C$2:$C$401,MATCH(A230,Visitas!$A$2:$A$401,0)),"")</f>
        <v>2023</v>
      </c>
      <c r="F230" s="0" t="str">
        <f aca="false">IFERROR(INDEX(Itens!$B$2:$B$100,MATCH(C230,Itens!$A$2:$A$100,0)),"")</f>
        <v>I</v>
      </c>
      <c r="G230" s="13" t="n">
        <v>2</v>
      </c>
      <c r="H230" s="13" t="n">
        <v>0</v>
      </c>
    </row>
    <row r="231" customFormat="false" ht="15" hidden="false" customHeight="false" outlineLevel="0" collapsed="false">
      <c r="A231" s="13" t="n">
        <v>17</v>
      </c>
      <c r="B231" s="0" t="str">
        <f aca="false">IFERROR(INDEX(Visitas!$B$2:$B$401,MATCH(A231,Visitas!$A$2:$A$401,0)),"")</f>
        <v>PA Antonio Zanaga</v>
      </c>
      <c r="C231" s="13" t="s">
        <v>82</v>
      </c>
      <c r="D231" s="0" t="str">
        <f aca="false">IFERROR(INDEX(Itens!$C$2:$C$100,MATCH(C231,Itens!$A$2:$A$100,0)),"")</f>
        <v>Materiais, medicamentos e insumos</v>
      </c>
      <c r="E231" s="0" t="str">
        <f aca="false">IFERROR(INDEX(Visitas!$C$2:$C$401,MATCH(A231,Visitas!$A$2:$A$401,0)),"")</f>
        <v>2023</v>
      </c>
      <c r="F231" s="0" t="str">
        <f aca="false">IFERROR(INDEX(Itens!$B$2:$B$100,MATCH(C231,Itens!$A$2:$A$100,0)),"")</f>
        <v>I</v>
      </c>
      <c r="G231" s="13" t="n">
        <v>1</v>
      </c>
      <c r="H231" s="13" t="n">
        <v>0</v>
      </c>
    </row>
    <row r="232" customFormat="false" ht="15" hidden="false" customHeight="false" outlineLevel="0" collapsed="false">
      <c r="A232" s="13" t="n">
        <v>17</v>
      </c>
      <c r="B232" s="0" t="str">
        <f aca="false">IFERROR(INDEX(Visitas!$B$2:$B$401,MATCH(A232,Visitas!$A$2:$A$401,0)),"")</f>
        <v>PA Antonio Zanaga</v>
      </c>
      <c r="C232" s="13" t="s">
        <v>85</v>
      </c>
      <c r="D232" s="0" t="str">
        <f aca="false">IFERROR(INDEX(Itens!$C$2:$C$100,MATCH(C232,Itens!$A$2:$A$100,0)),"")</f>
        <v>Conforto, limpeza e organização</v>
      </c>
      <c r="E232" s="0" t="str">
        <f aca="false">IFERROR(INDEX(Visitas!$C$2:$C$401,MATCH(A232,Visitas!$A$2:$A$401,0)),"")</f>
        <v>2023</v>
      </c>
      <c r="F232" s="0" t="str">
        <f aca="false">IFERROR(INDEX(Itens!$B$2:$B$100,MATCH(C232,Itens!$A$2:$A$100,0)),"")</f>
        <v>I</v>
      </c>
      <c r="G232" s="13" t="n">
        <v>1</v>
      </c>
      <c r="H232" s="13" t="n">
        <v>0</v>
      </c>
    </row>
    <row r="233" customFormat="false" ht="15" hidden="false" customHeight="false" outlineLevel="0" collapsed="false">
      <c r="A233" s="13" t="n">
        <v>17</v>
      </c>
      <c r="B233" s="0" t="str">
        <f aca="false">IFERROR(INDEX(Visitas!$B$2:$B$401,MATCH(A233,Visitas!$A$2:$A$401,0)),"")</f>
        <v>PA Antonio Zanaga</v>
      </c>
      <c r="C233" s="13" t="s">
        <v>88</v>
      </c>
      <c r="D233" s="0" t="str">
        <f aca="false">IFERROR(INDEX(Itens!$C$2:$C$100,MATCH(C233,Itens!$A$2:$A$100,0)),"")</f>
        <v>Utilização de indicadores de gestão</v>
      </c>
      <c r="E233" s="0" t="str">
        <f aca="false">IFERROR(INDEX(Visitas!$C$2:$C$401,MATCH(A233,Visitas!$A$2:$A$401,0)),"")</f>
        <v>2023</v>
      </c>
      <c r="F233" s="0" t="str">
        <f aca="false">IFERROR(INDEX(Itens!$B$2:$B$100,MATCH(C233,Itens!$A$2:$A$100,0)),"")</f>
        <v>II</v>
      </c>
      <c r="G233" s="13" t="n">
        <v>1</v>
      </c>
      <c r="H233" s="13" t="n">
        <v>0</v>
      </c>
    </row>
    <row r="234" customFormat="false" ht="15" hidden="false" customHeight="false" outlineLevel="0" collapsed="false">
      <c r="A234" s="13" t="n">
        <v>17</v>
      </c>
      <c r="B234" s="0" t="str">
        <f aca="false">IFERROR(INDEX(Visitas!$B$2:$B$401,MATCH(A234,Visitas!$A$2:$A$401,0)),"")</f>
        <v>PA Antonio Zanaga</v>
      </c>
      <c r="C234" s="13" t="s">
        <v>92</v>
      </c>
      <c r="D234" s="0" t="str">
        <f aca="false">IFERROR(INDEX(Itens!$C$2:$C$100,MATCH(C234,Itens!$A$2:$A$100,0)),"")</f>
        <v>Dimensionamento de equipe</v>
      </c>
      <c r="E234" s="0" t="str">
        <f aca="false">IFERROR(INDEX(Visitas!$C$2:$C$401,MATCH(A234,Visitas!$A$2:$A$401,0)),"")</f>
        <v>2023</v>
      </c>
      <c r="F234" s="0" t="str">
        <f aca="false">IFERROR(INDEX(Itens!$B$2:$B$100,MATCH(C234,Itens!$A$2:$A$100,0)),"")</f>
        <v>II</v>
      </c>
      <c r="G234" s="13" t="n">
        <v>2</v>
      </c>
      <c r="H234" s="13" t="n">
        <v>0</v>
      </c>
    </row>
    <row r="235" customFormat="false" ht="15" hidden="false" customHeight="false" outlineLevel="0" collapsed="false">
      <c r="A235" s="13" t="n">
        <v>17</v>
      </c>
      <c r="B235" s="0" t="str">
        <f aca="false">IFERROR(INDEX(Visitas!$B$2:$B$401,MATCH(A235,Visitas!$A$2:$A$401,0)),"")</f>
        <v>PA Antonio Zanaga</v>
      </c>
      <c r="C235" s="13" t="s">
        <v>96</v>
      </c>
      <c r="D235" s="0" t="str">
        <f aca="false">IFERROR(INDEX(Itens!$C$2:$C$100,MATCH(C235,Itens!$A$2:$A$100,0)),"")</f>
        <v>Execução do cronograma de capacitação da equipe de trabalho</v>
      </c>
      <c r="E235" s="0" t="str">
        <f aca="false">IFERROR(INDEX(Visitas!$C$2:$C$401,MATCH(A235,Visitas!$A$2:$A$401,0)),"")</f>
        <v>2023</v>
      </c>
      <c r="F235" s="0" t="str">
        <f aca="false">IFERROR(INDEX(Itens!$B$2:$B$100,MATCH(C235,Itens!$A$2:$A$100,0)),"")</f>
        <v>II</v>
      </c>
      <c r="G235" s="13" t="n">
        <v>1</v>
      </c>
      <c r="H235" s="13" t="n">
        <v>0</v>
      </c>
    </row>
    <row r="236" customFormat="false" ht="15" hidden="false" customHeight="false" outlineLevel="0" collapsed="false">
      <c r="A236" s="13" t="n">
        <v>17</v>
      </c>
      <c r="B236" s="0" t="str">
        <f aca="false">IFERROR(INDEX(Visitas!$B$2:$B$401,MATCH(A236,Visitas!$A$2:$A$401,0)),"")</f>
        <v>PA Antonio Zanaga</v>
      </c>
      <c r="C236" s="13" t="s">
        <v>100</v>
      </c>
      <c r="D236" s="0" t="str">
        <f aca="false">IFERROR(INDEX(Itens!$C$2:$C$100,MATCH(C236,Itens!$A$2:$A$100,0)),"")</f>
        <v>Disponibilidade de agendamento de consultas, exames e procedimentos</v>
      </c>
      <c r="E236" s="0" t="str">
        <f aca="false">IFERROR(INDEX(Visitas!$C$2:$C$401,MATCH(A236,Visitas!$A$2:$A$401,0)),"")</f>
        <v>2023</v>
      </c>
      <c r="F236" s="0" t="str">
        <f aca="false">IFERROR(INDEX(Itens!$B$2:$B$100,MATCH(C236,Itens!$A$2:$A$100,0)),"")</f>
        <v>II</v>
      </c>
      <c r="G236" s="13" t="n">
        <v>2</v>
      </c>
      <c r="H236" s="13" t="n">
        <v>0</v>
      </c>
    </row>
    <row r="237" customFormat="false" ht="15" hidden="false" customHeight="false" outlineLevel="0" collapsed="false">
      <c r="A237" s="13" t="n">
        <v>17</v>
      </c>
      <c r="B237" s="0" t="str">
        <f aca="false">IFERROR(INDEX(Visitas!$B$2:$B$401,MATCH(A237,Visitas!$A$2:$A$401,0)),"")</f>
        <v>PA Antonio Zanaga</v>
      </c>
      <c r="C237" s="13" t="s">
        <v>104</v>
      </c>
      <c r="D237" s="0" t="str">
        <f aca="false">IFERROR(INDEX(Itens!$C$2:$C$100,MATCH(C237,Itens!$A$2:$A$100,0)),"")</f>
        <v>Atendimento aos indicadores do PMS</v>
      </c>
      <c r="E237" s="0" t="str">
        <f aca="false">IFERROR(INDEX(Visitas!$C$2:$C$401,MATCH(A237,Visitas!$A$2:$A$401,0)),"")</f>
        <v>2023</v>
      </c>
      <c r="F237" s="0" t="str">
        <f aca="false">IFERROR(INDEX(Itens!$B$2:$B$100,MATCH(C237,Itens!$A$2:$A$100,0)),"")</f>
        <v>III</v>
      </c>
      <c r="G237" s="13" t="n">
        <v>1</v>
      </c>
      <c r="H237" s="13" t="n">
        <v>0</v>
      </c>
    </row>
    <row r="238" customFormat="false" ht="15" hidden="false" customHeight="false" outlineLevel="0" collapsed="false">
      <c r="A238" s="13" t="n">
        <v>17</v>
      </c>
      <c r="B238" s="0" t="str">
        <f aca="false">IFERROR(INDEX(Visitas!$B$2:$B$401,MATCH(A238,Visitas!$A$2:$A$401,0)),"")</f>
        <v>PA Antonio Zanaga</v>
      </c>
      <c r="C238" s="13" t="s">
        <v>109</v>
      </c>
      <c r="D238" s="0" t="str">
        <f aca="false">IFERROR(INDEX(Itens!$C$2:$C$100,MATCH(C238,Itens!$A$2:$A$100,0)),"")</f>
        <v>Registro de reclamações na Ouvidoria do COMSAUDE</v>
      </c>
      <c r="E238" s="0" t="str">
        <f aca="false">IFERROR(INDEX(Visitas!$C$2:$C$401,MATCH(A238,Visitas!$A$2:$A$401,0)),"")</f>
        <v>2023</v>
      </c>
      <c r="F238" s="0" t="str">
        <f aca="false">IFERROR(INDEX(Itens!$B$2:$B$100,MATCH(C238,Itens!$A$2:$A$100,0)),"")</f>
        <v>IV</v>
      </c>
      <c r="G238" s="13" t="n">
        <v>1</v>
      </c>
      <c r="H238" s="13" t="n">
        <v>0</v>
      </c>
    </row>
    <row r="239" customFormat="false" ht="15" hidden="false" customHeight="false" outlineLevel="0" collapsed="false">
      <c r="A239" s="13" t="n">
        <v>17</v>
      </c>
      <c r="B239" s="0" t="str">
        <f aca="false">IFERROR(INDEX(Visitas!$B$2:$B$401,MATCH(A239,Visitas!$A$2:$A$401,0)),"")</f>
        <v>PA Antonio Zanaga</v>
      </c>
      <c r="C239" s="13" t="s">
        <v>113</v>
      </c>
      <c r="D239" s="0" t="str">
        <f aca="false">IFERROR(INDEX(Itens!$C$2:$C$100,MATCH(C239,Itens!$A$2:$A$100,0)),"")</f>
        <v>Satisfação dos usuários</v>
      </c>
      <c r="E239" s="0" t="str">
        <f aca="false">IFERROR(INDEX(Visitas!$C$2:$C$401,MATCH(A239,Visitas!$A$2:$A$401,0)),"")</f>
        <v>2023</v>
      </c>
      <c r="F239" s="0" t="str">
        <f aca="false">IFERROR(INDEX(Itens!$B$2:$B$100,MATCH(C239,Itens!$A$2:$A$100,0)),"")</f>
        <v>IV</v>
      </c>
      <c r="G239" s="13" t="n">
        <v>1</v>
      </c>
      <c r="H239" s="13" t="n">
        <v>0</v>
      </c>
    </row>
    <row r="240" customFormat="false" ht="15" hidden="false" customHeight="false" outlineLevel="0" collapsed="false">
      <c r="A240" s="13" t="n">
        <v>18</v>
      </c>
      <c r="B240" s="0" t="str">
        <f aca="false">IFERROR(INDEX(Visitas!$B$2:$B$401,MATCH(A240,Visitas!$A$2:$A$401,0)),"")</f>
        <v>UNACON - Unidade de Oncologia</v>
      </c>
      <c r="C240" s="13" t="s">
        <v>65</v>
      </c>
      <c r="D240" s="0" t="str">
        <f aca="false">IFERROR(INDEX(Itens!$C$2:$C$100,MATCH(C240,Itens!$A$2:$A$100,0)),"")</f>
        <v>Infraestrutura civil</v>
      </c>
      <c r="E240" s="0" t="str">
        <f aca="false">IFERROR(INDEX(Visitas!$C$2:$C$401,MATCH(A240,Visitas!$A$2:$A$401,0)),"")</f>
        <v>2023</v>
      </c>
      <c r="F240" s="0" t="str">
        <f aca="false">IFERROR(INDEX(Itens!$B$2:$B$100,MATCH(C240,Itens!$A$2:$A$100,0)),"")</f>
        <v>I</v>
      </c>
      <c r="G240" s="13" t="n">
        <v>1</v>
      </c>
      <c r="H240" s="13" t="n">
        <v>0</v>
      </c>
    </row>
    <row r="241" customFormat="false" ht="15" hidden="false" customHeight="false" outlineLevel="0" collapsed="false">
      <c r="A241" s="13" t="n">
        <v>18</v>
      </c>
      <c r="B241" s="0" t="str">
        <f aca="false">IFERROR(INDEX(Visitas!$B$2:$B$401,MATCH(A241,Visitas!$A$2:$A$401,0)),"")</f>
        <v>UNACON - Unidade de Oncologia</v>
      </c>
      <c r="C241" s="13" t="s">
        <v>70</v>
      </c>
      <c r="D241" s="0" t="str">
        <f aca="false">IFERROR(INDEX(Itens!$C$2:$C$100,MATCH(C241,Itens!$A$2:$A$100,0)),"")</f>
        <v>Infraestrutura elétrica</v>
      </c>
      <c r="E241" s="0" t="str">
        <f aca="false">IFERROR(INDEX(Visitas!$C$2:$C$401,MATCH(A241,Visitas!$A$2:$A$401,0)),"")</f>
        <v>2023</v>
      </c>
      <c r="F241" s="0" t="str">
        <f aca="false">IFERROR(INDEX(Itens!$B$2:$B$100,MATCH(C241,Itens!$A$2:$A$100,0)),"")</f>
        <v>I</v>
      </c>
      <c r="G241" s="13" t="n">
        <v>2</v>
      </c>
      <c r="H241" s="13" t="n">
        <v>0</v>
      </c>
    </row>
    <row r="242" customFormat="false" ht="15" hidden="false" customHeight="false" outlineLevel="0" collapsed="false">
      <c r="A242" s="13" t="n">
        <v>18</v>
      </c>
      <c r="B242" s="0" t="str">
        <f aca="false">IFERROR(INDEX(Visitas!$B$2:$B$401,MATCH(A242,Visitas!$A$2:$A$401,0)),"")</f>
        <v>UNACON - Unidade de Oncologia</v>
      </c>
      <c r="C242" s="13" t="s">
        <v>73</v>
      </c>
      <c r="D242" s="0" t="str">
        <f aca="false">IFERROR(INDEX(Itens!$C$2:$C$100,MATCH(C242,Itens!$A$2:$A$100,0)),"")</f>
        <v>Infraestrutura hidráulica</v>
      </c>
      <c r="E242" s="0" t="str">
        <f aca="false">IFERROR(INDEX(Visitas!$C$2:$C$401,MATCH(A242,Visitas!$A$2:$A$401,0)),"")</f>
        <v>2023</v>
      </c>
      <c r="F242" s="0" t="str">
        <f aca="false">IFERROR(INDEX(Itens!$B$2:$B$100,MATCH(C242,Itens!$A$2:$A$100,0)),"")</f>
        <v>I</v>
      </c>
      <c r="G242" s="13" t="n">
        <v>2</v>
      </c>
      <c r="H242" s="13" t="n">
        <v>0</v>
      </c>
    </row>
    <row r="243" customFormat="false" ht="15" hidden="false" customHeight="false" outlineLevel="0" collapsed="false">
      <c r="A243" s="13" t="n">
        <v>18</v>
      </c>
      <c r="B243" s="0" t="str">
        <f aca="false">IFERROR(INDEX(Visitas!$B$2:$B$401,MATCH(A243,Visitas!$A$2:$A$401,0)),"")</f>
        <v>UNACON - Unidade de Oncologia</v>
      </c>
      <c r="C243" s="13" t="s">
        <v>76</v>
      </c>
      <c r="D243" s="0" t="str">
        <f aca="false">IFERROR(INDEX(Itens!$C$2:$C$100,MATCH(C243,Itens!$A$2:$A$100,0)),"")</f>
        <v>Infraestrutura de comunicação</v>
      </c>
      <c r="E243" s="0" t="str">
        <f aca="false">IFERROR(INDEX(Visitas!$C$2:$C$401,MATCH(A243,Visitas!$A$2:$A$401,0)),"")</f>
        <v>2023</v>
      </c>
      <c r="F243" s="0" t="str">
        <f aca="false">IFERROR(INDEX(Itens!$B$2:$B$100,MATCH(C243,Itens!$A$2:$A$100,0)),"")</f>
        <v>I</v>
      </c>
      <c r="G243" s="13" t="n">
        <v>2</v>
      </c>
      <c r="H243" s="13" t="n">
        <v>0</v>
      </c>
    </row>
    <row r="244" customFormat="false" ht="15" hidden="false" customHeight="false" outlineLevel="0" collapsed="false">
      <c r="A244" s="13" t="n">
        <v>18</v>
      </c>
      <c r="B244" s="0" t="str">
        <f aca="false">IFERROR(INDEX(Visitas!$B$2:$B$401,MATCH(A244,Visitas!$A$2:$A$401,0)),"")</f>
        <v>UNACON - Unidade de Oncologia</v>
      </c>
      <c r="C244" s="13" t="s">
        <v>79</v>
      </c>
      <c r="D244" s="0" t="str">
        <f aca="false">IFERROR(INDEX(Itens!$C$2:$C$100,MATCH(C244,Itens!$A$2:$A$100,0)),"")</f>
        <v>Equipamentos</v>
      </c>
      <c r="E244" s="0" t="str">
        <f aca="false">IFERROR(INDEX(Visitas!$C$2:$C$401,MATCH(A244,Visitas!$A$2:$A$401,0)),"")</f>
        <v>2023</v>
      </c>
      <c r="F244" s="0" t="str">
        <f aca="false">IFERROR(INDEX(Itens!$B$2:$B$100,MATCH(C244,Itens!$A$2:$A$100,0)),"")</f>
        <v>I</v>
      </c>
      <c r="G244" s="13" t="n">
        <v>2</v>
      </c>
      <c r="H244" s="13" t="n">
        <v>0</v>
      </c>
    </row>
    <row r="245" customFormat="false" ht="15" hidden="false" customHeight="false" outlineLevel="0" collapsed="false">
      <c r="A245" s="13" t="n">
        <v>18</v>
      </c>
      <c r="B245" s="0" t="str">
        <f aca="false">IFERROR(INDEX(Visitas!$B$2:$B$401,MATCH(A245,Visitas!$A$2:$A$401,0)),"")</f>
        <v>UNACON - Unidade de Oncologia</v>
      </c>
      <c r="C245" s="13" t="s">
        <v>82</v>
      </c>
      <c r="D245" s="0" t="str">
        <f aca="false">IFERROR(INDEX(Itens!$C$2:$C$100,MATCH(C245,Itens!$A$2:$A$100,0)),"")</f>
        <v>Materiais, medicamentos e insumos</v>
      </c>
      <c r="E245" s="0" t="str">
        <f aca="false">IFERROR(INDEX(Visitas!$C$2:$C$401,MATCH(A245,Visitas!$A$2:$A$401,0)),"")</f>
        <v>2023</v>
      </c>
      <c r="F245" s="0" t="str">
        <f aca="false">IFERROR(INDEX(Itens!$B$2:$B$100,MATCH(C245,Itens!$A$2:$A$100,0)),"")</f>
        <v>I</v>
      </c>
      <c r="G245" s="13" t="n">
        <v>2</v>
      </c>
      <c r="H245" s="13" t="n">
        <v>0</v>
      </c>
    </row>
    <row r="246" customFormat="false" ht="15" hidden="false" customHeight="false" outlineLevel="0" collapsed="false">
      <c r="A246" s="13" t="n">
        <v>18</v>
      </c>
      <c r="B246" s="0" t="str">
        <f aca="false">IFERROR(INDEX(Visitas!$B$2:$B$401,MATCH(A246,Visitas!$A$2:$A$401,0)),"")</f>
        <v>UNACON - Unidade de Oncologia</v>
      </c>
      <c r="C246" s="13" t="s">
        <v>85</v>
      </c>
      <c r="D246" s="0" t="str">
        <f aca="false">IFERROR(INDEX(Itens!$C$2:$C$100,MATCH(C246,Itens!$A$2:$A$100,0)),"")</f>
        <v>Conforto, limpeza e organização</v>
      </c>
      <c r="E246" s="0" t="str">
        <f aca="false">IFERROR(INDEX(Visitas!$C$2:$C$401,MATCH(A246,Visitas!$A$2:$A$401,0)),"")</f>
        <v>2023</v>
      </c>
      <c r="F246" s="0" t="str">
        <f aca="false">IFERROR(INDEX(Itens!$B$2:$B$100,MATCH(C246,Itens!$A$2:$A$100,0)),"")</f>
        <v>I</v>
      </c>
      <c r="G246" s="13" t="n">
        <v>2</v>
      </c>
      <c r="H246" s="13" t="n">
        <v>0</v>
      </c>
    </row>
    <row r="247" customFormat="false" ht="15" hidden="false" customHeight="false" outlineLevel="0" collapsed="false">
      <c r="A247" s="13" t="n">
        <v>18</v>
      </c>
      <c r="B247" s="0" t="str">
        <f aca="false">IFERROR(INDEX(Visitas!$B$2:$B$401,MATCH(A247,Visitas!$A$2:$A$401,0)),"")</f>
        <v>UNACON - Unidade de Oncologia</v>
      </c>
      <c r="C247" s="13" t="s">
        <v>88</v>
      </c>
      <c r="D247" s="0" t="str">
        <f aca="false">IFERROR(INDEX(Itens!$C$2:$C$100,MATCH(C247,Itens!$A$2:$A$100,0)),"")</f>
        <v>Utilização de indicadores de gestão</v>
      </c>
      <c r="E247" s="0" t="str">
        <f aca="false">IFERROR(INDEX(Visitas!$C$2:$C$401,MATCH(A247,Visitas!$A$2:$A$401,0)),"")</f>
        <v>2023</v>
      </c>
      <c r="F247" s="0" t="str">
        <f aca="false">IFERROR(INDEX(Itens!$B$2:$B$100,MATCH(C247,Itens!$A$2:$A$100,0)),"")</f>
        <v>II</v>
      </c>
      <c r="G247" s="13" t="n">
        <v>2</v>
      </c>
      <c r="H247" s="13" t="n">
        <v>0</v>
      </c>
    </row>
    <row r="248" customFormat="false" ht="15" hidden="false" customHeight="false" outlineLevel="0" collapsed="false">
      <c r="A248" s="13" t="n">
        <v>18</v>
      </c>
      <c r="B248" s="0" t="str">
        <f aca="false">IFERROR(INDEX(Visitas!$B$2:$B$401,MATCH(A248,Visitas!$A$2:$A$401,0)),"")</f>
        <v>UNACON - Unidade de Oncologia</v>
      </c>
      <c r="C248" s="13" t="s">
        <v>92</v>
      </c>
      <c r="D248" s="0" t="str">
        <f aca="false">IFERROR(INDEX(Itens!$C$2:$C$100,MATCH(C248,Itens!$A$2:$A$100,0)),"")</f>
        <v>Dimensionamento de equipe</v>
      </c>
      <c r="E248" s="0" t="str">
        <f aca="false">IFERROR(INDEX(Visitas!$C$2:$C$401,MATCH(A248,Visitas!$A$2:$A$401,0)),"")</f>
        <v>2023</v>
      </c>
      <c r="F248" s="0" t="str">
        <f aca="false">IFERROR(INDEX(Itens!$B$2:$B$100,MATCH(C248,Itens!$A$2:$A$100,0)),"")</f>
        <v>II</v>
      </c>
      <c r="G248" s="13" t="n">
        <v>2</v>
      </c>
      <c r="H248" s="13" t="n">
        <v>0</v>
      </c>
    </row>
    <row r="249" customFormat="false" ht="15" hidden="false" customHeight="false" outlineLevel="0" collapsed="false">
      <c r="A249" s="13" t="n">
        <v>18</v>
      </c>
      <c r="B249" s="0" t="str">
        <f aca="false">IFERROR(INDEX(Visitas!$B$2:$B$401,MATCH(A249,Visitas!$A$2:$A$401,0)),"")</f>
        <v>UNACON - Unidade de Oncologia</v>
      </c>
      <c r="C249" s="13" t="s">
        <v>96</v>
      </c>
      <c r="D249" s="0" t="str">
        <f aca="false">IFERROR(INDEX(Itens!$C$2:$C$100,MATCH(C249,Itens!$A$2:$A$100,0)),"")</f>
        <v>Execução do cronograma de capacitação da equipe de trabalho</v>
      </c>
      <c r="E249" s="0" t="str">
        <f aca="false">IFERROR(INDEX(Visitas!$C$2:$C$401,MATCH(A249,Visitas!$A$2:$A$401,0)),"")</f>
        <v>2023</v>
      </c>
      <c r="F249" s="0" t="str">
        <f aca="false">IFERROR(INDEX(Itens!$B$2:$B$100,MATCH(C249,Itens!$A$2:$A$100,0)),"")</f>
        <v>II</v>
      </c>
      <c r="G249" s="13" t="n">
        <v>1</v>
      </c>
      <c r="H249" s="13" t="n">
        <v>0</v>
      </c>
    </row>
    <row r="250" customFormat="false" ht="15" hidden="false" customHeight="false" outlineLevel="0" collapsed="false">
      <c r="A250" s="13" t="n">
        <v>18</v>
      </c>
      <c r="B250" s="0" t="str">
        <f aca="false">IFERROR(INDEX(Visitas!$B$2:$B$401,MATCH(A250,Visitas!$A$2:$A$401,0)),"")</f>
        <v>UNACON - Unidade de Oncologia</v>
      </c>
      <c r="C250" s="13" t="s">
        <v>100</v>
      </c>
      <c r="D250" s="0" t="str">
        <f aca="false">IFERROR(INDEX(Itens!$C$2:$C$100,MATCH(C250,Itens!$A$2:$A$100,0)),"")</f>
        <v>Disponibilidade de agendamento de consultas, exames e procedimentos</v>
      </c>
      <c r="E250" s="0" t="str">
        <f aca="false">IFERROR(INDEX(Visitas!$C$2:$C$401,MATCH(A250,Visitas!$A$2:$A$401,0)),"")</f>
        <v>2023</v>
      </c>
      <c r="F250" s="0" t="str">
        <f aca="false">IFERROR(INDEX(Itens!$B$2:$B$100,MATCH(C250,Itens!$A$2:$A$100,0)),"")</f>
        <v>II</v>
      </c>
      <c r="G250" s="13" t="n">
        <v>2</v>
      </c>
      <c r="H250" s="13" t="n">
        <v>0</v>
      </c>
    </row>
    <row r="251" customFormat="false" ht="15" hidden="false" customHeight="false" outlineLevel="0" collapsed="false">
      <c r="A251" s="13" t="n">
        <v>18</v>
      </c>
      <c r="B251" s="0" t="str">
        <f aca="false">IFERROR(INDEX(Visitas!$B$2:$B$401,MATCH(A251,Visitas!$A$2:$A$401,0)),"")</f>
        <v>UNACON - Unidade de Oncologia</v>
      </c>
      <c r="C251" s="13" t="s">
        <v>104</v>
      </c>
      <c r="D251" s="0" t="str">
        <f aca="false">IFERROR(INDEX(Itens!$C$2:$C$100,MATCH(C251,Itens!$A$2:$A$100,0)),"")</f>
        <v>Atendimento aos indicadores do PMS</v>
      </c>
      <c r="E251" s="0" t="str">
        <f aca="false">IFERROR(INDEX(Visitas!$C$2:$C$401,MATCH(A251,Visitas!$A$2:$A$401,0)),"")</f>
        <v>2023</v>
      </c>
      <c r="F251" s="0" t="str">
        <f aca="false">IFERROR(INDEX(Itens!$B$2:$B$100,MATCH(C251,Itens!$A$2:$A$100,0)),"")</f>
        <v>III</v>
      </c>
      <c r="G251" s="13" t="n">
        <v>2</v>
      </c>
      <c r="H251" s="13" t="n">
        <v>0</v>
      </c>
    </row>
    <row r="252" customFormat="false" ht="15" hidden="false" customHeight="false" outlineLevel="0" collapsed="false">
      <c r="A252" s="13" t="n">
        <v>18</v>
      </c>
      <c r="B252" s="0" t="str">
        <f aca="false">IFERROR(INDEX(Visitas!$B$2:$B$401,MATCH(A252,Visitas!$A$2:$A$401,0)),"")</f>
        <v>UNACON - Unidade de Oncologia</v>
      </c>
      <c r="C252" s="13" t="s">
        <v>109</v>
      </c>
      <c r="D252" s="0" t="str">
        <f aca="false">IFERROR(INDEX(Itens!$C$2:$C$100,MATCH(C252,Itens!$A$2:$A$100,0)),"")</f>
        <v>Registro de reclamações na Ouvidoria do COMSAUDE</v>
      </c>
      <c r="E252" s="0" t="str">
        <f aca="false">IFERROR(INDEX(Visitas!$C$2:$C$401,MATCH(A252,Visitas!$A$2:$A$401,0)),"")</f>
        <v>2023</v>
      </c>
      <c r="F252" s="0" t="str">
        <f aca="false">IFERROR(INDEX(Itens!$B$2:$B$100,MATCH(C252,Itens!$A$2:$A$100,0)),"")</f>
        <v>IV</v>
      </c>
      <c r="G252" s="13" t="n">
        <v>2</v>
      </c>
      <c r="H252" s="13" t="n">
        <v>0</v>
      </c>
    </row>
    <row r="253" customFormat="false" ht="15" hidden="false" customHeight="false" outlineLevel="0" collapsed="false">
      <c r="A253" s="13" t="n">
        <v>18</v>
      </c>
      <c r="B253" s="0" t="str">
        <f aca="false">IFERROR(INDEX(Visitas!$B$2:$B$401,MATCH(A253,Visitas!$A$2:$A$401,0)),"")</f>
        <v>UNACON - Unidade de Oncologia</v>
      </c>
      <c r="C253" s="13" t="s">
        <v>113</v>
      </c>
      <c r="D253" s="0" t="str">
        <f aca="false">IFERROR(INDEX(Itens!$C$2:$C$100,MATCH(C253,Itens!$A$2:$A$100,0)),"")</f>
        <v>Satisfação dos usuários</v>
      </c>
      <c r="E253" s="0" t="str">
        <f aca="false">IFERROR(INDEX(Visitas!$C$2:$C$401,MATCH(A253,Visitas!$A$2:$A$401,0)),"")</f>
        <v>2023</v>
      </c>
      <c r="F253" s="0" t="str">
        <f aca="false">IFERROR(INDEX(Itens!$B$2:$B$100,MATCH(C253,Itens!$A$2:$A$100,0)),"")</f>
        <v>IV</v>
      </c>
      <c r="G253" s="13" t="n">
        <v>2</v>
      </c>
      <c r="H253" s="13" t="n">
        <v>0</v>
      </c>
    </row>
    <row r="254" customFormat="false" ht="15" hidden="false" customHeight="false" outlineLevel="0" collapsed="false">
      <c r="A254" s="13" t="n">
        <v>19</v>
      </c>
      <c r="B254" s="0" t="str">
        <f aca="false">IFERROR(INDEX(Visitas!$B$2:$B$401,MATCH(A254,Visitas!$A$2:$A$401,0)),"")</f>
        <v>CCZ - Centro de Controle de Zoonoses</v>
      </c>
      <c r="C254" s="13" t="s">
        <v>65</v>
      </c>
      <c r="D254" s="0" t="str">
        <f aca="false">IFERROR(INDEX(Itens!$C$2:$C$100,MATCH(C254,Itens!$A$2:$A$100,0)),"")</f>
        <v>Infraestrutura civil</v>
      </c>
      <c r="E254" s="0" t="str">
        <f aca="false">IFERROR(INDEX(Visitas!$C$2:$C$401,MATCH(A254,Visitas!$A$2:$A$401,0)),"")</f>
        <v>2023</v>
      </c>
      <c r="F254" s="0" t="str">
        <f aca="false">IFERROR(INDEX(Itens!$B$2:$B$100,MATCH(C254,Itens!$A$2:$A$100,0)),"")</f>
        <v>I</v>
      </c>
      <c r="G254" s="13" t="n">
        <v>0</v>
      </c>
      <c r="H254" s="13" t="n">
        <v>0</v>
      </c>
    </row>
    <row r="255" customFormat="false" ht="15" hidden="false" customHeight="false" outlineLevel="0" collapsed="false">
      <c r="A255" s="13" t="n">
        <v>19</v>
      </c>
      <c r="B255" s="0" t="str">
        <f aca="false">IFERROR(INDEX(Visitas!$B$2:$B$401,MATCH(A255,Visitas!$A$2:$A$401,0)),"")</f>
        <v>CCZ - Centro de Controle de Zoonoses</v>
      </c>
      <c r="C255" s="13" t="s">
        <v>70</v>
      </c>
      <c r="D255" s="0" t="str">
        <f aca="false">IFERROR(INDEX(Itens!$C$2:$C$100,MATCH(C255,Itens!$A$2:$A$100,0)),"")</f>
        <v>Infraestrutura elétrica</v>
      </c>
      <c r="E255" s="0" t="str">
        <f aca="false">IFERROR(INDEX(Visitas!$C$2:$C$401,MATCH(A255,Visitas!$A$2:$A$401,0)),"")</f>
        <v>2023</v>
      </c>
      <c r="F255" s="0" t="str">
        <f aca="false">IFERROR(INDEX(Itens!$B$2:$B$100,MATCH(C255,Itens!$A$2:$A$100,0)),"")</f>
        <v>I</v>
      </c>
      <c r="G255" s="13" t="n">
        <v>0</v>
      </c>
      <c r="H255" s="13" t="n">
        <v>0</v>
      </c>
    </row>
    <row r="256" customFormat="false" ht="15" hidden="false" customHeight="false" outlineLevel="0" collapsed="false">
      <c r="A256" s="13" t="n">
        <v>19</v>
      </c>
      <c r="B256" s="0" t="str">
        <f aca="false">IFERROR(INDEX(Visitas!$B$2:$B$401,MATCH(A256,Visitas!$A$2:$A$401,0)),"")</f>
        <v>CCZ - Centro de Controle de Zoonoses</v>
      </c>
      <c r="C256" s="13" t="s">
        <v>73</v>
      </c>
      <c r="D256" s="0" t="str">
        <f aca="false">IFERROR(INDEX(Itens!$C$2:$C$100,MATCH(C256,Itens!$A$2:$A$100,0)),"")</f>
        <v>Infraestrutura hidráulica</v>
      </c>
      <c r="E256" s="0" t="str">
        <f aca="false">IFERROR(INDEX(Visitas!$C$2:$C$401,MATCH(A256,Visitas!$A$2:$A$401,0)),"")</f>
        <v>2023</v>
      </c>
      <c r="F256" s="0" t="str">
        <f aca="false">IFERROR(INDEX(Itens!$B$2:$B$100,MATCH(C256,Itens!$A$2:$A$100,0)),"")</f>
        <v>I</v>
      </c>
      <c r="G256" s="13" t="n">
        <v>0</v>
      </c>
      <c r="H256" s="13" t="n">
        <v>0</v>
      </c>
    </row>
    <row r="257" customFormat="false" ht="15" hidden="false" customHeight="false" outlineLevel="0" collapsed="false">
      <c r="A257" s="13" t="n">
        <v>19</v>
      </c>
      <c r="B257" s="0" t="str">
        <f aca="false">IFERROR(INDEX(Visitas!$B$2:$B$401,MATCH(A257,Visitas!$A$2:$A$401,0)),"")</f>
        <v>CCZ - Centro de Controle de Zoonoses</v>
      </c>
      <c r="C257" s="13" t="s">
        <v>76</v>
      </c>
      <c r="D257" s="0" t="str">
        <f aca="false">IFERROR(INDEX(Itens!$C$2:$C$100,MATCH(C257,Itens!$A$2:$A$100,0)),"")</f>
        <v>Infraestrutura de comunicação</v>
      </c>
      <c r="E257" s="0" t="str">
        <f aca="false">IFERROR(INDEX(Visitas!$C$2:$C$401,MATCH(A257,Visitas!$A$2:$A$401,0)),"")</f>
        <v>2023</v>
      </c>
      <c r="F257" s="0" t="str">
        <f aca="false">IFERROR(INDEX(Itens!$B$2:$B$100,MATCH(C257,Itens!$A$2:$A$100,0)),"")</f>
        <v>I</v>
      </c>
      <c r="G257" s="13" t="n">
        <v>0</v>
      </c>
      <c r="H257" s="13" t="n">
        <v>0</v>
      </c>
    </row>
    <row r="258" customFormat="false" ht="15" hidden="false" customHeight="false" outlineLevel="0" collapsed="false">
      <c r="A258" s="13" t="n">
        <v>19</v>
      </c>
      <c r="B258" s="0" t="str">
        <f aca="false">IFERROR(INDEX(Visitas!$B$2:$B$401,MATCH(A258,Visitas!$A$2:$A$401,0)),"")</f>
        <v>CCZ - Centro de Controle de Zoonoses</v>
      </c>
      <c r="C258" s="13" t="s">
        <v>79</v>
      </c>
      <c r="D258" s="0" t="str">
        <f aca="false">IFERROR(INDEX(Itens!$C$2:$C$100,MATCH(C258,Itens!$A$2:$A$100,0)),"")</f>
        <v>Equipamentos</v>
      </c>
      <c r="E258" s="0" t="str">
        <f aca="false">IFERROR(INDEX(Visitas!$C$2:$C$401,MATCH(A258,Visitas!$A$2:$A$401,0)),"")</f>
        <v>2023</v>
      </c>
      <c r="F258" s="0" t="str">
        <f aca="false">IFERROR(INDEX(Itens!$B$2:$B$100,MATCH(C258,Itens!$A$2:$A$100,0)),"")</f>
        <v>I</v>
      </c>
      <c r="G258" s="13" t="n">
        <v>0</v>
      </c>
      <c r="H258" s="13" t="n">
        <v>0</v>
      </c>
    </row>
    <row r="259" customFormat="false" ht="15" hidden="false" customHeight="false" outlineLevel="0" collapsed="false">
      <c r="A259" s="13" t="n">
        <v>19</v>
      </c>
      <c r="B259" s="0" t="str">
        <f aca="false">IFERROR(INDEX(Visitas!$B$2:$B$401,MATCH(A259,Visitas!$A$2:$A$401,0)),"")</f>
        <v>CCZ - Centro de Controle de Zoonoses</v>
      </c>
      <c r="C259" s="13" t="s">
        <v>82</v>
      </c>
      <c r="D259" s="0" t="str">
        <f aca="false">IFERROR(INDEX(Itens!$C$2:$C$100,MATCH(C259,Itens!$A$2:$A$100,0)),"")</f>
        <v>Materiais, medicamentos e insumos</v>
      </c>
      <c r="E259" s="0" t="str">
        <f aca="false">IFERROR(INDEX(Visitas!$C$2:$C$401,MATCH(A259,Visitas!$A$2:$A$401,0)),"")</f>
        <v>2023</v>
      </c>
      <c r="F259" s="0" t="str">
        <f aca="false">IFERROR(INDEX(Itens!$B$2:$B$100,MATCH(C259,Itens!$A$2:$A$100,0)),"")</f>
        <v>I</v>
      </c>
      <c r="G259" s="13" t="n">
        <v>1</v>
      </c>
      <c r="H259" s="13" t="n">
        <v>0</v>
      </c>
    </row>
    <row r="260" customFormat="false" ht="15" hidden="false" customHeight="false" outlineLevel="0" collapsed="false">
      <c r="A260" s="13" t="n">
        <v>19</v>
      </c>
      <c r="B260" s="0" t="str">
        <f aca="false">IFERROR(INDEX(Visitas!$B$2:$B$401,MATCH(A260,Visitas!$A$2:$A$401,0)),"")</f>
        <v>CCZ - Centro de Controle de Zoonoses</v>
      </c>
      <c r="C260" s="13" t="s">
        <v>85</v>
      </c>
      <c r="D260" s="0" t="str">
        <f aca="false">IFERROR(INDEX(Itens!$C$2:$C$100,MATCH(C260,Itens!$A$2:$A$100,0)),"")</f>
        <v>Conforto, limpeza e organização</v>
      </c>
      <c r="E260" s="0" t="str">
        <f aca="false">IFERROR(INDEX(Visitas!$C$2:$C$401,MATCH(A260,Visitas!$A$2:$A$401,0)),"")</f>
        <v>2023</v>
      </c>
      <c r="F260" s="0" t="str">
        <f aca="false">IFERROR(INDEX(Itens!$B$2:$B$100,MATCH(C260,Itens!$A$2:$A$100,0)),"")</f>
        <v>I</v>
      </c>
      <c r="G260" s="13" t="n">
        <v>0</v>
      </c>
      <c r="H260" s="13" t="n">
        <v>0</v>
      </c>
    </row>
    <row r="261" customFormat="false" ht="15" hidden="false" customHeight="false" outlineLevel="0" collapsed="false">
      <c r="A261" s="13" t="n">
        <v>19</v>
      </c>
      <c r="B261" s="0" t="str">
        <f aca="false">IFERROR(INDEX(Visitas!$B$2:$B$401,MATCH(A261,Visitas!$A$2:$A$401,0)),"")</f>
        <v>CCZ - Centro de Controle de Zoonoses</v>
      </c>
      <c r="C261" s="13" t="s">
        <v>88</v>
      </c>
      <c r="D261" s="0" t="str">
        <f aca="false">IFERROR(INDEX(Itens!$C$2:$C$100,MATCH(C261,Itens!$A$2:$A$100,0)),"")</f>
        <v>Utilização de indicadores de gestão</v>
      </c>
      <c r="E261" s="0" t="str">
        <f aca="false">IFERROR(INDEX(Visitas!$C$2:$C$401,MATCH(A261,Visitas!$A$2:$A$401,0)),"")</f>
        <v>2023</v>
      </c>
      <c r="F261" s="0" t="str">
        <f aca="false">IFERROR(INDEX(Itens!$B$2:$B$100,MATCH(C261,Itens!$A$2:$A$100,0)),"")</f>
        <v>II</v>
      </c>
      <c r="G261" s="13" t="n">
        <v>0</v>
      </c>
      <c r="H261" s="13" t="n">
        <v>0</v>
      </c>
    </row>
    <row r="262" customFormat="false" ht="15" hidden="false" customHeight="false" outlineLevel="0" collapsed="false">
      <c r="A262" s="13" t="n">
        <v>19</v>
      </c>
      <c r="B262" s="0" t="str">
        <f aca="false">IFERROR(INDEX(Visitas!$B$2:$B$401,MATCH(A262,Visitas!$A$2:$A$401,0)),"")</f>
        <v>CCZ - Centro de Controle de Zoonoses</v>
      </c>
      <c r="C262" s="13" t="s">
        <v>92</v>
      </c>
      <c r="D262" s="0" t="str">
        <f aca="false">IFERROR(INDEX(Itens!$C$2:$C$100,MATCH(C262,Itens!$A$2:$A$100,0)),"")</f>
        <v>Dimensionamento de equipe</v>
      </c>
      <c r="E262" s="0" t="str">
        <f aca="false">IFERROR(INDEX(Visitas!$C$2:$C$401,MATCH(A262,Visitas!$A$2:$A$401,0)),"")</f>
        <v>2023</v>
      </c>
      <c r="F262" s="0" t="str">
        <f aca="false">IFERROR(INDEX(Itens!$B$2:$B$100,MATCH(C262,Itens!$A$2:$A$100,0)),"")</f>
        <v>II</v>
      </c>
      <c r="G262" s="13" t="n">
        <v>2</v>
      </c>
      <c r="H262" s="13" t="n">
        <v>0</v>
      </c>
    </row>
    <row r="263" customFormat="false" ht="15" hidden="false" customHeight="false" outlineLevel="0" collapsed="false">
      <c r="A263" s="13" t="n">
        <v>19</v>
      </c>
      <c r="B263" s="0" t="str">
        <f aca="false">IFERROR(INDEX(Visitas!$B$2:$B$401,MATCH(A263,Visitas!$A$2:$A$401,0)),"")</f>
        <v>CCZ - Centro de Controle de Zoonoses</v>
      </c>
      <c r="C263" s="13" t="s">
        <v>96</v>
      </c>
      <c r="D263" s="0" t="str">
        <f aca="false">IFERROR(INDEX(Itens!$C$2:$C$100,MATCH(C263,Itens!$A$2:$A$100,0)),"")</f>
        <v>Execução do cronograma de capacitação da equipe de trabalho</v>
      </c>
      <c r="E263" s="0" t="str">
        <f aca="false">IFERROR(INDEX(Visitas!$C$2:$C$401,MATCH(A263,Visitas!$A$2:$A$401,0)),"")</f>
        <v>2023</v>
      </c>
      <c r="F263" s="0" t="str">
        <f aca="false">IFERROR(INDEX(Itens!$B$2:$B$100,MATCH(C263,Itens!$A$2:$A$100,0)),"")</f>
        <v>II</v>
      </c>
      <c r="G263" s="13" t="n">
        <v>0</v>
      </c>
      <c r="H263" s="13" t="n">
        <v>0</v>
      </c>
    </row>
    <row r="264" customFormat="false" ht="15" hidden="false" customHeight="false" outlineLevel="0" collapsed="false">
      <c r="A264" s="13" t="n">
        <v>19</v>
      </c>
      <c r="B264" s="0" t="str">
        <f aca="false">IFERROR(INDEX(Visitas!$B$2:$B$401,MATCH(A264,Visitas!$A$2:$A$401,0)),"")</f>
        <v>CCZ - Centro de Controle de Zoonoses</v>
      </c>
      <c r="C264" s="13" t="s">
        <v>100</v>
      </c>
      <c r="D264" s="0" t="str">
        <f aca="false">IFERROR(INDEX(Itens!$C$2:$C$100,MATCH(C264,Itens!$A$2:$A$100,0)),"")</f>
        <v>Disponibilidade de agendamento de consultas, exames e procedimentos</v>
      </c>
      <c r="E264" s="0" t="str">
        <f aca="false">IFERROR(INDEX(Visitas!$C$2:$C$401,MATCH(A264,Visitas!$A$2:$A$401,0)),"")</f>
        <v>2023</v>
      </c>
      <c r="F264" s="0" t="str">
        <f aca="false">IFERROR(INDEX(Itens!$B$2:$B$100,MATCH(C264,Itens!$A$2:$A$100,0)),"")</f>
        <v>II</v>
      </c>
      <c r="G264" s="13" t="n">
        <v>1</v>
      </c>
      <c r="H264" s="13" t="n">
        <v>0</v>
      </c>
    </row>
    <row r="265" customFormat="false" ht="15" hidden="false" customHeight="false" outlineLevel="0" collapsed="false">
      <c r="A265" s="13" t="n">
        <v>19</v>
      </c>
      <c r="B265" s="0" t="str">
        <f aca="false">IFERROR(INDEX(Visitas!$B$2:$B$401,MATCH(A265,Visitas!$A$2:$A$401,0)),"")</f>
        <v>CCZ - Centro de Controle de Zoonoses</v>
      </c>
      <c r="C265" s="13" t="s">
        <v>104</v>
      </c>
      <c r="D265" s="0" t="str">
        <f aca="false">IFERROR(INDEX(Itens!$C$2:$C$100,MATCH(C265,Itens!$A$2:$A$100,0)),"")</f>
        <v>Atendimento aos indicadores do PMS</v>
      </c>
      <c r="E265" s="0" t="str">
        <f aca="false">IFERROR(INDEX(Visitas!$C$2:$C$401,MATCH(A265,Visitas!$A$2:$A$401,0)),"")</f>
        <v>2023</v>
      </c>
      <c r="F265" s="0" t="str">
        <f aca="false">IFERROR(INDEX(Itens!$B$2:$B$100,MATCH(C265,Itens!$A$2:$A$100,0)),"")</f>
        <v>III</v>
      </c>
      <c r="G265" s="13" t="n">
        <v>1</v>
      </c>
      <c r="H265" s="13" t="n">
        <v>0</v>
      </c>
    </row>
    <row r="266" customFormat="false" ht="15" hidden="false" customHeight="false" outlineLevel="0" collapsed="false">
      <c r="A266" s="13" t="n">
        <v>19</v>
      </c>
      <c r="B266" s="0" t="str">
        <f aca="false">IFERROR(INDEX(Visitas!$B$2:$B$401,MATCH(A266,Visitas!$A$2:$A$401,0)),"")</f>
        <v>CCZ - Centro de Controle de Zoonoses</v>
      </c>
      <c r="C266" s="13" t="s">
        <v>109</v>
      </c>
      <c r="D266" s="0" t="str">
        <f aca="false">IFERROR(INDEX(Itens!$C$2:$C$100,MATCH(C266,Itens!$A$2:$A$100,0)),"")</f>
        <v>Registro de reclamações na Ouvidoria do COMSAUDE</v>
      </c>
      <c r="E266" s="0" t="str">
        <f aca="false">IFERROR(INDEX(Visitas!$C$2:$C$401,MATCH(A266,Visitas!$A$2:$A$401,0)),"")</f>
        <v>2023</v>
      </c>
      <c r="F266" s="0" t="str">
        <f aca="false">IFERROR(INDEX(Itens!$B$2:$B$100,MATCH(C266,Itens!$A$2:$A$100,0)),"")</f>
        <v>IV</v>
      </c>
      <c r="G266" s="13" t="n">
        <v>2</v>
      </c>
      <c r="H266" s="13" t="n">
        <v>0</v>
      </c>
    </row>
    <row r="267" customFormat="false" ht="15" hidden="false" customHeight="false" outlineLevel="0" collapsed="false">
      <c r="A267" s="13" t="n">
        <v>19</v>
      </c>
      <c r="B267" s="0" t="str">
        <f aca="false">IFERROR(INDEX(Visitas!$B$2:$B$401,MATCH(A267,Visitas!$A$2:$A$401,0)),"")</f>
        <v>CCZ - Centro de Controle de Zoonoses</v>
      </c>
      <c r="C267" s="13" t="s">
        <v>113</v>
      </c>
      <c r="D267" s="0" t="str">
        <f aca="false">IFERROR(INDEX(Itens!$C$2:$C$100,MATCH(C267,Itens!$A$2:$A$100,0)),"")</f>
        <v>Satisfação dos usuários</v>
      </c>
      <c r="E267" s="0" t="str">
        <f aca="false">IFERROR(INDEX(Visitas!$C$2:$C$401,MATCH(A267,Visitas!$A$2:$A$401,0)),"")</f>
        <v>2023</v>
      </c>
      <c r="F267" s="0" t="str">
        <f aca="false">IFERROR(INDEX(Itens!$B$2:$B$100,MATCH(C267,Itens!$A$2:$A$100,0)),"")</f>
        <v>IV</v>
      </c>
      <c r="G267" s="13" t="n">
        <v>1</v>
      </c>
      <c r="H267" s="13" t="n">
        <v>0</v>
      </c>
    </row>
    <row r="268" customFormat="false" ht="15" hidden="false" customHeight="false" outlineLevel="0" collapsed="false">
      <c r="A268" s="13" t="n">
        <v>20</v>
      </c>
      <c r="B268" s="0" t="str">
        <f aca="false">IFERROR(INDEX(Visitas!$B$2:$B$401,MATCH(A268,Visitas!$A$2:$A$401,0)),"")</f>
        <v>CTA - Centro de Testagem e Aconselhamento</v>
      </c>
      <c r="C268" s="13" t="s">
        <v>65</v>
      </c>
      <c r="D268" s="0" t="str">
        <f aca="false">IFERROR(INDEX(Itens!$C$2:$C$100,MATCH(C268,Itens!$A$2:$A$100,0)),"")</f>
        <v>Infraestrutura civil</v>
      </c>
      <c r="E268" s="0" t="str">
        <f aca="false">IFERROR(INDEX(Visitas!$C$2:$C$401,MATCH(A268,Visitas!$A$2:$A$401,0)),"")</f>
        <v>2023</v>
      </c>
      <c r="F268" s="0" t="str">
        <f aca="false">IFERROR(INDEX(Itens!$B$2:$B$100,MATCH(C268,Itens!$A$2:$A$100,0)),"")</f>
        <v>I</v>
      </c>
      <c r="G268" s="13" t="n">
        <v>1</v>
      </c>
      <c r="H268" s="13" t="n">
        <v>0</v>
      </c>
    </row>
    <row r="269" customFormat="false" ht="15" hidden="false" customHeight="false" outlineLevel="0" collapsed="false">
      <c r="A269" s="13" t="n">
        <v>20</v>
      </c>
      <c r="B269" s="0" t="str">
        <f aca="false">IFERROR(INDEX(Visitas!$B$2:$B$401,MATCH(A269,Visitas!$A$2:$A$401,0)),"")</f>
        <v>CTA - Centro de Testagem e Aconselhamento</v>
      </c>
      <c r="C269" s="13" t="s">
        <v>70</v>
      </c>
      <c r="D269" s="0" t="str">
        <f aca="false">IFERROR(INDEX(Itens!$C$2:$C$100,MATCH(C269,Itens!$A$2:$A$100,0)),"")</f>
        <v>Infraestrutura elétrica</v>
      </c>
      <c r="E269" s="0" t="str">
        <f aca="false">IFERROR(INDEX(Visitas!$C$2:$C$401,MATCH(A269,Visitas!$A$2:$A$401,0)),"")</f>
        <v>2023</v>
      </c>
      <c r="F269" s="0" t="str">
        <f aca="false">IFERROR(INDEX(Itens!$B$2:$B$100,MATCH(C269,Itens!$A$2:$A$100,0)),"")</f>
        <v>I</v>
      </c>
      <c r="G269" s="13" t="n">
        <v>2</v>
      </c>
      <c r="H269" s="13" t="n">
        <v>0</v>
      </c>
    </row>
    <row r="270" customFormat="false" ht="15" hidden="false" customHeight="false" outlineLevel="0" collapsed="false">
      <c r="A270" s="13" t="n">
        <v>20</v>
      </c>
      <c r="B270" s="0" t="str">
        <f aca="false">IFERROR(INDEX(Visitas!$B$2:$B$401,MATCH(A270,Visitas!$A$2:$A$401,0)),"")</f>
        <v>CTA - Centro de Testagem e Aconselhamento</v>
      </c>
      <c r="C270" s="13" t="s">
        <v>73</v>
      </c>
      <c r="D270" s="0" t="str">
        <f aca="false">IFERROR(INDEX(Itens!$C$2:$C$100,MATCH(C270,Itens!$A$2:$A$100,0)),"")</f>
        <v>Infraestrutura hidráulica</v>
      </c>
      <c r="E270" s="0" t="str">
        <f aca="false">IFERROR(INDEX(Visitas!$C$2:$C$401,MATCH(A270,Visitas!$A$2:$A$401,0)),"")</f>
        <v>2023</v>
      </c>
      <c r="F270" s="0" t="str">
        <f aca="false">IFERROR(INDEX(Itens!$B$2:$B$100,MATCH(C270,Itens!$A$2:$A$100,0)),"")</f>
        <v>I</v>
      </c>
      <c r="G270" s="13" t="n">
        <v>1</v>
      </c>
      <c r="H270" s="13" t="n">
        <v>0</v>
      </c>
    </row>
    <row r="271" customFormat="false" ht="15" hidden="false" customHeight="false" outlineLevel="0" collapsed="false">
      <c r="A271" s="13" t="n">
        <v>20</v>
      </c>
      <c r="B271" s="0" t="str">
        <f aca="false">IFERROR(INDEX(Visitas!$B$2:$B$401,MATCH(A271,Visitas!$A$2:$A$401,0)),"")</f>
        <v>CTA - Centro de Testagem e Aconselhamento</v>
      </c>
      <c r="C271" s="13" t="s">
        <v>76</v>
      </c>
      <c r="D271" s="0" t="str">
        <f aca="false">IFERROR(INDEX(Itens!$C$2:$C$100,MATCH(C271,Itens!$A$2:$A$100,0)),"")</f>
        <v>Infraestrutura de comunicação</v>
      </c>
      <c r="E271" s="0" t="str">
        <f aca="false">IFERROR(INDEX(Visitas!$C$2:$C$401,MATCH(A271,Visitas!$A$2:$A$401,0)),"")</f>
        <v>2023</v>
      </c>
      <c r="F271" s="0" t="str">
        <f aca="false">IFERROR(INDEX(Itens!$B$2:$B$100,MATCH(C271,Itens!$A$2:$A$100,0)),"")</f>
        <v>I</v>
      </c>
      <c r="G271" s="13" t="n">
        <v>2</v>
      </c>
      <c r="H271" s="13" t="n">
        <v>0</v>
      </c>
    </row>
    <row r="272" customFormat="false" ht="15" hidden="false" customHeight="false" outlineLevel="0" collapsed="false">
      <c r="A272" s="13" t="n">
        <v>20</v>
      </c>
      <c r="B272" s="0" t="str">
        <f aca="false">IFERROR(INDEX(Visitas!$B$2:$B$401,MATCH(A272,Visitas!$A$2:$A$401,0)),"")</f>
        <v>CTA - Centro de Testagem e Aconselhamento</v>
      </c>
      <c r="C272" s="13" t="s">
        <v>79</v>
      </c>
      <c r="D272" s="0" t="str">
        <f aca="false">IFERROR(INDEX(Itens!$C$2:$C$100,MATCH(C272,Itens!$A$2:$A$100,0)),"")</f>
        <v>Equipamentos</v>
      </c>
      <c r="E272" s="0" t="str">
        <f aca="false">IFERROR(INDEX(Visitas!$C$2:$C$401,MATCH(A272,Visitas!$A$2:$A$401,0)),"")</f>
        <v>2023</v>
      </c>
      <c r="F272" s="0" t="str">
        <f aca="false">IFERROR(INDEX(Itens!$B$2:$B$100,MATCH(C272,Itens!$A$2:$A$100,0)),"")</f>
        <v>I</v>
      </c>
      <c r="G272" s="13" t="n">
        <v>2</v>
      </c>
      <c r="H272" s="13" t="n">
        <v>0</v>
      </c>
    </row>
    <row r="273" customFormat="false" ht="15" hidden="false" customHeight="false" outlineLevel="0" collapsed="false">
      <c r="A273" s="13" t="n">
        <v>20</v>
      </c>
      <c r="B273" s="0" t="str">
        <f aca="false">IFERROR(INDEX(Visitas!$B$2:$B$401,MATCH(A273,Visitas!$A$2:$A$401,0)),"")</f>
        <v>CTA - Centro de Testagem e Aconselhamento</v>
      </c>
      <c r="C273" s="13" t="s">
        <v>82</v>
      </c>
      <c r="D273" s="0" t="str">
        <f aca="false">IFERROR(INDEX(Itens!$C$2:$C$100,MATCH(C273,Itens!$A$2:$A$100,0)),"")</f>
        <v>Materiais, medicamentos e insumos</v>
      </c>
      <c r="E273" s="0" t="str">
        <f aca="false">IFERROR(INDEX(Visitas!$C$2:$C$401,MATCH(A273,Visitas!$A$2:$A$401,0)),"")</f>
        <v>2023</v>
      </c>
      <c r="F273" s="0" t="str">
        <f aca="false">IFERROR(INDEX(Itens!$B$2:$B$100,MATCH(C273,Itens!$A$2:$A$100,0)),"")</f>
        <v>I</v>
      </c>
      <c r="G273" s="13" t="n">
        <v>2</v>
      </c>
      <c r="H273" s="13" t="n">
        <v>0</v>
      </c>
    </row>
    <row r="274" customFormat="false" ht="15" hidden="false" customHeight="false" outlineLevel="0" collapsed="false">
      <c r="A274" s="13" t="n">
        <v>20</v>
      </c>
      <c r="B274" s="0" t="str">
        <f aca="false">IFERROR(INDEX(Visitas!$B$2:$B$401,MATCH(A274,Visitas!$A$2:$A$401,0)),"")</f>
        <v>CTA - Centro de Testagem e Aconselhamento</v>
      </c>
      <c r="C274" s="13" t="s">
        <v>85</v>
      </c>
      <c r="D274" s="0" t="str">
        <f aca="false">IFERROR(INDEX(Itens!$C$2:$C$100,MATCH(C274,Itens!$A$2:$A$100,0)),"")</f>
        <v>Conforto, limpeza e organização</v>
      </c>
      <c r="E274" s="0" t="str">
        <f aca="false">IFERROR(INDEX(Visitas!$C$2:$C$401,MATCH(A274,Visitas!$A$2:$A$401,0)),"")</f>
        <v>2023</v>
      </c>
      <c r="F274" s="0" t="str">
        <f aca="false">IFERROR(INDEX(Itens!$B$2:$B$100,MATCH(C274,Itens!$A$2:$A$100,0)),"")</f>
        <v>I</v>
      </c>
      <c r="G274" s="13" t="n">
        <v>2</v>
      </c>
      <c r="H274" s="13" t="n">
        <v>0</v>
      </c>
    </row>
    <row r="275" customFormat="false" ht="15" hidden="false" customHeight="false" outlineLevel="0" collapsed="false">
      <c r="A275" s="13" t="n">
        <v>20</v>
      </c>
      <c r="B275" s="0" t="str">
        <f aca="false">IFERROR(INDEX(Visitas!$B$2:$B$401,MATCH(A275,Visitas!$A$2:$A$401,0)),"")</f>
        <v>CTA - Centro de Testagem e Aconselhamento</v>
      </c>
      <c r="C275" s="13" t="s">
        <v>88</v>
      </c>
      <c r="D275" s="0" t="str">
        <f aca="false">IFERROR(INDEX(Itens!$C$2:$C$100,MATCH(C275,Itens!$A$2:$A$100,0)),"")</f>
        <v>Utilização de indicadores de gestão</v>
      </c>
      <c r="E275" s="0" t="str">
        <f aca="false">IFERROR(INDEX(Visitas!$C$2:$C$401,MATCH(A275,Visitas!$A$2:$A$401,0)),"")</f>
        <v>2023</v>
      </c>
      <c r="F275" s="0" t="str">
        <f aca="false">IFERROR(INDEX(Itens!$B$2:$B$100,MATCH(C275,Itens!$A$2:$A$100,0)),"")</f>
        <v>II</v>
      </c>
      <c r="G275" s="13" t="n">
        <v>1</v>
      </c>
      <c r="H275" s="13" t="n">
        <v>0</v>
      </c>
    </row>
    <row r="276" customFormat="false" ht="15" hidden="false" customHeight="false" outlineLevel="0" collapsed="false">
      <c r="A276" s="13" t="n">
        <v>20</v>
      </c>
      <c r="B276" s="0" t="str">
        <f aca="false">IFERROR(INDEX(Visitas!$B$2:$B$401,MATCH(A276,Visitas!$A$2:$A$401,0)),"")</f>
        <v>CTA - Centro de Testagem e Aconselhamento</v>
      </c>
      <c r="C276" s="13" t="s">
        <v>92</v>
      </c>
      <c r="D276" s="0" t="str">
        <f aca="false">IFERROR(INDEX(Itens!$C$2:$C$100,MATCH(C276,Itens!$A$2:$A$100,0)),"")</f>
        <v>Dimensionamento de equipe</v>
      </c>
      <c r="E276" s="0" t="str">
        <f aca="false">IFERROR(INDEX(Visitas!$C$2:$C$401,MATCH(A276,Visitas!$A$2:$A$401,0)),"")</f>
        <v>2023</v>
      </c>
      <c r="F276" s="0" t="str">
        <f aca="false">IFERROR(INDEX(Itens!$B$2:$B$100,MATCH(C276,Itens!$A$2:$A$100,0)),"")</f>
        <v>II</v>
      </c>
      <c r="G276" s="13" t="n">
        <v>2</v>
      </c>
      <c r="H276" s="13" t="n">
        <v>0</v>
      </c>
    </row>
    <row r="277" customFormat="false" ht="15" hidden="false" customHeight="false" outlineLevel="0" collapsed="false">
      <c r="A277" s="13" t="n">
        <v>20</v>
      </c>
      <c r="B277" s="0" t="str">
        <f aca="false">IFERROR(INDEX(Visitas!$B$2:$B$401,MATCH(A277,Visitas!$A$2:$A$401,0)),"")</f>
        <v>CTA - Centro de Testagem e Aconselhamento</v>
      </c>
      <c r="C277" s="13" t="s">
        <v>96</v>
      </c>
      <c r="D277" s="0" t="str">
        <f aca="false">IFERROR(INDEX(Itens!$C$2:$C$100,MATCH(C277,Itens!$A$2:$A$100,0)),"")</f>
        <v>Execução do cronograma de capacitação da equipe de trabalho</v>
      </c>
      <c r="E277" s="0" t="str">
        <f aca="false">IFERROR(INDEX(Visitas!$C$2:$C$401,MATCH(A277,Visitas!$A$2:$A$401,0)),"")</f>
        <v>2023</v>
      </c>
      <c r="F277" s="0" t="str">
        <f aca="false">IFERROR(INDEX(Itens!$B$2:$B$100,MATCH(C277,Itens!$A$2:$A$100,0)),"")</f>
        <v>II</v>
      </c>
      <c r="G277" s="13" t="n">
        <v>1</v>
      </c>
      <c r="H277" s="13" t="n">
        <v>0</v>
      </c>
    </row>
    <row r="278" customFormat="false" ht="15" hidden="false" customHeight="false" outlineLevel="0" collapsed="false">
      <c r="A278" s="13" t="n">
        <v>20</v>
      </c>
      <c r="B278" s="0" t="str">
        <f aca="false">IFERROR(INDEX(Visitas!$B$2:$B$401,MATCH(A278,Visitas!$A$2:$A$401,0)),"")</f>
        <v>CTA - Centro de Testagem e Aconselhamento</v>
      </c>
      <c r="C278" s="13" t="s">
        <v>100</v>
      </c>
      <c r="D278" s="0" t="str">
        <f aca="false">IFERROR(INDEX(Itens!$C$2:$C$100,MATCH(C278,Itens!$A$2:$A$100,0)),"")</f>
        <v>Disponibilidade de agendamento de consultas, exames e procedimentos</v>
      </c>
      <c r="E278" s="0" t="str">
        <f aca="false">IFERROR(INDEX(Visitas!$C$2:$C$401,MATCH(A278,Visitas!$A$2:$A$401,0)),"")</f>
        <v>2023</v>
      </c>
      <c r="F278" s="0" t="str">
        <f aca="false">IFERROR(INDEX(Itens!$B$2:$B$100,MATCH(C278,Itens!$A$2:$A$100,0)),"")</f>
        <v>II</v>
      </c>
      <c r="G278" s="13" t="n">
        <v>2</v>
      </c>
      <c r="H278" s="13" t="n">
        <v>0</v>
      </c>
    </row>
    <row r="279" customFormat="false" ht="15" hidden="false" customHeight="false" outlineLevel="0" collapsed="false">
      <c r="A279" s="13" t="n">
        <v>20</v>
      </c>
      <c r="B279" s="0" t="str">
        <f aca="false">IFERROR(INDEX(Visitas!$B$2:$B$401,MATCH(A279,Visitas!$A$2:$A$401,0)),"")</f>
        <v>CTA - Centro de Testagem e Aconselhamento</v>
      </c>
      <c r="C279" s="13" t="s">
        <v>104</v>
      </c>
      <c r="D279" s="0" t="str">
        <f aca="false">IFERROR(INDEX(Itens!$C$2:$C$100,MATCH(C279,Itens!$A$2:$A$100,0)),"")</f>
        <v>Atendimento aos indicadores do PMS</v>
      </c>
      <c r="E279" s="0" t="str">
        <f aca="false">IFERROR(INDEX(Visitas!$C$2:$C$401,MATCH(A279,Visitas!$A$2:$A$401,0)),"")</f>
        <v>2023</v>
      </c>
      <c r="F279" s="0" t="str">
        <f aca="false">IFERROR(INDEX(Itens!$B$2:$B$100,MATCH(C279,Itens!$A$2:$A$100,0)),"")</f>
        <v>III</v>
      </c>
      <c r="G279" s="13" t="n">
        <v>1</v>
      </c>
      <c r="H279" s="13" t="n">
        <v>0</v>
      </c>
    </row>
    <row r="280" customFormat="false" ht="15" hidden="false" customHeight="false" outlineLevel="0" collapsed="false">
      <c r="A280" s="13" t="n">
        <v>20</v>
      </c>
      <c r="B280" s="0" t="str">
        <f aca="false">IFERROR(INDEX(Visitas!$B$2:$B$401,MATCH(A280,Visitas!$A$2:$A$401,0)),"")</f>
        <v>CTA - Centro de Testagem e Aconselhamento</v>
      </c>
      <c r="C280" s="13" t="s">
        <v>109</v>
      </c>
      <c r="D280" s="0" t="str">
        <f aca="false">IFERROR(INDEX(Itens!$C$2:$C$100,MATCH(C280,Itens!$A$2:$A$100,0)),"")</f>
        <v>Registro de reclamações na Ouvidoria do COMSAUDE</v>
      </c>
      <c r="E280" s="0" t="str">
        <f aca="false">IFERROR(INDEX(Visitas!$C$2:$C$401,MATCH(A280,Visitas!$A$2:$A$401,0)),"")</f>
        <v>2023</v>
      </c>
      <c r="F280" s="0" t="str">
        <f aca="false">IFERROR(INDEX(Itens!$B$2:$B$100,MATCH(C280,Itens!$A$2:$A$100,0)),"")</f>
        <v>IV</v>
      </c>
      <c r="G280" s="13" t="n">
        <v>2</v>
      </c>
      <c r="H280" s="13" t="n">
        <v>0</v>
      </c>
    </row>
    <row r="281" customFormat="false" ht="15" hidden="false" customHeight="false" outlineLevel="0" collapsed="false">
      <c r="A281" s="13" t="n">
        <v>20</v>
      </c>
      <c r="B281" s="0" t="str">
        <f aca="false">IFERROR(INDEX(Visitas!$B$2:$B$401,MATCH(A281,Visitas!$A$2:$A$401,0)),"")</f>
        <v>CTA - Centro de Testagem e Aconselhamento</v>
      </c>
      <c r="C281" s="13" t="s">
        <v>113</v>
      </c>
      <c r="D281" s="0" t="str">
        <f aca="false">IFERROR(INDEX(Itens!$C$2:$C$100,MATCH(C281,Itens!$A$2:$A$100,0)),"")</f>
        <v>Satisfação dos usuários</v>
      </c>
      <c r="E281" s="0" t="str">
        <f aca="false">IFERROR(INDEX(Visitas!$C$2:$C$401,MATCH(A281,Visitas!$A$2:$A$401,0)),"")</f>
        <v>2023</v>
      </c>
      <c r="F281" s="0" t="str">
        <f aca="false">IFERROR(INDEX(Itens!$B$2:$B$100,MATCH(C281,Itens!$A$2:$A$100,0)),"")</f>
        <v>IV</v>
      </c>
      <c r="G281" s="13" t="n">
        <v>2</v>
      </c>
      <c r="H281" s="13" t="n">
        <v>0</v>
      </c>
    </row>
    <row r="282" customFormat="false" ht="15" hidden="false" customHeight="false" outlineLevel="0" collapsed="false">
      <c r="A282" s="13" t="n">
        <v>21</v>
      </c>
      <c r="B282" s="0" t="str">
        <f aca="false">IFERROR(INDEX(Visitas!$B$2:$B$401,MATCH(A282,Visitas!$A$2:$A$401,0)),"")</f>
        <v>UAD - Unidade de Atendimento Domiciliar</v>
      </c>
      <c r="C282" s="13" t="s">
        <v>65</v>
      </c>
      <c r="D282" s="0" t="str">
        <f aca="false">IFERROR(INDEX(Itens!$C$2:$C$100,MATCH(C282,Itens!$A$2:$A$100,0)),"")</f>
        <v>Infraestrutura civil</v>
      </c>
      <c r="E282" s="0" t="str">
        <f aca="false">IFERROR(INDEX(Visitas!$C$2:$C$401,MATCH(A282,Visitas!$A$2:$A$401,0)),"")</f>
        <v>2026</v>
      </c>
      <c r="F282" s="0" t="str">
        <f aca="false">IFERROR(INDEX(Itens!$B$2:$B$100,MATCH(C282,Itens!$A$2:$A$100,0)),"")</f>
        <v>I</v>
      </c>
      <c r="G282" s="13" t="n">
        <v>2</v>
      </c>
      <c r="H282" s="13" t="n">
        <v>0</v>
      </c>
    </row>
    <row r="283" customFormat="false" ht="15" hidden="false" customHeight="false" outlineLevel="0" collapsed="false">
      <c r="A283" s="13" t="n">
        <v>21</v>
      </c>
      <c r="B283" s="0" t="str">
        <f aca="false">IFERROR(INDEX(Visitas!$B$2:$B$401,MATCH(A283,Visitas!$A$2:$A$401,0)),"")</f>
        <v>UAD - Unidade de Atendimento Domiciliar</v>
      </c>
      <c r="C283" s="13" t="s">
        <v>70</v>
      </c>
      <c r="D283" s="0" t="str">
        <f aca="false">IFERROR(INDEX(Itens!$C$2:$C$100,MATCH(C283,Itens!$A$2:$A$100,0)),"")</f>
        <v>Infraestrutura elétrica</v>
      </c>
      <c r="E283" s="0" t="str">
        <f aca="false">IFERROR(INDEX(Visitas!$C$2:$C$401,MATCH(A283,Visitas!$A$2:$A$401,0)),"")</f>
        <v>2026</v>
      </c>
      <c r="F283" s="0" t="str">
        <f aca="false">IFERROR(INDEX(Itens!$B$2:$B$100,MATCH(C283,Itens!$A$2:$A$100,0)),"")</f>
        <v>I</v>
      </c>
      <c r="G283" s="13" t="n">
        <v>2</v>
      </c>
      <c r="H283" s="13" t="n">
        <v>0</v>
      </c>
    </row>
    <row r="284" customFormat="false" ht="15" hidden="false" customHeight="false" outlineLevel="0" collapsed="false">
      <c r="A284" s="13" t="n">
        <v>21</v>
      </c>
      <c r="B284" s="0" t="str">
        <f aca="false">IFERROR(INDEX(Visitas!$B$2:$B$401,MATCH(A284,Visitas!$A$2:$A$401,0)),"")</f>
        <v>UAD - Unidade de Atendimento Domiciliar</v>
      </c>
      <c r="C284" s="13" t="s">
        <v>73</v>
      </c>
      <c r="D284" s="0" t="str">
        <f aca="false">IFERROR(INDEX(Itens!$C$2:$C$100,MATCH(C284,Itens!$A$2:$A$100,0)),"")</f>
        <v>Infraestrutura hidráulica</v>
      </c>
      <c r="E284" s="0" t="str">
        <f aca="false">IFERROR(INDEX(Visitas!$C$2:$C$401,MATCH(A284,Visitas!$A$2:$A$401,0)),"")</f>
        <v>2026</v>
      </c>
      <c r="F284" s="0" t="str">
        <f aca="false">IFERROR(INDEX(Itens!$B$2:$B$100,MATCH(C284,Itens!$A$2:$A$100,0)),"")</f>
        <v>I</v>
      </c>
      <c r="G284" s="13" t="n">
        <v>2</v>
      </c>
      <c r="H284" s="13" t="n">
        <v>0</v>
      </c>
    </row>
    <row r="285" customFormat="false" ht="15" hidden="false" customHeight="false" outlineLevel="0" collapsed="false">
      <c r="A285" s="13" t="n">
        <v>21</v>
      </c>
      <c r="B285" s="0" t="str">
        <f aca="false">IFERROR(INDEX(Visitas!$B$2:$B$401,MATCH(A285,Visitas!$A$2:$A$401,0)),"")</f>
        <v>UAD - Unidade de Atendimento Domiciliar</v>
      </c>
      <c r="C285" s="13" t="s">
        <v>76</v>
      </c>
      <c r="D285" s="0" t="str">
        <f aca="false">IFERROR(INDEX(Itens!$C$2:$C$100,MATCH(C285,Itens!$A$2:$A$100,0)),"")</f>
        <v>Infraestrutura de comunicação</v>
      </c>
      <c r="E285" s="0" t="str">
        <f aca="false">IFERROR(INDEX(Visitas!$C$2:$C$401,MATCH(A285,Visitas!$A$2:$A$401,0)),"")</f>
        <v>2026</v>
      </c>
      <c r="F285" s="0" t="str">
        <f aca="false">IFERROR(INDEX(Itens!$B$2:$B$100,MATCH(C285,Itens!$A$2:$A$100,0)),"")</f>
        <v>I</v>
      </c>
      <c r="G285" s="13" t="n">
        <v>2</v>
      </c>
      <c r="H285" s="13" t="n">
        <v>0</v>
      </c>
    </row>
    <row r="286" customFormat="false" ht="15" hidden="false" customHeight="false" outlineLevel="0" collapsed="false">
      <c r="A286" s="13" t="n">
        <v>21</v>
      </c>
      <c r="B286" s="0" t="str">
        <f aca="false">IFERROR(INDEX(Visitas!$B$2:$B$401,MATCH(A286,Visitas!$A$2:$A$401,0)),"")</f>
        <v>UAD - Unidade de Atendimento Domiciliar</v>
      </c>
      <c r="C286" s="13" t="s">
        <v>79</v>
      </c>
      <c r="D286" s="0" t="str">
        <f aca="false">IFERROR(INDEX(Itens!$C$2:$C$100,MATCH(C286,Itens!$A$2:$A$100,0)),"")</f>
        <v>Equipamentos</v>
      </c>
      <c r="E286" s="0" t="str">
        <f aca="false">IFERROR(INDEX(Visitas!$C$2:$C$401,MATCH(A286,Visitas!$A$2:$A$401,0)),"")</f>
        <v>2026</v>
      </c>
      <c r="F286" s="0" t="str">
        <f aca="false">IFERROR(INDEX(Itens!$B$2:$B$100,MATCH(C286,Itens!$A$2:$A$100,0)),"")</f>
        <v>I</v>
      </c>
      <c r="G286" s="13" t="n">
        <v>2</v>
      </c>
      <c r="H286" s="13" t="n">
        <v>0</v>
      </c>
    </row>
    <row r="287" customFormat="false" ht="15" hidden="false" customHeight="false" outlineLevel="0" collapsed="false">
      <c r="A287" s="13" t="n">
        <v>21</v>
      </c>
      <c r="B287" s="0" t="str">
        <f aca="false">IFERROR(INDEX(Visitas!$B$2:$B$401,MATCH(A287,Visitas!$A$2:$A$401,0)),"")</f>
        <v>UAD - Unidade de Atendimento Domiciliar</v>
      </c>
      <c r="C287" s="13" t="s">
        <v>82</v>
      </c>
      <c r="D287" s="0" t="str">
        <f aca="false">IFERROR(INDEX(Itens!$C$2:$C$100,MATCH(C287,Itens!$A$2:$A$100,0)),"")</f>
        <v>Materiais, medicamentos e insumos</v>
      </c>
      <c r="E287" s="0" t="str">
        <f aca="false">IFERROR(INDEX(Visitas!$C$2:$C$401,MATCH(A287,Visitas!$A$2:$A$401,0)),"")</f>
        <v>2026</v>
      </c>
      <c r="F287" s="0" t="str">
        <f aca="false">IFERROR(INDEX(Itens!$B$2:$B$100,MATCH(C287,Itens!$A$2:$A$100,0)),"")</f>
        <v>I</v>
      </c>
      <c r="G287" s="13" t="n">
        <v>2</v>
      </c>
      <c r="H287" s="13" t="n">
        <v>0</v>
      </c>
    </row>
    <row r="288" customFormat="false" ht="15" hidden="false" customHeight="false" outlineLevel="0" collapsed="false">
      <c r="A288" s="13" t="n">
        <v>21</v>
      </c>
      <c r="B288" s="0" t="str">
        <f aca="false">IFERROR(INDEX(Visitas!$B$2:$B$401,MATCH(A288,Visitas!$A$2:$A$401,0)),"")</f>
        <v>UAD - Unidade de Atendimento Domiciliar</v>
      </c>
      <c r="C288" s="13" t="s">
        <v>85</v>
      </c>
      <c r="D288" s="0" t="str">
        <f aca="false">IFERROR(INDEX(Itens!$C$2:$C$100,MATCH(C288,Itens!$A$2:$A$100,0)),"")</f>
        <v>Conforto, limpeza e organização</v>
      </c>
      <c r="E288" s="0" t="str">
        <f aca="false">IFERROR(INDEX(Visitas!$C$2:$C$401,MATCH(A288,Visitas!$A$2:$A$401,0)),"")</f>
        <v>2026</v>
      </c>
      <c r="F288" s="0" t="str">
        <f aca="false">IFERROR(INDEX(Itens!$B$2:$B$100,MATCH(C288,Itens!$A$2:$A$100,0)),"")</f>
        <v>I</v>
      </c>
      <c r="G288" s="13" t="n">
        <v>2</v>
      </c>
      <c r="H288" s="13" t="n">
        <v>0</v>
      </c>
    </row>
    <row r="289" customFormat="false" ht="15" hidden="false" customHeight="false" outlineLevel="0" collapsed="false">
      <c r="A289" s="13" t="n">
        <v>21</v>
      </c>
      <c r="B289" s="0" t="str">
        <f aca="false">IFERROR(INDEX(Visitas!$B$2:$B$401,MATCH(A289,Visitas!$A$2:$A$401,0)),"")</f>
        <v>UAD - Unidade de Atendimento Domiciliar</v>
      </c>
      <c r="C289" s="13" t="s">
        <v>88</v>
      </c>
      <c r="D289" s="0" t="str">
        <f aca="false">IFERROR(INDEX(Itens!$C$2:$C$100,MATCH(C289,Itens!$A$2:$A$100,0)),"")</f>
        <v>Utilização de indicadores de gestão</v>
      </c>
      <c r="E289" s="0" t="str">
        <f aca="false">IFERROR(INDEX(Visitas!$C$2:$C$401,MATCH(A289,Visitas!$A$2:$A$401,0)),"")</f>
        <v>2026</v>
      </c>
      <c r="F289" s="0" t="str">
        <f aca="false">IFERROR(INDEX(Itens!$B$2:$B$100,MATCH(C289,Itens!$A$2:$A$100,0)),"")</f>
        <v>II</v>
      </c>
      <c r="G289" s="13" t="n">
        <v>2</v>
      </c>
      <c r="H289" s="13" t="n">
        <v>0</v>
      </c>
    </row>
    <row r="290" customFormat="false" ht="15" hidden="false" customHeight="false" outlineLevel="0" collapsed="false">
      <c r="A290" s="13" t="n">
        <v>21</v>
      </c>
      <c r="B290" s="0" t="str">
        <f aca="false">IFERROR(INDEX(Visitas!$B$2:$B$401,MATCH(A290,Visitas!$A$2:$A$401,0)),"")</f>
        <v>UAD - Unidade de Atendimento Domiciliar</v>
      </c>
      <c r="C290" s="13" t="s">
        <v>92</v>
      </c>
      <c r="D290" s="0" t="str">
        <f aca="false">IFERROR(INDEX(Itens!$C$2:$C$100,MATCH(C290,Itens!$A$2:$A$100,0)),"")</f>
        <v>Dimensionamento de equipe</v>
      </c>
      <c r="E290" s="0" t="str">
        <f aca="false">IFERROR(INDEX(Visitas!$C$2:$C$401,MATCH(A290,Visitas!$A$2:$A$401,0)),"")</f>
        <v>2026</v>
      </c>
      <c r="F290" s="0" t="str">
        <f aca="false">IFERROR(INDEX(Itens!$B$2:$B$100,MATCH(C290,Itens!$A$2:$A$100,0)),"")</f>
        <v>II</v>
      </c>
      <c r="G290" s="13" t="n">
        <v>2</v>
      </c>
      <c r="H290" s="13" t="n">
        <v>0</v>
      </c>
    </row>
    <row r="291" customFormat="false" ht="15" hidden="false" customHeight="false" outlineLevel="0" collapsed="false">
      <c r="A291" s="13" t="n">
        <v>21</v>
      </c>
      <c r="B291" s="0" t="str">
        <f aca="false">IFERROR(INDEX(Visitas!$B$2:$B$401,MATCH(A291,Visitas!$A$2:$A$401,0)),"")</f>
        <v>UAD - Unidade de Atendimento Domiciliar</v>
      </c>
      <c r="C291" s="13" t="s">
        <v>96</v>
      </c>
      <c r="D291" s="0" t="str">
        <f aca="false">IFERROR(INDEX(Itens!$C$2:$C$100,MATCH(C291,Itens!$A$2:$A$100,0)),"")</f>
        <v>Execução do cronograma de capacitação da equipe de trabalho</v>
      </c>
      <c r="E291" s="0" t="str">
        <f aca="false">IFERROR(INDEX(Visitas!$C$2:$C$401,MATCH(A291,Visitas!$A$2:$A$401,0)),"")</f>
        <v>2026</v>
      </c>
      <c r="F291" s="0" t="str">
        <f aca="false">IFERROR(INDEX(Itens!$B$2:$B$100,MATCH(C291,Itens!$A$2:$A$100,0)),"")</f>
        <v>II</v>
      </c>
      <c r="G291" s="13" t="n">
        <v>2</v>
      </c>
      <c r="H291" s="13" t="n">
        <v>0</v>
      </c>
    </row>
    <row r="292" customFormat="false" ht="15" hidden="false" customHeight="false" outlineLevel="0" collapsed="false">
      <c r="A292" s="13" t="n">
        <v>21</v>
      </c>
      <c r="B292" s="0" t="str">
        <f aca="false">IFERROR(INDEX(Visitas!$B$2:$B$401,MATCH(A292,Visitas!$A$2:$A$401,0)),"")</f>
        <v>UAD - Unidade de Atendimento Domiciliar</v>
      </c>
      <c r="C292" s="13" t="s">
        <v>100</v>
      </c>
      <c r="D292" s="0" t="str">
        <f aca="false">IFERROR(INDEX(Itens!$C$2:$C$100,MATCH(C292,Itens!$A$2:$A$100,0)),"")</f>
        <v>Disponibilidade de agendamento de consultas, exames e procedimentos</v>
      </c>
      <c r="E292" s="0" t="str">
        <f aca="false">IFERROR(INDEX(Visitas!$C$2:$C$401,MATCH(A292,Visitas!$A$2:$A$401,0)),"")</f>
        <v>2026</v>
      </c>
      <c r="F292" s="0" t="str">
        <f aca="false">IFERROR(INDEX(Itens!$B$2:$B$100,MATCH(C292,Itens!$A$2:$A$100,0)),"")</f>
        <v>II</v>
      </c>
      <c r="G292" s="13" t="n">
        <v>2</v>
      </c>
      <c r="H292" s="13" t="n">
        <v>0</v>
      </c>
    </row>
    <row r="293" customFormat="false" ht="15" hidden="false" customHeight="false" outlineLevel="0" collapsed="false">
      <c r="A293" s="13" t="n">
        <v>21</v>
      </c>
      <c r="B293" s="0" t="str">
        <f aca="false">IFERROR(INDEX(Visitas!$B$2:$B$401,MATCH(A293,Visitas!$A$2:$A$401,0)),"")</f>
        <v>UAD - Unidade de Atendimento Domiciliar</v>
      </c>
      <c r="C293" s="13" t="s">
        <v>104</v>
      </c>
      <c r="D293" s="0" t="str">
        <f aca="false">IFERROR(INDEX(Itens!$C$2:$C$100,MATCH(C293,Itens!$A$2:$A$100,0)),"")</f>
        <v>Atendimento aos indicadores do PMS</v>
      </c>
      <c r="E293" s="0" t="str">
        <f aca="false">IFERROR(INDEX(Visitas!$C$2:$C$401,MATCH(A293,Visitas!$A$2:$A$401,0)),"")</f>
        <v>2026</v>
      </c>
      <c r="F293" s="0" t="str">
        <f aca="false">IFERROR(INDEX(Itens!$B$2:$B$100,MATCH(C293,Itens!$A$2:$A$100,0)),"")</f>
        <v>III</v>
      </c>
      <c r="G293" s="13" t="n">
        <v>2</v>
      </c>
      <c r="H293" s="13" t="n">
        <v>0</v>
      </c>
    </row>
    <row r="294" customFormat="false" ht="15" hidden="false" customHeight="false" outlineLevel="0" collapsed="false">
      <c r="A294" s="13" t="n">
        <v>21</v>
      </c>
      <c r="B294" s="0" t="str">
        <f aca="false">IFERROR(INDEX(Visitas!$B$2:$B$401,MATCH(A294,Visitas!$A$2:$A$401,0)),"")</f>
        <v>UAD - Unidade de Atendimento Domiciliar</v>
      </c>
      <c r="C294" s="13" t="s">
        <v>109</v>
      </c>
      <c r="D294" s="0" t="str">
        <f aca="false">IFERROR(INDEX(Itens!$C$2:$C$100,MATCH(C294,Itens!$A$2:$A$100,0)),"")</f>
        <v>Registro de reclamações na Ouvidoria do COMSAUDE</v>
      </c>
      <c r="E294" s="0" t="str">
        <f aca="false">IFERROR(INDEX(Visitas!$C$2:$C$401,MATCH(A294,Visitas!$A$2:$A$401,0)),"")</f>
        <v>2026</v>
      </c>
      <c r="F294" s="0" t="str">
        <f aca="false">IFERROR(INDEX(Itens!$B$2:$B$100,MATCH(C294,Itens!$A$2:$A$100,0)),"")</f>
        <v>IV</v>
      </c>
      <c r="G294" s="13"/>
      <c r="H294" s="13" t="n">
        <v>1</v>
      </c>
    </row>
    <row r="295" customFormat="false" ht="15" hidden="false" customHeight="false" outlineLevel="0" collapsed="false">
      <c r="A295" s="13" t="n">
        <v>21</v>
      </c>
      <c r="B295" s="0" t="str">
        <f aca="false">IFERROR(INDEX(Visitas!$B$2:$B$401,MATCH(A295,Visitas!$A$2:$A$401,0)),"")</f>
        <v>UAD - Unidade de Atendimento Domiciliar</v>
      </c>
      <c r="C295" s="13" t="s">
        <v>113</v>
      </c>
      <c r="D295" s="0" t="str">
        <f aca="false">IFERROR(INDEX(Itens!$C$2:$C$100,MATCH(C295,Itens!$A$2:$A$100,0)),"")</f>
        <v>Satisfação dos usuários</v>
      </c>
      <c r="E295" s="0" t="str">
        <f aca="false">IFERROR(INDEX(Visitas!$C$2:$C$401,MATCH(A295,Visitas!$A$2:$A$401,0)),"")</f>
        <v>2026</v>
      </c>
      <c r="F295" s="0" t="str">
        <f aca="false">IFERROR(INDEX(Itens!$B$2:$B$100,MATCH(C295,Itens!$A$2:$A$100,0)),"")</f>
        <v>IV</v>
      </c>
      <c r="G295" s="13"/>
      <c r="H295" s="13" t="n">
        <v>1</v>
      </c>
    </row>
    <row r="296" customFormat="false" ht="15" hidden="false" customHeight="false" outlineLevel="0" collapsed="false">
      <c r="A296" s="13" t="n">
        <v>22</v>
      </c>
      <c r="B296" s="0" t="str">
        <f aca="false">IFERROR(INDEX(Visitas!$B$2:$B$401,MATCH(A296,Visitas!$A$2:$A$401,0)),"")</f>
        <v>UBS Jardim São Paulo</v>
      </c>
      <c r="C296" s="13" t="s">
        <v>65</v>
      </c>
      <c r="D296" s="0" t="str">
        <f aca="false">IFERROR(INDEX(Itens!$C$2:$C$100,MATCH(C296,Itens!$A$2:$A$100,0)),"")</f>
        <v>Infraestrutura civil</v>
      </c>
      <c r="E296" s="0" t="str">
        <f aca="false">IFERROR(INDEX(Visitas!$C$2:$C$401,MATCH(A296,Visitas!$A$2:$A$401,0)),"")</f>
        <v>2026</v>
      </c>
      <c r="F296" s="0" t="str">
        <f aca="false">IFERROR(INDEX(Itens!$B$2:$B$100,MATCH(C296,Itens!$A$2:$A$100,0)),"")</f>
        <v>I</v>
      </c>
      <c r="G296" s="13" t="n">
        <v>1</v>
      </c>
      <c r="H296" s="13" t="n">
        <v>0</v>
      </c>
    </row>
    <row r="297" customFormat="false" ht="15" hidden="false" customHeight="false" outlineLevel="0" collapsed="false">
      <c r="A297" s="13" t="n">
        <v>22</v>
      </c>
      <c r="B297" s="0" t="str">
        <f aca="false">IFERROR(INDEX(Visitas!$B$2:$B$401,MATCH(A297,Visitas!$A$2:$A$401,0)),"")</f>
        <v>UBS Jardim São Paulo</v>
      </c>
      <c r="C297" s="13" t="s">
        <v>70</v>
      </c>
      <c r="D297" s="0" t="str">
        <f aca="false">IFERROR(INDEX(Itens!$C$2:$C$100,MATCH(C297,Itens!$A$2:$A$100,0)),"")</f>
        <v>Infraestrutura elétrica</v>
      </c>
      <c r="E297" s="0" t="str">
        <f aca="false">IFERROR(INDEX(Visitas!$C$2:$C$401,MATCH(A297,Visitas!$A$2:$A$401,0)),"")</f>
        <v>2026</v>
      </c>
      <c r="F297" s="0" t="str">
        <f aca="false">IFERROR(INDEX(Itens!$B$2:$B$100,MATCH(C297,Itens!$A$2:$A$100,0)),"")</f>
        <v>I</v>
      </c>
      <c r="G297" s="13" t="n">
        <v>2</v>
      </c>
      <c r="H297" s="13" t="n">
        <v>0</v>
      </c>
    </row>
    <row r="298" customFormat="false" ht="15" hidden="false" customHeight="false" outlineLevel="0" collapsed="false">
      <c r="A298" s="13" t="n">
        <v>22</v>
      </c>
      <c r="B298" s="0" t="str">
        <f aca="false">IFERROR(INDEX(Visitas!$B$2:$B$401,MATCH(A298,Visitas!$A$2:$A$401,0)),"")</f>
        <v>UBS Jardim São Paulo</v>
      </c>
      <c r="C298" s="13" t="s">
        <v>73</v>
      </c>
      <c r="D298" s="0" t="str">
        <f aca="false">IFERROR(INDEX(Itens!$C$2:$C$100,MATCH(C298,Itens!$A$2:$A$100,0)),"")</f>
        <v>Infraestrutura hidráulica</v>
      </c>
      <c r="E298" s="0" t="str">
        <f aca="false">IFERROR(INDEX(Visitas!$C$2:$C$401,MATCH(A298,Visitas!$A$2:$A$401,0)),"")</f>
        <v>2026</v>
      </c>
      <c r="F298" s="0" t="str">
        <f aca="false">IFERROR(INDEX(Itens!$B$2:$B$100,MATCH(C298,Itens!$A$2:$A$100,0)),"")</f>
        <v>I</v>
      </c>
      <c r="G298" s="13" t="n">
        <v>1</v>
      </c>
      <c r="H298" s="13" t="n">
        <v>0</v>
      </c>
    </row>
    <row r="299" customFormat="false" ht="15" hidden="false" customHeight="false" outlineLevel="0" collapsed="false">
      <c r="A299" s="13" t="n">
        <v>22</v>
      </c>
      <c r="B299" s="0" t="str">
        <f aca="false">IFERROR(INDEX(Visitas!$B$2:$B$401,MATCH(A299,Visitas!$A$2:$A$401,0)),"")</f>
        <v>UBS Jardim São Paulo</v>
      </c>
      <c r="C299" s="13" t="s">
        <v>76</v>
      </c>
      <c r="D299" s="0" t="str">
        <f aca="false">IFERROR(INDEX(Itens!$C$2:$C$100,MATCH(C299,Itens!$A$2:$A$100,0)),"")</f>
        <v>Infraestrutura de comunicação</v>
      </c>
      <c r="E299" s="0" t="str">
        <f aca="false">IFERROR(INDEX(Visitas!$C$2:$C$401,MATCH(A299,Visitas!$A$2:$A$401,0)),"")</f>
        <v>2026</v>
      </c>
      <c r="F299" s="0" t="str">
        <f aca="false">IFERROR(INDEX(Itens!$B$2:$B$100,MATCH(C299,Itens!$A$2:$A$100,0)),"")</f>
        <v>I</v>
      </c>
      <c r="G299" s="13" t="n">
        <v>2</v>
      </c>
      <c r="H299" s="13" t="n">
        <v>0</v>
      </c>
    </row>
    <row r="300" customFormat="false" ht="15" hidden="false" customHeight="false" outlineLevel="0" collapsed="false">
      <c r="A300" s="13" t="n">
        <v>22</v>
      </c>
      <c r="B300" s="0" t="str">
        <f aca="false">IFERROR(INDEX(Visitas!$B$2:$B$401,MATCH(A300,Visitas!$A$2:$A$401,0)),"")</f>
        <v>UBS Jardim São Paulo</v>
      </c>
      <c r="C300" s="13" t="s">
        <v>79</v>
      </c>
      <c r="D300" s="0" t="str">
        <f aca="false">IFERROR(INDEX(Itens!$C$2:$C$100,MATCH(C300,Itens!$A$2:$A$100,0)),"")</f>
        <v>Equipamentos</v>
      </c>
      <c r="E300" s="0" t="str">
        <f aca="false">IFERROR(INDEX(Visitas!$C$2:$C$401,MATCH(A300,Visitas!$A$2:$A$401,0)),"")</f>
        <v>2026</v>
      </c>
      <c r="F300" s="0" t="str">
        <f aca="false">IFERROR(INDEX(Itens!$B$2:$B$100,MATCH(C300,Itens!$A$2:$A$100,0)),"")</f>
        <v>I</v>
      </c>
      <c r="G300" s="13" t="n">
        <v>2</v>
      </c>
      <c r="H300" s="13" t="n">
        <v>0</v>
      </c>
    </row>
    <row r="301" customFormat="false" ht="15" hidden="false" customHeight="false" outlineLevel="0" collapsed="false">
      <c r="A301" s="13" t="n">
        <v>22</v>
      </c>
      <c r="B301" s="0" t="str">
        <f aca="false">IFERROR(INDEX(Visitas!$B$2:$B$401,MATCH(A301,Visitas!$A$2:$A$401,0)),"")</f>
        <v>UBS Jardim São Paulo</v>
      </c>
      <c r="C301" s="13" t="s">
        <v>82</v>
      </c>
      <c r="D301" s="0" t="str">
        <f aca="false">IFERROR(INDEX(Itens!$C$2:$C$100,MATCH(C301,Itens!$A$2:$A$100,0)),"")</f>
        <v>Materiais, medicamentos e insumos</v>
      </c>
      <c r="E301" s="0" t="str">
        <f aca="false">IFERROR(INDEX(Visitas!$C$2:$C$401,MATCH(A301,Visitas!$A$2:$A$401,0)),"")</f>
        <v>2026</v>
      </c>
      <c r="F301" s="0" t="str">
        <f aca="false">IFERROR(INDEX(Itens!$B$2:$B$100,MATCH(C301,Itens!$A$2:$A$100,0)),"")</f>
        <v>I</v>
      </c>
      <c r="G301" s="13" t="n">
        <v>2</v>
      </c>
      <c r="H301" s="13" t="n">
        <v>0</v>
      </c>
    </row>
    <row r="302" customFormat="false" ht="15" hidden="false" customHeight="false" outlineLevel="0" collapsed="false">
      <c r="A302" s="13" t="n">
        <v>22</v>
      </c>
      <c r="B302" s="0" t="str">
        <f aca="false">IFERROR(INDEX(Visitas!$B$2:$B$401,MATCH(A302,Visitas!$A$2:$A$401,0)),"")</f>
        <v>UBS Jardim São Paulo</v>
      </c>
      <c r="C302" s="13" t="s">
        <v>85</v>
      </c>
      <c r="D302" s="0" t="str">
        <f aca="false">IFERROR(INDEX(Itens!$C$2:$C$100,MATCH(C302,Itens!$A$2:$A$100,0)),"")</f>
        <v>Conforto, limpeza e organização</v>
      </c>
      <c r="E302" s="0" t="str">
        <f aca="false">IFERROR(INDEX(Visitas!$C$2:$C$401,MATCH(A302,Visitas!$A$2:$A$401,0)),"")</f>
        <v>2026</v>
      </c>
      <c r="F302" s="0" t="str">
        <f aca="false">IFERROR(INDEX(Itens!$B$2:$B$100,MATCH(C302,Itens!$A$2:$A$100,0)),"")</f>
        <v>I</v>
      </c>
      <c r="G302" s="13" t="n">
        <v>1</v>
      </c>
      <c r="H302" s="13" t="n">
        <v>0</v>
      </c>
    </row>
    <row r="303" customFormat="false" ht="15" hidden="false" customHeight="false" outlineLevel="0" collapsed="false">
      <c r="A303" s="13" t="n">
        <v>22</v>
      </c>
      <c r="B303" s="0" t="str">
        <f aca="false">IFERROR(INDEX(Visitas!$B$2:$B$401,MATCH(A303,Visitas!$A$2:$A$401,0)),"")</f>
        <v>UBS Jardim São Paulo</v>
      </c>
      <c r="C303" s="13" t="s">
        <v>88</v>
      </c>
      <c r="D303" s="0" t="str">
        <f aca="false">IFERROR(INDEX(Itens!$C$2:$C$100,MATCH(C303,Itens!$A$2:$A$100,0)),"")</f>
        <v>Utilização de indicadores de gestão</v>
      </c>
      <c r="E303" s="0" t="str">
        <f aca="false">IFERROR(INDEX(Visitas!$C$2:$C$401,MATCH(A303,Visitas!$A$2:$A$401,0)),"")</f>
        <v>2026</v>
      </c>
      <c r="F303" s="0" t="str">
        <f aca="false">IFERROR(INDEX(Itens!$B$2:$B$100,MATCH(C303,Itens!$A$2:$A$100,0)),"")</f>
        <v>II</v>
      </c>
      <c r="G303" s="13" t="n">
        <v>2</v>
      </c>
      <c r="H303" s="13" t="n">
        <v>0</v>
      </c>
    </row>
    <row r="304" customFormat="false" ht="15" hidden="false" customHeight="false" outlineLevel="0" collapsed="false">
      <c r="A304" s="13" t="n">
        <v>22</v>
      </c>
      <c r="B304" s="0" t="str">
        <f aca="false">IFERROR(INDEX(Visitas!$B$2:$B$401,MATCH(A304,Visitas!$A$2:$A$401,0)),"")</f>
        <v>UBS Jardim São Paulo</v>
      </c>
      <c r="C304" s="13" t="s">
        <v>92</v>
      </c>
      <c r="D304" s="0" t="str">
        <f aca="false">IFERROR(INDEX(Itens!$C$2:$C$100,MATCH(C304,Itens!$A$2:$A$100,0)),"")</f>
        <v>Dimensionamento de equipe</v>
      </c>
      <c r="E304" s="0" t="str">
        <f aca="false">IFERROR(INDEX(Visitas!$C$2:$C$401,MATCH(A304,Visitas!$A$2:$A$401,0)),"")</f>
        <v>2026</v>
      </c>
      <c r="F304" s="0" t="str">
        <f aca="false">IFERROR(INDEX(Itens!$B$2:$B$100,MATCH(C304,Itens!$A$2:$A$100,0)),"")</f>
        <v>II</v>
      </c>
      <c r="G304" s="13" t="n">
        <v>2</v>
      </c>
      <c r="H304" s="13" t="n">
        <v>0</v>
      </c>
    </row>
    <row r="305" customFormat="false" ht="15" hidden="false" customHeight="false" outlineLevel="0" collapsed="false">
      <c r="A305" s="13" t="n">
        <v>22</v>
      </c>
      <c r="B305" s="0" t="str">
        <f aca="false">IFERROR(INDEX(Visitas!$B$2:$B$401,MATCH(A305,Visitas!$A$2:$A$401,0)),"")</f>
        <v>UBS Jardim São Paulo</v>
      </c>
      <c r="C305" s="13" t="s">
        <v>96</v>
      </c>
      <c r="D305" s="0" t="str">
        <f aca="false">IFERROR(INDEX(Itens!$C$2:$C$100,MATCH(C305,Itens!$A$2:$A$100,0)),"")</f>
        <v>Execução do cronograma de capacitação da equipe de trabalho</v>
      </c>
      <c r="E305" s="0" t="str">
        <f aca="false">IFERROR(INDEX(Visitas!$C$2:$C$401,MATCH(A305,Visitas!$A$2:$A$401,0)),"")</f>
        <v>2026</v>
      </c>
      <c r="F305" s="0" t="str">
        <f aca="false">IFERROR(INDEX(Itens!$B$2:$B$100,MATCH(C305,Itens!$A$2:$A$100,0)),"")</f>
        <v>II</v>
      </c>
      <c r="G305" s="13" t="n">
        <v>2</v>
      </c>
      <c r="H305" s="13" t="n">
        <v>0</v>
      </c>
    </row>
    <row r="306" customFormat="false" ht="15" hidden="false" customHeight="false" outlineLevel="0" collapsed="false">
      <c r="A306" s="13" t="n">
        <v>22</v>
      </c>
      <c r="B306" s="0" t="str">
        <f aca="false">IFERROR(INDEX(Visitas!$B$2:$B$401,MATCH(A306,Visitas!$A$2:$A$401,0)),"")</f>
        <v>UBS Jardim São Paulo</v>
      </c>
      <c r="C306" s="13" t="s">
        <v>100</v>
      </c>
      <c r="D306" s="0" t="str">
        <f aca="false">IFERROR(INDEX(Itens!$C$2:$C$100,MATCH(C306,Itens!$A$2:$A$100,0)),"")</f>
        <v>Disponibilidade de agendamento de consultas, exames e procedimentos</v>
      </c>
      <c r="E306" s="0" t="str">
        <f aca="false">IFERROR(INDEX(Visitas!$C$2:$C$401,MATCH(A306,Visitas!$A$2:$A$401,0)),"")</f>
        <v>2026</v>
      </c>
      <c r="F306" s="0" t="str">
        <f aca="false">IFERROR(INDEX(Itens!$B$2:$B$100,MATCH(C306,Itens!$A$2:$A$100,0)),"")</f>
        <v>II</v>
      </c>
      <c r="G306" s="13" t="n">
        <v>2</v>
      </c>
      <c r="H306" s="13" t="n">
        <v>0</v>
      </c>
    </row>
    <row r="307" customFormat="false" ht="15" hidden="false" customHeight="false" outlineLevel="0" collapsed="false">
      <c r="A307" s="13" t="n">
        <v>22</v>
      </c>
      <c r="B307" s="0" t="str">
        <f aca="false">IFERROR(INDEX(Visitas!$B$2:$B$401,MATCH(A307,Visitas!$A$2:$A$401,0)),"")</f>
        <v>UBS Jardim São Paulo</v>
      </c>
      <c r="C307" s="13" t="s">
        <v>104</v>
      </c>
      <c r="D307" s="0" t="str">
        <f aca="false">IFERROR(INDEX(Itens!$C$2:$C$100,MATCH(C307,Itens!$A$2:$A$100,0)),"")</f>
        <v>Atendimento aos indicadores do PMS</v>
      </c>
      <c r="E307" s="0" t="str">
        <f aca="false">IFERROR(INDEX(Visitas!$C$2:$C$401,MATCH(A307,Visitas!$A$2:$A$401,0)),"")</f>
        <v>2026</v>
      </c>
      <c r="F307" s="0" t="str">
        <f aca="false">IFERROR(INDEX(Itens!$B$2:$B$100,MATCH(C307,Itens!$A$2:$A$100,0)),"")</f>
        <v>III</v>
      </c>
      <c r="G307" s="13" t="n">
        <v>2</v>
      </c>
      <c r="H307" s="13" t="n">
        <v>0</v>
      </c>
    </row>
    <row r="308" customFormat="false" ht="15" hidden="false" customHeight="false" outlineLevel="0" collapsed="false">
      <c r="A308" s="13" t="n">
        <v>22</v>
      </c>
      <c r="B308" s="0" t="str">
        <f aca="false">IFERROR(INDEX(Visitas!$B$2:$B$401,MATCH(A308,Visitas!$A$2:$A$401,0)),"")</f>
        <v>UBS Jardim São Paulo</v>
      </c>
      <c r="C308" s="13" t="s">
        <v>109</v>
      </c>
      <c r="D308" s="0" t="str">
        <f aca="false">IFERROR(INDEX(Itens!$C$2:$C$100,MATCH(C308,Itens!$A$2:$A$100,0)),"")</f>
        <v>Registro de reclamações na Ouvidoria do COMSAUDE</v>
      </c>
      <c r="E308" s="0" t="str">
        <f aca="false">IFERROR(INDEX(Visitas!$C$2:$C$401,MATCH(A308,Visitas!$A$2:$A$401,0)),"")</f>
        <v>2026</v>
      </c>
      <c r="F308" s="0" t="str">
        <f aca="false">IFERROR(INDEX(Itens!$B$2:$B$100,MATCH(C308,Itens!$A$2:$A$100,0)),"")</f>
        <v>IV</v>
      </c>
      <c r="G308" s="13" t="n">
        <v>1</v>
      </c>
      <c r="H308" s="13" t="n">
        <v>0</v>
      </c>
    </row>
    <row r="309" customFormat="false" ht="15" hidden="false" customHeight="false" outlineLevel="0" collapsed="false">
      <c r="A309" s="13" t="n">
        <v>22</v>
      </c>
      <c r="B309" s="0" t="str">
        <f aca="false">IFERROR(INDEX(Visitas!$B$2:$B$401,MATCH(A309,Visitas!$A$2:$A$401,0)),"")</f>
        <v>UBS Jardim São Paulo</v>
      </c>
      <c r="C309" s="13" t="s">
        <v>113</v>
      </c>
      <c r="D309" s="0" t="str">
        <f aca="false">IFERROR(INDEX(Itens!$C$2:$C$100,MATCH(C309,Itens!$A$2:$A$100,0)),"")</f>
        <v>Satisfação dos usuários</v>
      </c>
      <c r="E309" s="0" t="str">
        <f aca="false">IFERROR(INDEX(Visitas!$C$2:$C$401,MATCH(A309,Visitas!$A$2:$A$401,0)),"")</f>
        <v>2026</v>
      </c>
      <c r="F309" s="0" t="str">
        <f aca="false">IFERROR(INDEX(Itens!$B$2:$B$100,MATCH(C309,Itens!$A$2:$A$100,0)),"")</f>
        <v>IV</v>
      </c>
      <c r="G309" s="13" t="n">
        <v>2</v>
      </c>
      <c r="H309" s="13" t="n">
        <v>0</v>
      </c>
    </row>
    <row r="310" customFormat="false" ht="15" hidden="false" customHeight="false" outlineLevel="0" collapsed="false">
      <c r="A310" s="13" t="n">
        <v>23</v>
      </c>
      <c r="B310" s="0" t="str">
        <f aca="false">IFERROR(INDEX(Visitas!$B$2:$B$401,MATCH(A310,Visitas!$A$2:$A$401,0)),"")</f>
        <v>Hospital Municipal Dr. Waldemar Tebaldi</v>
      </c>
      <c r="C310" s="13" t="s">
        <v>65</v>
      </c>
      <c r="D310" s="0" t="str">
        <f aca="false">IFERROR(INDEX(Itens!$C$2:$C$100,MATCH(C310,Itens!$A$2:$A$100,0)),"")</f>
        <v>Infraestrutura civil</v>
      </c>
      <c r="E310" s="0" t="str">
        <f aca="false">IFERROR(INDEX(Visitas!$C$2:$C$401,MATCH(A310,Visitas!$A$2:$A$401,0)),"")</f>
        <v>2026</v>
      </c>
      <c r="F310" s="0" t="str">
        <f aca="false">IFERROR(INDEX(Itens!$B$2:$B$100,MATCH(C310,Itens!$A$2:$A$100,0)),"")</f>
        <v>I</v>
      </c>
      <c r="G310" s="13" t="n">
        <v>1</v>
      </c>
      <c r="H310" s="13" t="n">
        <v>0</v>
      </c>
    </row>
    <row r="311" customFormat="false" ht="15" hidden="false" customHeight="false" outlineLevel="0" collapsed="false">
      <c r="A311" s="13" t="n">
        <v>23</v>
      </c>
      <c r="B311" s="0" t="str">
        <f aca="false">IFERROR(INDEX(Visitas!$B$2:$B$401,MATCH(A311,Visitas!$A$2:$A$401,0)),"")</f>
        <v>Hospital Municipal Dr. Waldemar Tebaldi</v>
      </c>
      <c r="C311" s="13" t="s">
        <v>70</v>
      </c>
      <c r="D311" s="0" t="str">
        <f aca="false">IFERROR(INDEX(Itens!$C$2:$C$100,MATCH(C311,Itens!$A$2:$A$100,0)),"")</f>
        <v>Infraestrutura elétrica</v>
      </c>
      <c r="E311" s="0" t="str">
        <f aca="false">IFERROR(INDEX(Visitas!$C$2:$C$401,MATCH(A311,Visitas!$A$2:$A$401,0)),"")</f>
        <v>2026</v>
      </c>
      <c r="F311" s="0" t="str">
        <f aca="false">IFERROR(INDEX(Itens!$B$2:$B$100,MATCH(C311,Itens!$A$2:$A$100,0)),"")</f>
        <v>I</v>
      </c>
      <c r="G311" s="13" t="n">
        <v>2</v>
      </c>
      <c r="H311" s="13" t="n">
        <v>0</v>
      </c>
    </row>
    <row r="312" customFormat="false" ht="15" hidden="false" customHeight="false" outlineLevel="0" collapsed="false">
      <c r="A312" s="13" t="n">
        <v>23</v>
      </c>
      <c r="B312" s="0" t="str">
        <f aca="false">IFERROR(INDEX(Visitas!$B$2:$B$401,MATCH(A312,Visitas!$A$2:$A$401,0)),"")</f>
        <v>Hospital Municipal Dr. Waldemar Tebaldi</v>
      </c>
      <c r="C312" s="13" t="s">
        <v>73</v>
      </c>
      <c r="D312" s="0" t="str">
        <f aca="false">IFERROR(INDEX(Itens!$C$2:$C$100,MATCH(C312,Itens!$A$2:$A$100,0)),"")</f>
        <v>Infraestrutura hidráulica</v>
      </c>
      <c r="E312" s="0" t="str">
        <f aca="false">IFERROR(INDEX(Visitas!$C$2:$C$401,MATCH(A312,Visitas!$A$2:$A$401,0)),"")</f>
        <v>2026</v>
      </c>
      <c r="F312" s="0" t="str">
        <f aca="false">IFERROR(INDEX(Itens!$B$2:$B$100,MATCH(C312,Itens!$A$2:$A$100,0)),"")</f>
        <v>I</v>
      </c>
      <c r="G312" s="13" t="n">
        <v>1</v>
      </c>
      <c r="H312" s="13" t="n">
        <v>0</v>
      </c>
    </row>
    <row r="313" customFormat="false" ht="15" hidden="false" customHeight="false" outlineLevel="0" collapsed="false">
      <c r="A313" s="13" t="n">
        <v>23</v>
      </c>
      <c r="B313" s="0" t="str">
        <f aca="false">IFERROR(INDEX(Visitas!$B$2:$B$401,MATCH(A313,Visitas!$A$2:$A$401,0)),"")</f>
        <v>Hospital Municipal Dr. Waldemar Tebaldi</v>
      </c>
      <c r="C313" s="13" t="s">
        <v>76</v>
      </c>
      <c r="D313" s="0" t="str">
        <f aca="false">IFERROR(INDEX(Itens!$C$2:$C$100,MATCH(C313,Itens!$A$2:$A$100,0)),"")</f>
        <v>Infraestrutura de comunicação</v>
      </c>
      <c r="E313" s="0" t="str">
        <f aca="false">IFERROR(INDEX(Visitas!$C$2:$C$401,MATCH(A313,Visitas!$A$2:$A$401,0)),"")</f>
        <v>2026</v>
      </c>
      <c r="F313" s="0" t="str">
        <f aca="false">IFERROR(INDEX(Itens!$B$2:$B$100,MATCH(C313,Itens!$A$2:$A$100,0)),"")</f>
        <v>I</v>
      </c>
      <c r="G313" s="13" t="n">
        <v>2</v>
      </c>
      <c r="H313" s="13" t="n">
        <v>0</v>
      </c>
    </row>
    <row r="314" customFormat="false" ht="15" hidden="false" customHeight="false" outlineLevel="0" collapsed="false">
      <c r="A314" s="13" t="n">
        <v>23</v>
      </c>
      <c r="B314" s="0" t="str">
        <f aca="false">IFERROR(INDEX(Visitas!$B$2:$B$401,MATCH(A314,Visitas!$A$2:$A$401,0)),"")</f>
        <v>Hospital Municipal Dr. Waldemar Tebaldi</v>
      </c>
      <c r="C314" s="13" t="s">
        <v>79</v>
      </c>
      <c r="D314" s="0" t="str">
        <f aca="false">IFERROR(INDEX(Itens!$C$2:$C$100,MATCH(C314,Itens!$A$2:$A$100,0)),"")</f>
        <v>Equipamentos</v>
      </c>
      <c r="E314" s="0" t="str">
        <f aca="false">IFERROR(INDEX(Visitas!$C$2:$C$401,MATCH(A314,Visitas!$A$2:$A$401,0)),"")</f>
        <v>2026</v>
      </c>
      <c r="F314" s="0" t="str">
        <f aca="false">IFERROR(INDEX(Itens!$B$2:$B$100,MATCH(C314,Itens!$A$2:$A$100,0)),"")</f>
        <v>I</v>
      </c>
      <c r="G314" s="13" t="n">
        <v>2</v>
      </c>
      <c r="H314" s="13" t="n">
        <v>0</v>
      </c>
    </row>
    <row r="315" customFormat="false" ht="15" hidden="false" customHeight="false" outlineLevel="0" collapsed="false">
      <c r="A315" s="13" t="n">
        <v>23</v>
      </c>
      <c r="B315" s="0" t="str">
        <f aca="false">IFERROR(INDEX(Visitas!$B$2:$B$401,MATCH(A315,Visitas!$A$2:$A$401,0)),"")</f>
        <v>Hospital Municipal Dr. Waldemar Tebaldi</v>
      </c>
      <c r="C315" s="13" t="s">
        <v>82</v>
      </c>
      <c r="D315" s="0" t="str">
        <f aca="false">IFERROR(INDEX(Itens!$C$2:$C$100,MATCH(C315,Itens!$A$2:$A$100,0)),"")</f>
        <v>Materiais, medicamentos e insumos</v>
      </c>
      <c r="E315" s="0" t="str">
        <f aca="false">IFERROR(INDEX(Visitas!$C$2:$C$401,MATCH(A315,Visitas!$A$2:$A$401,0)),"")</f>
        <v>2026</v>
      </c>
      <c r="F315" s="0" t="str">
        <f aca="false">IFERROR(INDEX(Itens!$B$2:$B$100,MATCH(C315,Itens!$A$2:$A$100,0)),"")</f>
        <v>I</v>
      </c>
      <c r="G315" s="13" t="n">
        <v>2</v>
      </c>
      <c r="H315" s="13" t="n">
        <v>0</v>
      </c>
    </row>
    <row r="316" customFormat="false" ht="15" hidden="false" customHeight="false" outlineLevel="0" collapsed="false">
      <c r="A316" s="13" t="n">
        <v>23</v>
      </c>
      <c r="B316" s="0" t="str">
        <f aca="false">IFERROR(INDEX(Visitas!$B$2:$B$401,MATCH(A316,Visitas!$A$2:$A$401,0)),"")</f>
        <v>Hospital Municipal Dr. Waldemar Tebaldi</v>
      </c>
      <c r="C316" s="13" t="s">
        <v>85</v>
      </c>
      <c r="D316" s="0" t="str">
        <f aca="false">IFERROR(INDEX(Itens!$C$2:$C$100,MATCH(C316,Itens!$A$2:$A$100,0)),"")</f>
        <v>Conforto, limpeza e organização</v>
      </c>
      <c r="E316" s="0" t="str">
        <f aca="false">IFERROR(INDEX(Visitas!$C$2:$C$401,MATCH(A316,Visitas!$A$2:$A$401,0)),"")</f>
        <v>2026</v>
      </c>
      <c r="F316" s="0" t="str">
        <f aca="false">IFERROR(INDEX(Itens!$B$2:$B$100,MATCH(C316,Itens!$A$2:$A$100,0)),"")</f>
        <v>I</v>
      </c>
      <c r="G316" s="13" t="n">
        <v>1</v>
      </c>
      <c r="H316" s="13" t="n">
        <v>0</v>
      </c>
    </row>
    <row r="317" customFormat="false" ht="15" hidden="false" customHeight="false" outlineLevel="0" collapsed="false">
      <c r="A317" s="13" t="n">
        <v>23</v>
      </c>
      <c r="B317" s="0" t="str">
        <f aca="false">IFERROR(INDEX(Visitas!$B$2:$B$401,MATCH(A317,Visitas!$A$2:$A$401,0)),"")</f>
        <v>Hospital Municipal Dr. Waldemar Tebaldi</v>
      </c>
      <c r="C317" s="13" t="s">
        <v>88</v>
      </c>
      <c r="D317" s="0" t="str">
        <f aca="false">IFERROR(INDEX(Itens!$C$2:$C$100,MATCH(C317,Itens!$A$2:$A$100,0)),"")</f>
        <v>Utilização de indicadores de gestão</v>
      </c>
      <c r="E317" s="0" t="str">
        <f aca="false">IFERROR(INDEX(Visitas!$C$2:$C$401,MATCH(A317,Visitas!$A$2:$A$401,0)),"")</f>
        <v>2026</v>
      </c>
      <c r="F317" s="0" t="str">
        <f aca="false">IFERROR(INDEX(Itens!$B$2:$B$100,MATCH(C317,Itens!$A$2:$A$100,0)),"")</f>
        <v>II</v>
      </c>
      <c r="G317" s="13" t="n">
        <v>2</v>
      </c>
      <c r="H317" s="13" t="n">
        <v>0</v>
      </c>
    </row>
    <row r="318" customFormat="false" ht="15" hidden="false" customHeight="false" outlineLevel="0" collapsed="false">
      <c r="A318" s="13" t="n">
        <v>23</v>
      </c>
      <c r="B318" s="0" t="str">
        <f aca="false">IFERROR(INDEX(Visitas!$B$2:$B$401,MATCH(A318,Visitas!$A$2:$A$401,0)),"")</f>
        <v>Hospital Municipal Dr. Waldemar Tebaldi</v>
      </c>
      <c r="C318" s="13" t="s">
        <v>92</v>
      </c>
      <c r="D318" s="0" t="str">
        <f aca="false">IFERROR(INDEX(Itens!$C$2:$C$100,MATCH(C318,Itens!$A$2:$A$100,0)),"")</f>
        <v>Dimensionamento de equipe</v>
      </c>
      <c r="E318" s="0" t="str">
        <f aca="false">IFERROR(INDEX(Visitas!$C$2:$C$401,MATCH(A318,Visitas!$A$2:$A$401,0)),"")</f>
        <v>2026</v>
      </c>
      <c r="F318" s="0" t="str">
        <f aca="false">IFERROR(INDEX(Itens!$B$2:$B$100,MATCH(C318,Itens!$A$2:$A$100,0)),"")</f>
        <v>II</v>
      </c>
      <c r="G318" s="13" t="n">
        <v>2</v>
      </c>
      <c r="H318" s="13" t="n">
        <v>0</v>
      </c>
    </row>
    <row r="319" customFormat="false" ht="15" hidden="false" customHeight="false" outlineLevel="0" collapsed="false">
      <c r="A319" s="13" t="n">
        <v>23</v>
      </c>
      <c r="B319" s="0" t="str">
        <f aca="false">IFERROR(INDEX(Visitas!$B$2:$B$401,MATCH(A319,Visitas!$A$2:$A$401,0)),"")</f>
        <v>Hospital Municipal Dr. Waldemar Tebaldi</v>
      </c>
      <c r="C319" s="13" t="s">
        <v>96</v>
      </c>
      <c r="D319" s="0" t="str">
        <f aca="false">IFERROR(INDEX(Itens!$C$2:$C$100,MATCH(C319,Itens!$A$2:$A$100,0)),"")</f>
        <v>Execução do cronograma de capacitação da equipe de trabalho</v>
      </c>
      <c r="E319" s="0" t="str">
        <f aca="false">IFERROR(INDEX(Visitas!$C$2:$C$401,MATCH(A319,Visitas!$A$2:$A$401,0)),"")</f>
        <v>2026</v>
      </c>
      <c r="F319" s="0" t="str">
        <f aca="false">IFERROR(INDEX(Itens!$B$2:$B$100,MATCH(C319,Itens!$A$2:$A$100,0)),"")</f>
        <v>II</v>
      </c>
      <c r="G319" s="13" t="n">
        <v>2</v>
      </c>
      <c r="H319" s="13" t="n">
        <v>0</v>
      </c>
    </row>
    <row r="320" customFormat="false" ht="15" hidden="false" customHeight="false" outlineLevel="0" collapsed="false">
      <c r="A320" s="13" t="n">
        <v>23</v>
      </c>
      <c r="B320" s="0" t="str">
        <f aca="false">IFERROR(INDEX(Visitas!$B$2:$B$401,MATCH(A320,Visitas!$A$2:$A$401,0)),"")</f>
        <v>Hospital Municipal Dr. Waldemar Tebaldi</v>
      </c>
      <c r="C320" s="13" t="s">
        <v>100</v>
      </c>
      <c r="D320" s="0" t="str">
        <f aca="false">IFERROR(INDEX(Itens!$C$2:$C$100,MATCH(C320,Itens!$A$2:$A$100,0)),"")</f>
        <v>Disponibilidade de agendamento de consultas, exames e procedimentos</v>
      </c>
      <c r="E320" s="0" t="str">
        <f aca="false">IFERROR(INDEX(Visitas!$C$2:$C$401,MATCH(A320,Visitas!$A$2:$A$401,0)),"")</f>
        <v>2026</v>
      </c>
      <c r="F320" s="0" t="str">
        <f aca="false">IFERROR(INDEX(Itens!$B$2:$B$100,MATCH(C320,Itens!$A$2:$A$100,0)),"")</f>
        <v>II</v>
      </c>
      <c r="G320" s="13" t="n">
        <v>1</v>
      </c>
      <c r="H320" s="13" t="n">
        <v>0</v>
      </c>
    </row>
    <row r="321" customFormat="false" ht="15" hidden="false" customHeight="false" outlineLevel="0" collapsed="false">
      <c r="A321" s="13" t="n">
        <v>23</v>
      </c>
      <c r="B321" s="0" t="str">
        <f aca="false">IFERROR(INDEX(Visitas!$B$2:$B$401,MATCH(A321,Visitas!$A$2:$A$401,0)),"")</f>
        <v>Hospital Municipal Dr. Waldemar Tebaldi</v>
      </c>
      <c r="C321" s="13" t="s">
        <v>104</v>
      </c>
      <c r="D321" s="0" t="str">
        <f aca="false">IFERROR(INDEX(Itens!$C$2:$C$100,MATCH(C321,Itens!$A$2:$A$100,0)),"")</f>
        <v>Atendimento aos indicadores do PMS</v>
      </c>
      <c r="E321" s="0" t="str">
        <f aca="false">IFERROR(INDEX(Visitas!$C$2:$C$401,MATCH(A321,Visitas!$A$2:$A$401,0)),"")</f>
        <v>2026</v>
      </c>
      <c r="F321" s="0" t="str">
        <f aca="false">IFERROR(INDEX(Itens!$B$2:$B$100,MATCH(C321,Itens!$A$2:$A$100,0)),"")</f>
        <v>III</v>
      </c>
      <c r="G321" s="13" t="n">
        <v>1</v>
      </c>
      <c r="H321" s="13" t="n">
        <v>0</v>
      </c>
    </row>
    <row r="322" customFormat="false" ht="15" hidden="false" customHeight="false" outlineLevel="0" collapsed="false">
      <c r="A322" s="13" t="n">
        <v>23</v>
      </c>
      <c r="B322" s="0" t="str">
        <f aca="false">IFERROR(INDEX(Visitas!$B$2:$B$401,MATCH(A322,Visitas!$A$2:$A$401,0)),"")</f>
        <v>Hospital Municipal Dr. Waldemar Tebaldi</v>
      </c>
      <c r="C322" s="13" t="s">
        <v>109</v>
      </c>
      <c r="D322" s="0" t="str">
        <f aca="false">IFERROR(INDEX(Itens!$C$2:$C$100,MATCH(C322,Itens!$A$2:$A$100,0)),"")</f>
        <v>Registro de reclamações na Ouvidoria do COMSAUDE</v>
      </c>
      <c r="E322" s="0" t="str">
        <f aca="false">IFERROR(INDEX(Visitas!$C$2:$C$401,MATCH(A322,Visitas!$A$2:$A$401,0)),"")</f>
        <v>2026</v>
      </c>
      <c r="F322" s="0" t="str">
        <f aca="false">IFERROR(INDEX(Itens!$B$2:$B$100,MATCH(C322,Itens!$A$2:$A$100,0)),"")</f>
        <v>IV</v>
      </c>
      <c r="G322" s="13" t="n">
        <v>1</v>
      </c>
      <c r="H322" s="13" t="n">
        <v>0</v>
      </c>
    </row>
    <row r="323" customFormat="false" ht="15" hidden="false" customHeight="false" outlineLevel="0" collapsed="false">
      <c r="A323" s="13" t="n">
        <v>23</v>
      </c>
      <c r="B323" s="0" t="str">
        <f aca="false">IFERROR(INDEX(Visitas!$B$2:$B$401,MATCH(A323,Visitas!$A$2:$A$401,0)),"")</f>
        <v>Hospital Municipal Dr. Waldemar Tebaldi</v>
      </c>
      <c r="C323" s="13" t="s">
        <v>113</v>
      </c>
      <c r="D323" s="0" t="str">
        <f aca="false">IFERROR(INDEX(Itens!$C$2:$C$100,MATCH(C323,Itens!$A$2:$A$100,0)),"")</f>
        <v>Satisfação dos usuários</v>
      </c>
      <c r="E323" s="0" t="str">
        <f aca="false">IFERROR(INDEX(Visitas!$C$2:$C$401,MATCH(A323,Visitas!$A$2:$A$401,0)),"")</f>
        <v>2026</v>
      </c>
      <c r="F323" s="0" t="str">
        <f aca="false">IFERROR(INDEX(Itens!$B$2:$B$100,MATCH(C323,Itens!$A$2:$A$100,0)),"")</f>
        <v>IV</v>
      </c>
      <c r="G323" s="13" t="n">
        <v>1</v>
      </c>
      <c r="H323" s="13" t="n">
        <v>0</v>
      </c>
    </row>
    <row r="324" customFormat="false" ht="15" hidden="false" customHeight="false" outlineLevel="0" collapsed="false">
      <c r="A324" s="13" t="n">
        <v>24</v>
      </c>
      <c r="B324" s="0" t="str">
        <f aca="false">IFERROR(INDEX(Visitas!$B$2:$B$401,MATCH(A324,Visitas!$A$2:$A$401,0)),"")</f>
        <v>UPA Dona Rosa</v>
      </c>
      <c r="C324" s="13" t="s">
        <v>65</v>
      </c>
      <c r="D324" s="0" t="str">
        <f aca="false">IFERROR(INDEX(Itens!$C$2:$C$100,MATCH(C324,Itens!$A$2:$A$100,0)),"")</f>
        <v>Infraestrutura civil</v>
      </c>
      <c r="E324" s="0" t="str">
        <f aca="false">IFERROR(INDEX(Visitas!$C$2:$C$401,MATCH(A324,Visitas!$A$2:$A$401,0)),"")</f>
        <v>2026</v>
      </c>
      <c r="F324" s="0" t="str">
        <f aca="false">IFERROR(INDEX(Itens!$B$2:$B$100,MATCH(C324,Itens!$A$2:$A$100,0)),"")</f>
        <v>I</v>
      </c>
      <c r="G324" s="13" t="n">
        <v>1</v>
      </c>
      <c r="H324" s="13" t="n">
        <v>0</v>
      </c>
    </row>
    <row r="325" customFormat="false" ht="15" hidden="false" customHeight="false" outlineLevel="0" collapsed="false">
      <c r="A325" s="13" t="n">
        <v>24</v>
      </c>
      <c r="B325" s="0" t="str">
        <f aca="false">IFERROR(INDEX(Visitas!$B$2:$B$401,MATCH(A325,Visitas!$A$2:$A$401,0)),"")</f>
        <v>UPA Dona Rosa</v>
      </c>
      <c r="C325" s="13" t="s">
        <v>70</v>
      </c>
      <c r="D325" s="0" t="str">
        <f aca="false">IFERROR(INDEX(Itens!$C$2:$C$100,MATCH(C325,Itens!$A$2:$A$100,0)),"")</f>
        <v>Infraestrutura elétrica</v>
      </c>
      <c r="E325" s="0" t="str">
        <f aca="false">IFERROR(INDEX(Visitas!$C$2:$C$401,MATCH(A325,Visitas!$A$2:$A$401,0)),"")</f>
        <v>2026</v>
      </c>
      <c r="F325" s="0" t="str">
        <f aca="false">IFERROR(INDEX(Itens!$B$2:$B$100,MATCH(C325,Itens!$A$2:$A$100,0)),"")</f>
        <v>I</v>
      </c>
      <c r="G325" s="13" t="n">
        <v>1</v>
      </c>
      <c r="H325" s="13" t="n">
        <v>0</v>
      </c>
    </row>
    <row r="326" customFormat="false" ht="15" hidden="false" customHeight="false" outlineLevel="0" collapsed="false">
      <c r="A326" s="13" t="n">
        <v>24</v>
      </c>
      <c r="B326" s="0" t="str">
        <f aca="false">IFERROR(INDEX(Visitas!$B$2:$B$401,MATCH(A326,Visitas!$A$2:$A$401,0)),"")</f>
        <v>UPA Dona Rosa</v>
      </c>
      <c r="C326" s="13" t="s">
        <v>73</v>
      </c>
      <c r="D326" s="0" t="str">
        <f aca="false">IFERROR(INDEX(Itens!$C$2:$C$100,MATCH(C326,Itens!$A$2:$A$100,0)),"")</f>
        <v>Infraestrutura hidráulica</v>
      </c>
      <c r="E326" s="0" t="str">
        <f aca="false">IFERROR(INDEX(Visitas!$C$2:$C$401,MATCH(A326,Visitas!$A$2:$A$401,0)),"")</f>
        <v>2026</v>
      </c>
      <c r="F326" s="0" t="str">
        <f aca="false">IFERROR(INDEX(Itens!$B$2:$B$100,MATCH(C326,Itens!$A$2:$A$100,0)),"")</f>
        <v>I</v>
      </c>
      <c r="G326" s="13" t="n">
        <v>2</v>
      </c>
      <c r="H326" s="13" t="n">
        <v>0</v>
      </c>
    </row>
    <row r="327" customFormat="false" ht="15" hidden="false" customHeight="false" outlineLevel="0" collapsed="false">
      <c r="A327" s="13" t="n">
        <v>24</v>
      </c>
      <c r="B327" s="0" t="str">
        <f aca="false">IFERROR(INDEX(Visitas!$B$2:$B$401,MATCH(A327,Visitas!$A$2:$A$401,0)),"")</f>
        <v>UPA Dona Rosa</v>
      </c>
      <c r="C327" s="13" t="s">
        <v>76</v>
      </c>
      <c r="D327" s="0" t="str">
        <f aca="false">IFERROR(INDEX(Itens!$C$2:$C$100,MATCH(C327,Itens!$A$2:$A$100,0)),"")</f>
        <v>Infraestrutura de comunicação</v>
      </c>
      <c r="E327" s="0" t="str">
        <f aca="false">IFERROR(INDEX(Visitas!$C$2:$C$401,MATCH(A327,Visitas!$A$2:$A$401,0)),"")</f>
        <v>2026</v>
      </c>
      <c r="F327" s="0" t="str">
        <f aca="false">IFERROR(INDEX(Itens!$B$2:$B$100,MATCH(C327,Itens!$A$2:$A$100,0)),"")</f>
        <v>I</v>
      </c>
      <c r="G327" s="13" t="n">
        <v>2</v>
      </c>
      <c r="H327" s="13" t="n">
        <v>0</v>
      </c>
    </row>
    <row r="328" customFormat="false" ht="15" hidden="false" customHeight="false" outlineLevel="0" collapsed="false">
      <c r="A328" s="13" t="n">
        <v>24</v>
      </c>
      <c r="B328" s="0" t="str">
        <f aca="false">IFERROR(INDEX(Visitas!$B$2:$B$401,MATCH(A328,Visitas!$A$2:$A$401,0)),"")</f>
        <v>UPA Dona Rosa</v>
      </c>
      <c r="C328" s="13" t="s">
        <v>79</v>
      </c>
      <c r="D328" s="0" t="str">
        <f aca="false">IFERROR(INDEX(Itens!$C$2:$C$100,MATCH(C328,Itens!$A$2:$A$100,0)),"")</f>
        <v>Equipamentos</v>
      </c>
      <c r="E328" s="0" t="str">
        <f aca="false">IFERROR(INDEX(Visitas!$C$2:$C$401,MATCH(A328,Visitas!$A$2:$A$401,0)),"")</f>
        <v>2026</v>
      </c>
      <c r="F328" s="0" t="str">
        <f aca="false">IFERROR(INDEX(Itens!$B$2:$B$100,MATCH(C328,Itens!$A$2:$A$100,0)),"")</f>
        <v>I</v>
      </c>
      <c r="G328" s="13" t="n">
        <v>2</v>
      </c>
      <c r="H328" s="13" t="n">
        <v>0</v>
      </c>
    </row>
    <row r="329" customFormat="false" ht="15" hidden="false" customHeight="false" outlineLevel="0" collapsed="false">
      <c r="A329" s="13" t="n">
        <v>24</v>
      </c>
      <c r="B329" s="0" t="str">
        <f aca="false">IFERROR(INDEX(Visitas!$B$2:$B$401,MATCH(A329,Visitas!$A$2:$A$401,0)),"")</f>
        <v>UPA Dona Rosa</v>
      </c>
      <c r="C329" s="13" t="s">
        <v>82</v>
      </c>
      <c r="D329" s="0" t="str">
        <f aca="false">IFERROR(INDEX(Itens!$C$2:$C$100,MATCH(C329,Itens!$A$2:$A$100,0)),"")</f>
        <v>Materiais, medicamentos e insumos</v>
      </c>
      <c r="E329" s="0" t="str">
        <f aca="false">IFERROR(INDEX(Visitas!$C$2:$C$401,MATCH(A329,Visitas!$A$2:$A$401,0)),"")</f>
        <v>2026</v>
      </c>
      <c r="F329" s="0" t="str">
        <f aca="false">IFERROR(INDEX(Itens!$B$2:$B$100,MATCH(C329,Itens!$A$2:$A$100,0)),"")</f>
        <v>I</v>
      </c>
      <c r="G329" s="13" t="n">
        <v>2</v>
      </c>
      <c r="H329" s="13" t="n">
        <v>0</v>
      </c>
    </row>
    <row r="330" customFormat="false" ht="15" hidden="false" customHeight="false" outlineLevel="0" collapsed="false">
      <c r="A330" s="13" t="n">
        <v>24</v>
      </c>
      <c r="B330" s="0" t="str">
        <f aca="false">IFERROR(INDEX(Visitas!$B$2:$B$401,MATCH(A330,Visitas!$A$2:$A$401,0)),"")</f>
        <v>UPA Dona Rosa</v>
      </c>
      <c r="C330" s="13" t="s">
        <v>85</v>
      </c>
      <c r="D330" s="0" t="str">
        <f aca="false">IFERROR(INDEX(Itens!$C$2:$C$100,MATCH(C330,Itens!$A$2:$A$100,0)),"")</f>
        <v>Conforto, limpeza e organização</v>
      </c>
      <c r="E330" s="0" t="str">
        <f aca="false">IFERROR(INDEX(Visitas!$C$2:$C$401,MATCH(A330,Visitas!$A$2:$A$401,0)),"")</f>
        <v>2026</v>
      </c>
      <c r="F330" s="0" t="str">
        <f aca="false">IFERROR(INDEX(Itens!$B$2:$B$100,MATCH(C330,Itens!$A$2:$A$100,0)),"")</f>
        <v>I</v>
      </c>
      <c r="G330" s="13" t="n">
        <v>2</v>
      </c>
      <c r="H330" s="13" t="n">
        <v>0</v>
      </c>
    </row>
    <row r="331" customFormat="false" ht="15" hidden="false" customHeight="false" outlineLevel="0" collapsed="false">
      <c r="A331" s="13" t="n">
        <v>24</v>
      </c>
      <c r="B331" s="0" t="str">
        <f aca="false">IFERROR(INDEX(Visitas!$B$2:$B$401,MATCH(A331,Visitas!$A$2:$A$401,0)),"")</f>
        <v>UPA Dona Rosa</v>
      </c>
      <c r="C331" s="13" t="s">
        <v>88</v>
      </c>
      <c r="D331" s="0" t="str">
        <f aca="false">IFERROR(INDEX(Itens!$C$2:$C$100,MATCH(C331,Itens!$A$2:$A$100,0)),"")</f>
        <v>Utilização de indicadores de gestão</v>
      </c>
      <c r="E331" s="0" t="str">
        <f aca="false">IFERROR(INDEX(Visitas!$C$2:$C$401,MATCH(A331,Visitas!$A$2:$A$401,0)),"")</f>
        <v>2026</v>
      </c>
      <c r="F331" s="0" t="str">
        <f aca="false">IFERROR(INDEX(Itens!$B$2:$B$100,MATCH(C331,Itens!$A$2:$A$100,0)),"")</f>
        <v>II</v>
      </c>
      <c r="G331" s="13" t="n">
        <v>2</v>
      </c>
      <c r="H331" s="13" t="n">
        <v>0</v>
      </c>
    </row>
    <row r="332" customFormat="false" ht="15" hidden="false" customHeight="false" outlineLevel="0" collapsed="false">
      <c r="A332" s="13" t="n">
        <v>24</v>
      </c>
      <c r="B332" s="0" t="str">
        <f aca="false">IFERROR(INDEX(Visitas!$B$2:$B$401,MATCH(A332,Visitas!$A$2:$A$401,0)),"")</f>
        <v>UPA Dona Rosa</v>
      </c>
      <c r="C332" s="13" t="s">
        <v>92</v>
      </c>
      <c r="D332" s="0" t="str">
        <f aca="false">IFERROR(INDEX(Itens!$C$2:$C$100,MATCH(C332,Itens!$A$2:$A$100,0)),"")</f>
        <v>Dimensionamento de equipe</v>
      </c>
      <c r="E332" s="0" t="str">
        <f aca="false">IFERROR(INDEX(Visitas!$C$2:$C$401,MATCH(A332,Visitas!$A$2:$A$401,0)),"")</f>
        <v>2026</v>
      </c>
      <c r="F332" s="0" t="str">
        <f aca="false">IFERROR(INDEX(Itens!$B$2:$B$100,MATCH(C332,Itens!$A$2:$A$100,0)),"")</f>
        <v>II</v>
      </c>
      <c r="G332" s="13" t="n">
        <v>2</v>
      </c>
      <c r="H332" s="13" t="n">
        <v>0</v>
      </c>
    </row>
    <row r="333" customFormat="false" ht="15" hidden="false" customHeight="false" outlineLevel="0" collapsed="false">
      <c r="A333" s="13" t="n">
        <v>24</v>
      </c>
      <c r="B333" s="0" t="str">
        <f aca="false">IFERROR(INDEX(Visitas!$B$2:$B$401,MATCH(A333,Visitas!$A$2:$A$401,0)),"")</f>
        <v>UPA Dona Rosa</v>
      </c>
      <c r="C333" s="13" t="s">
        <v>96</v>
      </c>
      <c r="D333" s="0" t="str">
        <f aca="false">IFERROR(INDEX(Itens!$C$2:$C$100,MATCH(C333,Itens!$A$2:$A$100,0)),"")</f>
        <v>Execução do cronograma de capacitação da equipe de trabalho</v>
      </c>
      <c r="E333" s="0" t="str">
        <f aca="false">IFERROR(INDEX(Visitas!$C$2:$C$401,MATCH(A333,Visitas!$A$2:$A$401,0)),"")</f>
        <v>2026</v>
      </c>
      <c r="F333" s="0" t="str">
        <f aca="false">IFERROR(INDEX(Itens!$B$2:$B$100,MATCH(C333,Itens!$A$2:$A$100,0)),"")</f>
        <v>II</v>
      </c>
      <c r="G333" s="13" t="n">
        <v>2</v>
      </c>
      <c r="H333" s="13" t="n">
        <v>0</v>
      </c>
    </row>
    <row r="334" customFormat="false" ht="15" hidden="false" customHeight="false" outlineLevel="0" collapsed="false">
      <c r="A334" s="13" t="n">
        <v>24</v>
      </c>
      <c r="B334" s="0" t="str">
        <f aca="false">IFERROR(INDEX(Visitas!$B$2:$B$401,MATCH(A334,Visitas!$A$2:$A$401,0)),"")</f>
        <v>UPA Dona Rosa</v>
      </c>
      <c r="C334" s="13" t="s">
        <v>100</v>
      </c>
      <c r="D334" s="0" t="str">
        <f aca="false">IFERROR(INDEX(Itens!$C$2:$C$100,MATCH(C334,Itens!$A$2:$A$100,0)),"")</f>
        <v>Disponibilidade de agendamento de consultas, exames e procedimentos</v>
      </c>
      <c r="E334" s="0" t="str">
        <f aca="false">IFERROR(INDEX(Visitas!$C$2:$C$401,MATCH(A334,Visitas!$A$2:$A$401,0)),"")</f>
        <v>2026</v>
      </c>
      <c r="F334" s="0" t="str">
        <f aca="false">IFERROR(INDEX(Itens!$B$2:$B$100,MATCH(C334,Itens!$A$2:$A$100,0)),"")</f>
        <v>II</v>
      </c>
      <c r="G334" s="13" t="n">
        <v>2</v>
      </c>
      <c r="H334" s="13" t="n">
        <v>0</v>
      </c>
    </row>
    <row r="335" customFormat="false" ht="15" hidden="false" customHeight="false" outlineLevel="0" collapsed="false">
      <c r="A335" s="13" t="n">
        <v>24</v>
      </c>
      <c r="B335" s="0" t="str">
        <f aca="false">IFERROR(INDEX(Visitas!$B$2:$B$401,MATCH(A335,Visitas!$A$2:$A$401,0)),"")</f>
        <v>UPA Dona Rosa</v>
      </c>
      <c r="C335" s="13" t="s">
        <v>104</v>
      </c>
      <c r="D335" s="0" t="str">
        <f aca="false">IFERROR(INDEX(Itens!$C$2:$C$100,MATCH(C335,Itens!$A$2:$A$100,0)),"")</f>
        <v>Atendimento aos indicadores do PMS</v>
      </c>
      <c r="E335" s="0" t="str">
        <f aca="false">IFERROR(INDEX(Visitas!$C$2:$C$401,MATCH(A335,Visitas!$A$2:$A$401,0)),"")</f>
        <v>2026</v>
      </c>
      <c r="F335" s="0" t="str">
        <f aca="false">IFERROR(INDEX(Itens!$B$2:$B$100,MATCH(C335,Itens!$A$2:$A$100,0)),"")</f>
        <v>III</v>
      </c>
      <c r="G335" s="13" t="n">
        <v>2</v>
      </c>
      <c r="H335" s="13" t="n">
        <v>0</v>
      </c>
    </row>
    <row r="336" customFormat="false" ht="15" hidden="false" customHeight="false" outlineLevel="0" collapsed="false">
      <c r="A336" s="13" t="n">
        <v>24</v>
      </c>
      <c r="B336" s="0" t="str">
        <f aca="false">IFERROR(INDEX(Visitas!$B$2:$B$401,MATCH(A336,Visitas!$A$2:$A$401,0)),"")</f>
        <v>UPA Dona Rosa</v>
      </c>
      <c r="C336" s="13" t="s">
        <v>109</v>
      </c>
      <c r="D336" s="0" t="str">
        <f aca="false">IFERROR(INDEX(Itens!$C$2:$C$100,MATCH(C336,Itens!$A$2:$A$100,0)),"")</f>
        <v>Registro de reclamações na Ouvidoria do COMSAUDE</v>
      </c>
      <c r="E336" s="0" t="str">
        <f aca="false">IFERROR(INDEX(Visitas!$C$2:$C$401,MATCH(A336,Visitas!$A$2:$A$401,0)),"")</f>
        <v>2026</v>
      </c>
      <c r="F336" s="0" t="str">
        <f aca="false">IFERROR(INDEX(Itens!$B$2:$B$100,MATCH(C336,Itens!$A$2:$A$100,0)),"")</f>
        <v>IV</v>
      </c>
      <c r="G336" s="13" t="n">
        <v>2</v>
      </c>
      <c r="H336" s="13" t="n">
        <v>0</v>
      </c>
    </row>
    <row r="337" customFormat="false" ht="15" hidden="false" customHeight="false" outlineLevel="0" collapsed="false">
      <c r="A337" s="13" t="n">
        <v>24</v>
      </c>
      <c r="B337" s="0" t="str">
        <f aca="false">IFERROR(INDEX(Visitas!$B$2:$B$401,MATCH(A337,Visitas!$A$2:$A$401,0)),"")</f>
        <v>UPA Dona Rosa</v>
      </c>
      <c r="C337" s="13" t="s">
        <v>113</v>
      </c>
      <c r="D337" s="0" t="str">
        <f aca="false">IFERROR(INDEX(Itens!$C$2:$C$100,MATCH(C337,Itens!$A$2:$A$100,0)),"")</f>
        <v>Satisfação dos usuários</v>
      </c>
      <c r="E337" s="0" t="str">
        <f aca="false">IFERROR(INDEX(Visitas!$C$2:$C$401,MATCH(A337,Visitas!$A$2:$A$401,0)),"")</f>
        <v>2026</v>
      </c>
      <c r="F337" s="0" t="str">
        <f aca="false">IFERROR(INDEX(Itens!$B$2:$B$100,MATCH(C337,Itens!$A$2:$A$100,0)),"")</f>
        <v>IV</v>
      </c>
      <c r="G337" s="13" t="n">
        <v>2</v>
      </c>
      <c r="H337" s="13" t="n">
        <v>0</v>
      </c>
    </row>
    <row r="338" customFormat="false" ht="15" hidden="false" customHeight="false" outlineLevel="0" collapsed="false">
      <c r="A338" s="13" t="n">
        <v>25</v>
      </c>
      <c r="B338" s="0" t="str">
        <f aca="false">IFERROR(INDEX(Visitas!$B$2:$B$401,MATCH(A338,Visitas!$A$2:$A$401,0)),"")</f>
        <v>Banco de Sangue</v>
      </c>
      <c r="C338" s="13" t="s">
        <v>65</v>
      </c>
      <c r="D338" s="0" t="str">
        <f aca="false">IFERROR(INDEX(Itens!$C$2:$C$100,MATCH(C338,Itens!$A$2:$A$100,0)),"")</f>
        <v>Infraestrutura civil</v>
      </c>
      <c r="E338" s="0" t="str">
        <f aca="false">IFERROR(INDEX(Visitas!$C$2:$C$401,MATCH(A338,Visitas!$A$2:$A$401,0)),"")</f>
        <v>2026</v>
      </c>
      <c r="F338" s="0" t="str">
        <f aca="false">IFERROR(INDEX(Itens!$B$2:$B$100,MATCH(C338,Itens!$A$2:$A$100,0)),"")</f>
        <v>I</v>
      </c>
      <c r="G338" s="13" t="n">
        <v>0</v>
      </c>
      <c r="H338" s="13" t="n">
        <v>0</v>
      </c>
    </row>
    <row r="339" customFormat="false" ht="15" hidden="false" customHeight="false" outlineLevel="0" collapsed="false">
      <c r="A339" s="13" t="n">
        <v>25</v>
      </c>
      <c r="B339" s="0" t="str">
        <f aca="false">IFERROR(INDEX(Visitas!$B$2:$B$401,MATCH(A339,Visitas!$A$2:$A$401,0)),"")</f>
        <v>Banco de Sangue</v>
      </c>
      <c r="C339" s="13" t="s">
        <v>70</v>
      </c>
      <c r="D339" s="0" t="str">
        <f aca="false">IFERROR(INDEX(Itens!$C$2:$C$100,MATCH(C339,Itens!$A$2:$A$100,0)),"")</f>
        <v>Infraestrutura elétrica</v>
      </c>
      <c r="E339" s="0" t="str">
        <f aca="false">IFERROR(INDEX(Visitas!$C$2:$C$401,MATCH(A339,Visitas!$A$2:$A$401,0)),"")</f>
        <v>2026</v>
      </c>
      <c r="F339" s="0" t="str">
        <f aca="false">IFERROR(INDEX(Itens!$B$2:$B$100,MATCH(C339,Itens!$A$2:$A$100,0)),"")</f>
        <v>I</v>
      </c>
      <c r="G339" s="13" t="n">
        <v>0</v>
      </c>
      <c r="H339" s="13" t="n">
        <v>0</v>
      </c>
    </row>
    <row r="340" customFormat="false" ht="15" hidden="false" customHeight="false" outlineLevel="0" collapsed="false">
      <c r="A340" s="13" t="n">
        <v>25</v>
      </c>
      <c r="B340" s="0" t="str">
        <f aca="false">IFERROR(INDEX(Visitas!$B$2:$B$401,MATCH(A340,Visitas!$A$2:$A$401,0)),"")</f>
        <v>Banco de Sangue</v>
      </c>
      <c r="C340" s="13" t="s">
        <v>73</v>
      </c>
      <c r="D340" s="0" t="str">
        <f aca="false">IFERROR(INDEX(Itens!$C$2:$C$100,MATCH(C340,Itens!$A$2:$A$100,0)),"")</f>
        <v>Infraestrutura hidráulica</v>
      </c>
      <c r="E340" s="0" t="str">
        <f aca="false">IFERROR(INDEX(Visitas!$C$2:$C$401,MATCH(A340,Visitas!$A$2:$A$401,0)),"")</f>
        <v>2026</v>
      </c>
      <c r="F340" s="0" t="str">
        <f aca="false">IFERROR(INDEX(Itens!$B$2:$B$100,MATCH(C340,Itens!$A$2:$A$100,0)),"")</f>
        <v>I</v>
      </c>
      <c r="G340" s="13" t="n">
        <v>1</v>
      </c>
      <c r="H340" s="13" t="n">
        <v>0</v>
      </c>
    </row>
    <row r="341" customFormat="false" ht="15" hidden="false" customHeight="false" outlineLevel="0" collapsed="false">
      <c r="A341" s="13" t="n">
        <v>25</v>
      </c>
      <c r="B341" s="0" t="str">
        <f aca="false">IFERROR(INDEX(Visitas!$B$2:$B$401,MATCH(A341,Visitas!$A$2:$A$401,0)),"")</f>
        <v>Banco de Sangue</v>
      </c>
      <c r="C341" s="13" t="s">
        <v>76</v>
      </c>
      <c r="D341" s="0" t="str">
        <f aca="false">IFERROR(INDEX(Itens!$C$2:$C$100,MATCH(C341,Itens!$A$2:$A$100,0)),"")</f>
        <v>Infraestrutura de comunicação</v>
      </c>
      <c r="E341" s="0" t="str">
        <f aca="false">IFERROR(INDEX(Visitas!$C$2:$C$401,MATCH(A341,Visitas!$A$2:$A$401,0)),"")</f>
        <v>2026</v>
      </c>
      <c r="F341" s="0" t="str">
        <f aca="false">IFERROR(INDEX(Itens!$B$2:$B$100,MATCH(C341,Itens!$A$2:$A$100,0)),"")</f>
        <v>I</v>
      </c>
      <c r="G341" s="13" t="n">
        <v>2</v>
      </c>
      <c r="H341" s="13" t="n">
        <v>0</v>
      </c>
    </row>
    <row r="342" customFormat="false" ht="15" hidden="false" customHeight="false" outlineLevel="0" collapsed="false">
      <c r="A342" s="13" t="n">
        <v>25</v>
      </c>
      <c r="B342" s="0" t="str">
        <f aca="false">IFERROR(INDEX(Visitas!$B$2:$B$401,MATCH(A342,Visitas!$A$2:$A$401,0)),"")</f>
        <v>Banco de Sangue</v>
      </c>
      <c r="C342" s="13" t="s">
        <v>79</v>
      </c>
      <c r="D342" s="0" t="str">
        <f aca="false">IFERROR(INDEX(Itens!$C$2:$C$100,MATCH(C342,Itens!$A$2:$A$100,0)),"")</f>
        <v>Equipamentos</v>
      </c>
      <c r="E342" s="0" t="str">
        <f aca="false">IFERROR(INDEX(Visitas!$C$2:$C$401,MATCH(A342,Visitas!$A$2:$A$401,0)),"")</f>
        <v>2026</v>
      </c>
      <c r="F342" s="0" t="str">
        <f aca="false">IFERROR(INDEX(Itens!$B$2:$B$100,MATCH(C342,Itens!$A$2:$A$100,0)),"")</f>
        <v>I</v>
      </c>
      <c r="G342" s="13" t="n">
        <v>2</v>
      </c>
      <c r="H342" s="13" t="n">
        <v>0</v>
      </c>
    </row>
    <row r="343" customFormat="false" ht="15" hidden="false" customHeight="false" outlineLevel="0" collapsed="false">
      <c r="A343" s="13" t="n">
        <v>25</v>
      </c>
      <c r="B343" s="0" t="str">
        <f aca="false">IFERROR(INDEX(Visitas!$B$2:$B$401,MATCH(A343,Visitas!$A$2:$A$401,0)),"")</f>
        <v>Banco de Sangue</v>
      </c>
      <c r="C343" s="13" t="s">
        <v>82</v>
      </c>
      <c r="D343" s="0" t="str">
        <f aca="false">IFERROR(INDEX(Itens!$C$2:$C$100,MATCH(C343,Itens!$A$2:$A$100,0)),"")</f>
        <v>Materiais, medicamentos e insumos</v>
      </c>
      <c r="E343" s="0" t="str">
        <f aca="false">IFERROR(INDEX(Visitas!$C$2:$C$401,MATCH(A343,Visitas!$A$2:$A$401,0)),"")</f>
        <v>2026</v>
      </c>
      <c r="F343" s="0" t="str">
        <f aca="false">IFERROR(INDEX(Itens!$B$2:$B$100,MATCH(C343,Itens!$A$2:$A$100,0)),"")</f>
        <v>I</v>
      </c>
      <c r="G343" s="13" t="n">
        <v>1</v>
      </c>
      <c r="H343" s="13" t="n">
        <v>0</v>
      </c>
    </row>
    <row r="344" customFormat="false" ht="15" hidden="false" customHeight="false" outlineLevel="0" collapsed="false">
      <c r="A344" s="13" t="n">
        <v>25</v>
      </c>
      <c r="B344" s="0" t="str">
        <f aca="false">IFERROR(INDEX(Visitas!$B$2:$B$401,MATCH(A344,Visitas!$A$2:$A$401,0)),"")</f>
        <v>Banco de Sangue</v>
      </c>
      <c r="C344" s="13" t="s">
        <v>85</v>
      </c>
      <c r="D344" s="0" t="str">
        <f aca="false">IFERROR(INDEX(Itens!$C$2:$C$100,MATCH(C344,Itens!$A$2:$A$100,0)),"")</f>
        <v>Conforto, limpeza e organização</v>
      </c>
      <c r="E344" s="0" t="str">
        <f aca="false">IFERROR(INDEX(Visitas!$C$2:$C$401,MATCH(A344,Visitas!$A$2:$A$401,0)),"")</f>
        <v>2026</v>
      </c>
      <c r="F344" s="0" t="str">
        <f aca="false">IFERROR(INDEX(Itens!$B$2:$B$100,MATCH(C344,Itens!$A$2:$A$100,0)),"")</f>
        <v>I</v>
      </c>
      <c r="G344" s="13" t="n">
        <v>1</v>
      </c>
      <c r="H344" s="13" t="n">
        <v>0</v>
      </c>
    </row>
    <row r="345" customFormat="false" ht="15" hidden="false" customHeight="false" outlineLevel="0" collapsed="false">
      <c r="A345" s="13" t="n">
        <v>25</v>
      </c>
      <c r="B345" s="0" t="str">
        <f aca="false">IFERROR(INDEX(Visitas!$B$2:$B$401,MATCH(A345,Visitas!$A$2:$A$401,0)),"")</f>
        <v>Banco de Sangue</v>
      </c>
      <c r="C345" s="13" t="s">
        <v>88</v>
      </c>
      <c r="D345" s="0" t="str">
        <f aca="false">IFERROR(INDEX(Itens!$C$2:$C$100,MATCH(C345,Itens!$A$2:$A$100,0)),"")</f>
        <v>Utilização de indicadores de gestão</v>
      </c>
      <c r="E345" s="0" t="str">
        <f aca="false">IFERROR(INDEX(Visitas!$C$2:$C$401,MATCH(A345,Visitas!$A$2:$A$401,0)),"")</f>
        <v>2026</v>
      </c>
      <c r="F345" s="0" t="str">
        <f aca="false">IFERROR(INDEX(Itens!$B$2:$B$100,MATCH(C345,Itens!$A$2:$A$100,0)),"")</f>
        <v>II</v>
      </c>
      <c r="G345" s="13" t="n">
        <v>2</v>
      </c>
      <c r="H345" s="13" t="n">
        <v>0</v>
      </c>
    </row>
    <row r="346" customFormat="false" ht="15" hidden="false" customHeight="false" outlineLevel="0" collapsed="false">
      <c r="A346" s="13" t="n">
        <v>25</v>
      </c>
      <c r="B346" s="0" t="str">
        <f aca="false">IFERROR(INDEX(Visitas!$B$2:$B$401,MATCH(A346,Visitas!$A$2:$A$401,0)),"")</f>
        <v>Banco de Sangue</v>
      </c>
      <c r="C346" s="13" t="s">
        <v>92</v>
      </c>
      <c r="D346" s="0" t="str">
        <f aca="false">IFERROR(INDEX(Itens!$C$2:$C$100,MATCH(C346,Itens!$A$2:$A$100,0)),"")</f>
        <v>Dimensionamento de equipe</v>
      </c>
      <c r="E346" s="0" t="str">
        <f aca="false">IFERROR(INDEX(Visitas!$C$2:$C$401,MATCH(A346,Visitas!$A$2:$A$401,0)),"")</f>
        <v>2026</v>
      </c>
      <c r="F346" s="0" t="str">
        <f aca="false">IFERROR(INDEX(Itens!$B$2:$B$100,MATCH(C346,Itens!$A$2:$A$100,0)),"")</f>
        <v>II</v>
      </c>
      <c r="G346" s="13" t="n">
        <v>2</v>
      </c>
      <c r="H346" s="13" t="n">
        <v>0</v>
      </c>
    </row>
    <row r="347" customFormat="false" ht="15" hidden="false" customHeight="false" outlineLevel="0" collapsed="false">
      <c r="A347" s="13" t="n">
        <v>25</v>
      </c>
      <c r="B347" s="0" t="str">
        <f aca="false">IFERROR(INDEX(Visitas!$B$2:$B$401,MATCH(A347,Visitas!$A$2:$A$401,0)),"")</f>
        <v>Banco de Sangue</v>
      </c>
      <c r="C347" s="13" t="s">
        <v>96</v>
      </c>
      <c r="D347" s="0" t="str">
        <f aca="false">IFERROR(INDEX(Itens!$C$2:$C$100,MATCH(C347,Itens!$A$2:$A$100,0)),"")</f>
        <v>Execução do cronograma de capacitação da equipe de trabalho</v>
      </c>
      <c r="E347" s="0" t="str">
        <f aca="false">IFERROR(INDEX(Visitas!$C$2:$C$401,MATCH(A347,Visitas!$A$2:$A$401,0)),"")</f>
        <v>2026</v>
      </c>
      <c r="F347" s="0" t="str">
        <f aca="false">IFERROR(INDEX(Itens!$B$2:$B$100,MATCH(C347,Itens!$A$2:$A$100,0)),"")</f>
        <v>II</v>
      </c>
      <c r="G347" s="13" t="n">
        <v>2</v>
      </c>
      <c r="H347" s="13" t="n">
        <v>0</v>
      </c>
    </row>
    <row r="348" customFormat="false" ht="15" hidden="false" customHeight="false" outlineLevel="0" collapsed="false">
      <c r="A348" s="13" t="n">
        <v>25</v>
      </c>
      <c r="B348" s="0" t="str">
        <f aca="false">IFERROR(INDEX(Visitas!$B$2:$B$401,MATCH(A348,Visitas!$A$2:$A$401,0)),"")</f>
        <v>Banco de Sangue</v>
      </c>
      <c r="C348" s="13" t="s">
        <v>100</v>
      </c>
      <c r="D348" s="0" t="str">
        <f aca="false">IFERROR(INDEX(Itens!$C$2:$C$100,MATCH(C348,Itens!$A$2:$A$100,0)),"")</f>
        <v>Disponibilidade de agendamento de consultas, exames e procedimentos</v>
      </c>
      <c r="E348" s="0" t="str">
        <f aca="false">IFERROR(INDEX(Visitas!$C$2:$C$401,MATCH(A348,Visitas!$A$2:$A$401,0)),"")</f>
        <v>2026</v>
      </c>
      <c r="F348" s="0" t="str">
        <f aca="false">IFERROR(INDEX(Itens!$B$2:$B$100,MATCH(C348,Itens!$A$2:$A$100,0)),"")</f>
        <v>II</v>
      </c>
      <c r="G348" s="13" t="n">
        <v>2</v>
      </c>
      <c r="H348" s="13" t="n">
        <v>0</v>
      </c>
    </row>
    <row r="349" customFormat="false" ht="15" hidden="false" customHeight="false" outlineLevel="0" collapsed="false">
      <c r="A349" s="13" t="n">
        <v>25</v>
      </c>
      <c r="B349" s="0" t="str">
        <f aca="false">IFERROR(INDEX(Visitas!$B$2:$B$401,MATCH(A349,Visitas!$A$2:$A$401,0)),"")</f>
        <v>Banco de Sangue</v>
      </c>
      <c r="C349" s="13" t="s">
        <v>104</v>
      </c>
      <c r="D349" s="0" t="str">
        <f aca="false">IFERROR(INDEX(Itens!$C$2:$C$100,MATCH(C349,Itens!$A$2:$A$100,0)),"")</f>
        <v>Atendimento aos indicadores do PMS</v>
      </c>
      <c r="E349" s="0" t="str">
        <f aca="false">IFERROR(INDEX(Visitas!$C$2:$C$401,MATCH(A349,Visitas!$A$2:$A$401,0)),"")</f>
        <v>2026</v>
      </c>
      <c r="F349" s="0" t="str">
        <f aca="false">IFERROR(INDEX(Itens!$B$2:$B$100,MATCH(C349,Itens!$A$2:$A$100,0)),"")</f>
        <v>III</v>
      </c>
      <c r="G349" s="13" t="n">
        <v>1</v>
      </c>
      <c r="H349" s="13" t="n">
        <v>0</v>
      </c>
    </row>
    <row r="350" customFormat="false" ht="15" hidden="false" customHeight="false" outlineLevel="0" collapsed="false">
      <c r="A350" s="13" t="n">
        <v>25</v>
      </c>
      <c r="B350" s="0" t="str">
        <f aca="false">IFERROR(INDEX(Visitas!$B$2:$B$401,MATCH(A350,Visitas!$A$2:$A$401,0)),"")</f>
        <v>Banco de Sangue</v>
      </c>
      <c r="C350" s="13" t="s">
        <v>109</v>
      </c>
      <c r="D350" s="0" t="str">
        <f aca="false">IFERROR(INDEX(Itens!$C$2:$C$100,MATCH(C350,Itens!$A$2:$A$100,0)),"")</f>
        <v>Registro de reclamações na Ouvidoria do COMSAUDE</v>
      </c>
      <c r="E350" s="0" t="str">
        <f aca="false">IFERROR(INDEX(Visitas!$C$2:$C$401,MATCH(A350,Visitas!$A$2:$A$401,0)),"")</f>
        <v>2026</v>
      </c>
      <c r="F350" s="0" t="str">
        <f aca="false">IFERROR(INDEX(Itens!$B$2:$B$100,MATCH(C350,Itens!$A$2:$A$100,0)),"")</f>
        <v>IV</v>
      </c>
      <c r="G350" s="13" t="n">
        <v>1</v>
      </c>
      <c r="H350" s="13" t="n">
        <v>0</v>
      </c>
    </row>
    <row r="351" customFormat="false" ht="15" hidden="false" customHeight="false" outlineLevel="0" collapsed="false">
      <c r="A351" s="13" t="n">
        <v>25</v>
      </c>
      <c r="B351" s="0" t="str">
        <f aca="false">IFERROR(INDEX(Visitas!$B$2:$B$401,MATCH(A351,Visitas!$A$2:$A$401,0)),"")</f>
        <v>Banco de Sangue</v>
      </c>
      <c r="C351" s="13" t="s">
        <v>113</v>
      </c>
      <c r="D351" s="0" t="str">
        <f aca="false">IFERROR(INDEX(Itens!$C$2:$C$100,MATCH(C351,Itens!$A$2:$A$100,0)),"")</f>
        <v>Satisfação dos usuários</v>
      </c>
      <c r="E351" s="0" t="str">
        <f aca="false">IFERROR(INDEX(Visitas!$C$2:$C$401,MATCH(A351,Visitas!$A$2:$A$401,0)),"")</f>
        <v>2026</v>
      </c>
      <c r="F351" s="0" t="str">
        <f aca="false">IFERROR(INDEX(Itens!$B$2:$B$100,MATCH(C351,Itens!$A$2:$A$100,0)),"")</f>
        <v>IV</v>
      </c>
      <c r="G351" s="13" t="n">
        <v>1</v>
      </c>
      <c r="H351" s="13" t="n">
        <v>0</v>
      </c>
    </row>
    <row r="352" customFormat="false" ht="15" hidden="false" customHeight="false" outlineLevel="0" collapsed="false">
      <c r="A352" s="13" t="n">
        <v>26</v>
      </c>
      <c r="B352" s="0" t="str">
        <f aca="false">IFERROR(INDEX(Visitas!$B$2:$B$401,MATCH(A352,Visitas!$A$2:$A$401,0)),"")</f>
        <v>UBS Parque Gramado</v>
      </c>
      <c r="C352" s="13" t="s">
        <v>65</v>
      </c>
      <c r="D352" s="0" t="str">
        <f aca="false">IFERROR(INDEX(Itens!$C$2:$C$100,MATCH(C352,Itens!$A$2:$A$100,0)),"")</f>
        <v>Infraestrutura civil</v>
      </c>
      <c r="E352" s="0" t="str">
        <f aca="false">IFERROR(INDEX(Visitas!$C$2:$C$401,MATCH(A352,Visitas!$A$2:$A$401,0)),"")</f>
        <v>2026</v>
      </c>
      <c r="F352" s="0" t="str">
        <f aca="false">IFERROR(INDEX(Itens!$B$2:$B$100,MATCH(C352,Itens!$A$2:$A$100,0)),"")</f>
        <v>I</v>
      </c>
      <c r="G352" s="13" t="n">
        <v>0</v>
      </c>
      <c r="H352" s="13" t="n">
        <v>0</v>
      </c>
    </row>
    <row r="353" customFormat="false" ht="15" hidden="false" customHeight="false" outlineLevel="0" collapsed="false">
      <c r="A353" s="13" t="n">
        <v>26</v>
      </c>
      <c r="B353" s="0" t="str">
        <f aca="false">IFERROR(INDEX(Visitas!$B$2:$B$401,MATCH(A353,Visitas!$A$2:$A$401,0)),"")</f>
        <v>UBS Parque Gramado</v>
      </c>
      <c r="C353" s="13" t="s">
        <v>70</v>
      </c>
      <c r="D353" s="0" t="str">
        <f aca="false">IFERROR(INDEX(Itens!$C$2:$C$100,MATCH(C353,Itens!$A$2:$A$100,0)),"")</f>
        <v>Infraestrutura elétrica</v>
      </c>
      <c r="E353" s="0" t="str">
        <f aca="false">IFERROR(INDEX(Visitas!$C$2:$C$401,MATCH(A353,Visitas!$A$2:$A$401,0)),"")</f>
        <v>2026</v>
      </c>
      <c r="F353" s="0" t="str">
        <f aca="false">IFERROR(INDEX(Itens!$B$2:$B$100,MATCH(C353,Itens!$A$2:$A$100,0)),"")</f>
        <v>I</v>
      </c>
      <c r="G353" s="13" t="n">
        <v>1</v>
      </c>
      <c r="H353" s="13" t="n">
        <v>0</v>
      </c>
    </row>
    <row r="354" customFormat="false" ht="15" hidden="false" customHeight="false" outlineLevel="0" collapsed="false">
      <c r="A354" s="13" t="n">
        <v>26</v>
      </c>
      <c r="B354" s="0" t="str">
        <f aca="false">IFERROR(INDEX(Visitas!$B$2:$B$401,MATCH(A354,Visitas!$A$2:$A$401,0)),"")</f>
        <v>UBS Parque Gramado</v>
      </c>
      <c r="C354" s="13" t="s">
        <v>73</v>
      </c>
      <c r="D354" s="0" t="str">
        <f aca="false">IFERROR(INDEX(Itens!$C$2:$C$100,MATCH(C354,Itens!$A$2:$A$100,0)),"")</f>
        <v>Infraestrutura hidráulica</v>
      </c>
      <c r="E354" s="0" t="str">
        <f aca="false">IFERROR(INDEX(Visitas!$C$2:$C$401,MATCH(A354,Visitas!$A$2:$A$401,0)),"")</f>
        <v>2026</v>
      </c>
      <c r="F354" s="0" t="str">
        <f aca="false">IFERROR(INDEX(Itens!$B$2:$B$100,MATCH(C354,Itens!$A$2:$A$100,0)),"")</f>
        <v>I</v>
      </c>
      <c r="G354" s="13" t="n">
        <v>0</v>
      </c>
      <c r="H354" s="13" t="n">
        <v>0</v>
      </c>
    </row>
    <row r="355" customFormat="false" ht="15" hidden="false" customHeight="false" outlineLevel="0" collapsed="false">
      <c r="A355" s="13" t="n">
        <v>26</v>
      </c>
      <c r="B355" s="0" t="str">
        <f aca="false">IFERROR(INDEX(Visitas!$B$2:$B$401,MATCH(A355,Visitas!$A$2:$A$401,0)),"")</f>
        <v>UBS Parque Gramado</v>
      </c>
      <c r="C355" s="13" t="s">
        <v>76</v>
      </c>
      <c r="D355" s="0" t="str">
        <f aca="false">IFERROR(INDEX(Itens!$C$2:$C$100,MATCH(C355,Itens!$A$2:$A$100,0)),"")</f>
        <v>Infraestrutura de comunicação</v>
      </c>
      <c r="E355" s="0" t="str">
        <f aca="false">IFERROR(INDEX(Visitas!$C$2:$C$401,MATCH(A355,Visitas!$A$2:$A$401,0)),"")</f>
        <v>2026</v>
      </c>
      <c r="F355" s="0" t="str">
        <f aca="false">IFERROR(INDEX(Itens!$B$2:$B$100,MATCH(C355,Itens!$A$2:$A$100,0)),"")</f>
        <v>I</v>
      </c>
      <c r="G355" s="13" t="n">
        <v>2</v>
      </c>
      <c r="H355" s="13" t="n">
        <v>0</v>
      </c>
    </row>
    <row r="356" customFormat="false" ht="15" hidden="false" customHeight="false" outlineLevel="0" collapsed="false">
      <c r="A356" s="13" t="n">
        <v>26</v>
      </c>
      <c r="B356" s="0" t="str">
        <f aca="false">IFERROR(INDEX(Visitas!$B$2:$B$401,MATCH(A356,Visitas!$A$2:$A$401,0)),"")</f>
        <v>UBS Parque Gramado</v>
      </c>
      <c r="C356" s="13" t="s">
        <v>79</v>
      </c>
      <c r="D356" s="0" t="str">
        <f aca="false">IFERROR(INDEX(Itens!$C$2:$C$100,MATCH(C356,Itens!$A$2:$A$100,0)),"")</f>
        <v>Equipamentos</v>
      </c>
      <c r="E356" s="0" t="str">
        <f aca="false">IFERROR(INDEX(Visitas!$C$2:$C$401,MATCH(A356,Visitas!$A$2:$A$401,0)),"")</f>
        <v>2026</v>
      </c>
      <c r="F356" s="0" t="str">
        <f aca="false">IFERROR(INDEX(Itens!$B$2:$B$100,MATCH(C356,Itens!$A$2:$A$100,0)),"")</f>
        <v>I</v>
      </c>
      <c r="G356" s="13" t="n">
        <v>2</v>
      </c>
      <c r="H356" s="13" t="n">
        <v>0</v>
      </c>
    </row>
    <row r="357" customFormat="false" ht="15" hidden="false" customHeight="false" outlineLevel="0" collapsed="false">
      <c r="A357" s="13" t="n">
        <v>26</v>
      </c>
      <c r="B357" s="0" t="str">
        <f aca="false">IFERROR(INDEX(Visitas!$B$2:$B$401,MATCH(A357,Visitas!$A$2:$A$401,0)),"")</f>
        <v>UBS Parque Gramado</v>
      </c>
      <c r="C357" s="13" t="s">
        <v>82</v>
      </c>
      <c r="D357" s="0" t="str">
        <f aca="false">IFERROR(INDEX(Itens!$C$2:$C$100,MATCH(C357,Itens!$A$2:$A$100,0)),"")</f>
        <v>Materiais, medicamentos e insumos</v>
      </c>
      <c r="E357" s="0" t="str">
        <f aca="false">IFERROR(INDEX(Visitas!$C$2:$C$401,MATCH(A357,Visitas!$A$2:$A$401,0)),"")</f>
        <v>2026</v>
      </c>
      <c r="F357" s="0" t="str">
        <f aca="false">IFERROR(INDEX(Itens!$B$2:$B$100,MATCH(C357,Itens!$A$2:$A$100,0)),"")</f>
        <v>I</v>
      </c>
      <c r="G357" s="13" t="n">
        <v>1</v>
      </c>
      <c r="H357" s="13" t="n">
        <v>0</v>
      </c>
    </row>
    <row r="358" customFormat="false" ht="15" hidden="false" customHeight="false" outlineLevel="0" collapsed="false">
      <c r="A358" s="13" t="n">
        <v>26</v>
      </c>
      <c r="B358" s="0" t="str">
        <f aca="false">IFERROR(INDEX(Visitas!$B$2:$B$401,MATCH(A358,Visitas!$A$2:$A$401,0)),"")</f>
        <v>UBS Parque Gramado</v>
      </c>
      <c r="C358" s="13" t="s">
        <v>85</v>
      </c>
      <c r="D358" s="0" t="str">
        <f aca="false">IFERROR(INDEX(Itens!$C$2:$C$100,MATCH(C358,Itens!$A$2:$A$100,0)),"")</f>
        <v>Conforto, limpeza e organização</v>
      </c>
      <c r="E358" s="0" t="str">
        <f aca="false">IFERROR(INDEX(Visitas!$C$2:$C$401,MATCH(A358,Visitas!$A$2:$A$401,0)),"")</f>
        <v>2026</v>
      </c>
      <c r="F358" s="0" t="str">
        <f aca="false">IFERROR(INDEX(Itens!$B$2:$B$100,MATCH(C358,Itens!$A$2:$A$100,0)),"")</f>
        <v>I</v>
      </c>
      <c r="G358" s="13" t="n">
        <v>1</v>
      </c>
      <c r="H358" s="13" t="n">
        <v>0</v>
      </c>
    </row>
    <row r="359" customFormat="false" ht="15" hidden="false" customHeight="false" outlineLevel="0" collapsed="false">
      <c r="A359" s="13" t="n">
        <v>26</v>
      </c>
      <c r="B359" s="0" t="str">
        <f aca="false">IFERROR(INDEX(Visitas!$B$2:$B$401,MATCH(A359,Visitas!$A$2:$A$401,0)),"")</f>
        <v>UBS Parque Gramado</v>
      </c>
      <c r="C359" s="13" t="s">
        <v>88</v>
      </c>
      <c r="D359" s="0" t="str">
        <f aca="false">IFERROR(INDEX(Itens!$C$2:$C$100,MATCH(C359,Itens!$A$2:$A$100,0)),"")</f>
        <v>Utilização de indicadores de gestão</v>
      </c>
      <c r="E359" s="0" t="str">
        <f aca="false">IFERROR(INDEX(Visitas!$C$2:$C$401,MATCH(A359,Visitas!$A$2:$A$401,0)),"")</f>
        <v>2026</v>
      </c>
      <c r="F359" s="0" t="str">
        <f aca="false">IFERROR(INDEX(Itens!$B$2:$B$100,MATCH(C359,Itens!$A$2:$A$100,0)),"")</f>
        <v>II</v>
      </c>
      <c r="G359" s="13" t="n">
        <v>2</v>
      </c>
      <c r="H359" s="13" t="n">
        <v>0</v>
      </c>
    </row>
    <row r="360" customFormat="false" ht="15" hidden="false" customHeight="false" outlineLevel="0" collapsed="false">
      <c r="A360" s="13" t="n">
        <v>26</v>
      </c>
      <c r="B360" s="0" t="str">
        <f aca="false">IFERROR(INDEX(Visitas!$B$2:$B$401,MATCH(A360,Visitas!$A$2:$A$401,0)),"")</f>
        <v>UBS Parque Gramado</v>
      </c>
      <c r="C360" s="13" t="s">
        <v>92</v>
      </c>
      <c r="D360" s="0" t="str">
        <f aca="false">IFERROR(INDEX(Itens!$C$2:$C$100,MATCH(C360,Itens!$A$2:$A$100,0)),"")</f>
        <v>Dimensionamento de equipe</v>
      </c>
      <c r="E360" s="0" t="str">
        <f aca="false">IFERROR(INDEX(Visitas!$C$2:$C$401,MATCH(A360,Visitas!$A$2:$A$401,0)),"")</f>
        <v>2026</v>
      </c>
      <c r="F360" s="0" t="str">
        <f aca="false">IFERROR(INDEX(Itens!$B$2:$B$100,MATCH(C360,Itens!$A$2:$A$100,0)),"")</f>
        <v>II</v>
      </c>
      <c r="G360" s="13" t="n">
        <v>2</v>
      </c>
      <c r="H360" s="13" t="n">
        <v>0</v>
      </c>
    </row>
    <row r="361" customFormat="false" ht="15" hidden="false" customHeight="false" outlineLevel="0" collapsed="false">
      <c r="A361" s="13" t="n">
        <v>26</v>
      </c>
      <c r="B361" s="0" t="str">
        <f aca="false">IFERROR(INDEX(Visitas!$B$2:$B$401,MATCH(A361,Visitas!$A$2:$A$401,0)),"")</f>
        <v>UBS Parque Gramado</v>
      </c>
      <c r="C361" s="13" t="s">
        <v>96</v>
      </c>
      <c r="D361" s="0" t="str">
        <f aca="false">IFERROR(INDEX(Itens!$C$2:$C$100,MATCH(C361,Itens!$A$2:$A$100,0)),"")</f>
        <v>Execução do cronograma de capacitação da equipe de trabalho</v>
      </c>
      <c r="E361" s="0" t="str">
        <f aca="false">IFERROR(INDEX(Visitas!$C$2:$C$401,MATCH(A361,Visitas!$A$2:$A$401,0)),"")</f>
        <v>2026</v>
      </c>
      <c r="F361" s="0" t="str">
        <f aca="false">IFERROR(INDEX(Itens!$B$2:$B$100,MATCH(C361,Itens!$A$2:$A$100,0)),"")</f>
        <v>II</v>
      </c>
      <c r="G361" s="13" t="n">
        <v>1</v>
      </c>
      <c r="H361" s="13" t="n">
        <v>0</v>
      </c>
    </row>
    <row r="362" customFormat="false" ht="15" hidden="false" customHeight="false" outlineLevel="0" collapsed="false">
      <c r="A362" s="13" t="n">
        <v>26</v>
      </c>
      <c r="B362" s="0" t="str">
        <f aca="false">IFERROR(INDEX(Visitas!$B$2:$B$401,MATCH(A362,Visitas!$A$2:$A$401,0)),"")</f>
        <v>UBS Parque Gramado</v>
      </c>
      <c r="C362" s="13" t="s">
        <v>100</v>
      </c>
      <c r="D362" s="0" t="str">
        <f aca="false">IFERROR(INDEX(Itens!$C$2:$C$100,MATCH(C362,Itens!$A$2:$A$100,0)),"")</f>
        <v>Disponibilidade de agendamento de consultas, exames e procedimentos</v>
      </c>
      <c r="E362" s="0" t="str">
        <f aca="false">IFERROR(INDEX(Visitas!$C$2:$C$401,MATCH(A362,Visitas!$A$2:$A$401,0)),"")</f>
        <v>2026</v>
      </c>
      <c r="F362" s="0" t="str">
        <f aca="false">IFERROR(INDEX(Itens!$B$2:$B$100,MATCH(C362,Itens!$A$2:$A$100,0)),"")</f>
        <v>II</v>
      </c>
      <c r="G362" s="13" t="n">
        <v>1</v>
      </c>
      <c r="H362" s="13" t="n">
        <v>0</v>
      </c>
    </row>
    <row r="363" customFormat="false" ht="15" hidden="false" customHeight="false" outlineLevel="0" collapsed="false">
      <c r="A363" s="13" t="n">
        <v>26</v>
      </c>
      <c r="B363" s="0" t="str">
        <f aca="false">IFERROR(INDEX(Visitas!$B$2:$B$401,MATCH(A363,Visitas!$A$2:$A$401,0)),"")</f>
        <v>UBS Parque Gramado</v>
      </c>
      <c r="C363" s="13" t="s">
        <v>104</v>
      </c>
      <c r="D363" s="0" t="str">
        <f aca="false">IFERROR(INDEX(Itens!$C$2:$C$100,MATCH(C363,Itens!$A$2:$A$100,0)),"")</f>
        <v>Atendimento aos indicadores do PMS</v>
      </c>
      <c r="E363" s="0" t="str">
        <f aca="false">IFERROR(INDEX(Visitas!$C$2:$C$401,MATCH(A363,Visitas!$A$2:$A$401,0)),"")</f>
        <v>2026</v>
      </c>
      <c r="F363" s="0" t="str">
        <f aca="false">IFERROR(INDEX(Itens!$B$2:$B$100,MATCH(C363,Itens!$A$2:$A$100,0)),"")</f>
        <v>III</v>
      </c>
      <c r="G363" s="13" t="n">
        <v>1</v>
      </c>
      <c r="H363" s="13" t="n">
        <v>0</v>
      </c>
    </row>
    <row r="364" customFormat="false" ht="15" hidden="false" customHeight="false" outlineLevel="0" collapsed="false">
      <c r="A364" s="13" t="n">
        <v>26</v>
      </c>
      <c r="B364" s="0" t="str">
        <f aca="false">IFERROR(INDEX(Visitas!$B$2:$B$401,MATCH(A364,Visitas!$A$2:$A$401,0)),"")</f>
        <v>UBS Parque Gramado</v>
      </c>
      <c r="C364" s="13" t="s">
        <v>109</v>
      </c>
      <c r="D364" s="0" t="str">
        <f aca="false">IFERROR(INDEX(Itens!$C$2:$C$100,MATCH(C364,Itens!$A$2:$A$100,0)),"")</f>
        <v>Registro de reclamações na Ouvidoria do COMSAUDE</v>
      </c>
      <c r="E364" s="0" t="str">
        <f aca="false">IFERROR(INDEX(Visitas!$C$2:$C$401,MATCH(A364,Visitas!$A$2:$A$401,0)),"")</f>
        <v>2026</v>
      </c>
      <c r="F364" s="0" t="str">
        <f aca="false">IFERROR(INDEX(Itens!$B$2:$B$100,MATCH(C364,Itens!$A$2:$A$100,0)),"")</f>
        <v>IV</v>
      </c>
      <c r="G364" s="13" t="n">
        <v>2</v>
      </c>
      <c r="H364" s="13" t="n">
        <v>0</v>
      </c>
    </row>
    <row r="365" customFormat="false" ht="15" hidden="false" customHeight="false" outlineLevel="0" collapsed="false">
      <c r="A365" s="13" t="n">
        <v>26</v>
      </c>
      <c r="B365" s="0" t="str">
        <f aca="false">IFERROR(INDEX(Visitas!$B$2:$B$401,MATCH(A365,Visitas!$A$2:$A$401,0)),"")</f>
        <v>UBS Parque Gramado</v>
      </c>
      <c r="C365" s="13" t="s">
        <v>113</v>
      </c>
      <c r="D365" s="0" t="str">
        <f aca="false">IFERROR(INDEX(Itens!$C$2:$C$100,MATCH(C365,Itens!$A$2:$A$100,0)),"")</f>
        <v>Satisfação dos usuários</v>
      </c>
      <c r="E365" s="0" t="str">
        <f aca="false">IFERROR(INDEX(Visitas!$C$2:$C$401,MATCH(A365,Visitas!$A$2:$A$401,0)),"")</f>
        <v>2026</v>
      </c>
      <c r="F365" s="0" t="str">
        <f aca="false">IFERROR(INDEX(Itens!$B$2:$B$100,MATCH(C365,Itens!$A$2:$A$100,0)),"")</f>
        <v>IV</v>
      </c>
      <c r="G365" s="13" t="n">
        <v>2</v>
      </c>
      <c r="H365" s="13" t="n">
        <v>0</v>
      </c>
    </row>
    <row r="366" customFormat="false" ht="15" hidden="false" customHeight="false" outlineLevel="0" collapsed="false">
      <c r="A366" s="13" t="n">
        <v>27</v>
      </c>
      <c r="B366" s="0" t="str">
        <f aca="false">IFERROR(INDEX(Visitas!$B$2:$B$401,MATCH(A366,Visitas!$A$2:$A$401,0)),"")</f>
        <v>ESF São José</v>
      </c>
      <c r="C366" s="13" t="s">
        <v>65</v>
      </c>
      <c r="D366" s="0" t="str">
        <f aca="false">IFERROR(INDEX(Itens!$C$2:$C$100,MATCH(C366,Itens!$A$2:$A$100,0)),"")</f>
        <v>Infraestrutura civil</v>
      </c>
      <c r="E366" s="0" t="str">
        <f aca="false">IFERROR(INDEX(Visitas!$C$2:$C$401,MATCH(A366,Visitas!$A$2:$A$401,0)),"")</f>
        <v>2026</v>
      </c>
      <c r="F366" s="0" t="str">
        <f aca="false">IFERROR(INDEX(Itens!$B$2:$B$100,MATCH(C366,Itens!$A$2:$A$100,0)),"")</f>
        <v>I</v>
      </c>
      <c r="G366" s="13" t="n">
        <v>1</v>
      </c>
      <c r="H366" s="13" t="n">
        <v>0</v>
      </c>
    </row>
    <row r="367" customFormat="false" ht="15" hidden="false" customHeight="false" outlineLevel="0" collapsed="false">
      <c r="A367" s="13" t="n">
        <v>27</v>
      </c>
      <c r="B367" s="0" t="str">
        <f aca="false">IFERROR(INDEX(Visitas!$B$2:$B$401,MATCH(A367,Visitas!$A$2:$A$401,0)),"")</f>
        <v>ESF São José</v>
      </c>
      <c r="C367" s="13" t="s">
        <v>70</v>
      </c>
      <c r="D367" s="0" t="str">
        <f aca="false">IFERROR(INDEX(Itens!$C$2:$C$100,MATCH(C367,Itens!$A$2:$A$100,0)),"")</f>
        <v>Infraestrutura elétrica</v>
      </c>
      <c r="E367" s="0" t="str">
        <f aca="false">IFERROR(INDEX(Visitas!$C$2:$C$401,MATCH(A367,Visitas!$A$2:$A$401,0)),"")</f>
        <v>2026</v>
      </c>
      <c r="F367" s="0" t="str">
        <f aca="false">IFERROR(INDEX(Itens!$B$2:$B$100,MATCH(C367,Itens!$A$2:$A$100,0)),"")</f>
        <v>I</v>
      </c>
      <c r="G367" s="13" t="n">
        <v>1</v>
      </c>
      <c r="H367" s="13" t="n">
        <v>0</v>
      </c>
    </row>
    <row r="368" customFormat="false" ht="15" hidden="false" customHeight="false" outlineLevel="0" collapsed="false">
      <c r="A368" s="13" t="n">
        <v>27</v>
      </c>
      <c r="B368" s="0" t="str">
        <f aca="false">IFERROR(INDEX(Visitas!$B$2:$B$401,MATCH(A368,Visitas!$A$2:$A$401,0)),"")</f>
        <v>ESF São José</v>
      </c>
      <c r="C368" s="13" t="s">
        <v>73</v>
      </c>
      <c r="D368" s="0" t="str">
        <f aca="false">IFERROR(INDEX(Itens!$C$2:$C$100,MATCH(C368,Itens!$A$2:$A$100,0)),"")</f>
        <v>Infraestrutura hidráulica</v>
      </c>
      <c r="E368" s="0" t="str">
        <f aca="false">IFERROR(INDEX(Visitas!$C$2:$C$401,MATCH(A368,Visitas!$A$2:$A$401,0)),"")</f>
        <v>2026</v>
      </c>
      <c r="F368" s="0" t="str">
        <f aca="false">IFERROR(INDEX(Itens!$B$2:$B$100,MATCH(C368,Itens!$A$2:$A$100,0)),"")</f>
        <v>I</v>
      </c>
      <c r="G368" s="13" t="n">
        <v>2</v>
      </c>
      <c r="H368" s="13" t="n">
        <v>0</v>
      </c>
    </row>
    <row r="369" customFormat="false" ht="15" hidden="false" customHeight="false" outlineLevel="0" collapsed="false">
      <c r="A369" s="13" t="n">
        <v>27</v>
      </c>
      <c r="B369" s="0" t="str">
        <f aca="false">IFERROR(INDEX(Visitas!$B$2:$B$401,MATCH(A369,Visitas!$A$2:$A$401,0)),"")</f>
        <v>ESF São José</v>
      </c>
      <c r="C369" s="13" t="s">
        <v>76</v>
      </c>
      <c r="D369" s="0" t="str">
        <f aca="false">IFERROR(INDEX(Itens!$C$2:$C$100,MATCH(C369,Itens!$A$2:$A$100,0)),"")</f>
        <v>Infraestrutura de comunicação</v>
      </c>
      <c r="E369" s="0" t="str">
        <f aca="false">IFERROR(INDEX(Visitas!$C$2:$C$401,MATCH(A369,Visitas!$A$2:$A$401,0)),"")</f>
        <v>2026</v>
      </c>
      <c r="F369" s="0" t="str">
        <f aca="false">IFERROR(INDEX(Itens!$B$2:$B$100,MATCH(C369,Itens!$A$2:$A$100,0)),"")</f>
        <v>I</v>
      </c>
      <c r="G369" s="13" t="n">
        <v>1</v>
      </c>
      <c r="H369" s="13" t="n">
        <v>0</v>
      </c>
    </row>
    <row r="370" customFormat="false" ht="15" hidden="false" customHeight="false" outlineLevel="0" collapsed="false">
      <c r="A370" s="13" t="n">
        <v>27</v>
      </c>
      <c r="B370" s="0" t="str">
        <f aca="false">IFERROR(INDEX(Visitas!$B$2:$B$401,MATCH(A370,Visitas!$A$2:$A$401,0)),"")</f>
        <v>ESF São José</v>
      </c>
      <c r="C370" s="13" t="s">
        <v>79</v>
      </c>
      <c r="D370" s="0" t="str">
        <f aca="false">IFERROR(INDEX(Itens!$C$2:$C$100,MATCH(C370,Itens!$A$2:$A$100,0)),"")</f>
        <v>Equipamentos</v>
      </c>
      <c r="E370" s="0" t="str">
        <f aca="false">IFERROR(INDEX(Visitas!$C$2:$C$401,MATCH(A370,Visitas!$A$2:$A$401,0)),"")</f>
        <v>2026</v>
      </c>
      <c r="F370" s="0" t="str">
        <f aca="false">IFERROR(INDEX(Itens!$B$2:$B$100,MATCH(C370,Itens!$A$2:$A$100,0)),"")</f>
        <v>I</v>
      </c>
      <c r="G370" s="13" t="n">
        <v>1</v>
      </c>
      <c r="H370" s="13" t="n">
        <v>0</v>
      </c>
    </row>
    <row r="371" customFormat="false" ht="15" hidden="false" customHeight="false" outlineLevel="0" collapsed="false">
      <c r="A371" s="13" t="n">
        <v>27</v>
      </c>
      <c r="B371" s="0" t="str">
        <f aca="false">IFERROR(INDEX(Visitas!$B$2:$B$401,MATCH(A371,Visitas!$A$2:$A$401,0)),"")</f>
        <v>ESF São José</v>
      </c>
      <c r="C371" s="13" t="s">
        <v>82</v>
      </c>
      <c r="D371" s="0" t="str">
        <f aca="false">IFERROR(INDEX(Itens!$C$2:$C$100,MATCH(C371,Itens!$A$2:$A$100,0)),"")</f>
        <v>Materiais, medicamentos e insumos</v>
      </c>
      <c r="E371" s="0" t="str">
        <f aca="false">IFERROR(INDEX(Visitas!$C$2:$C$401,MATCH(A371,Visitas!$A$2:$A$401,0)),"")</f>
        <v>2026</v>
      </c>
      <c r="F371" s="0" t="str">
        <f aca="false">IFERROR(INDEX(Itens!$B$2:$B$100,MATCH(C371,Itens!$A$2:$A$100,0)),"")</f>
        <v>I</v>
      </c>
      <c r="G371" s="13" t="n">
        <v>1</v>
      </c>
      <c r="H371" s="13" t="n">
        <v>0</v>
      </c>
    </row>
    <row r="372" customFormat="false" ht="15" hidden="false" customHeight="false" outlineLevel="0" collapsed="false">
      <c r="A372" s="13" t="n">
        <v>27</v>
      </c>
      <c r="B372" s="0" t="str">
        <f aca="false">IFERROR(INDEX(Visitas!$B$2:$B$401,MATCH(A372,Visitas!$A$2:$A$401,0)),"")</f>
        <v>ESF São José</v>
      </c>
      <c r="C372" s="13" t="s">
        <v>85</v>
      </c>
      <c r="D372" s="0" t="str">
        <f aca="false">IFERROR(INDEX(Itens!$C$2:$C$100,MATCH(C372,Itens!$A$2:$A$100,0)),"")</f>
        <v>Conforto, limpeza e organização</v>
      </c>
      <c r="E372" s="0" t="str">
        <f aca="false">IFERROR(INDEX(Visitas!$C$2:$C$401,MATCH(A372,Visitas!$A$2:$A$401,0)),"")</f>
        <v>2026</v>
      </c>
      <c r="F372" s="0" t="str">
        <f aca="false">IFERROR(INDEX(Itens!$B$2:$B$100,MATCH(C372,Itens!$A$2:$A$100,0)),"")</f>
        <v>I</v>
      </c>
      <c r="G372" s="13" t="n">
        <v>2</v>
      </c>
      <c r="H372" s="13" t="n">
        <v>0</v>
      </c>
    </row>
    <row r="373" customFormat="false" ht="15" hidden="false" customHeight="false" outlineLevel="0" collapsed="false">
      <c r="A373" s="13" t="n">
        <v>27</v>
      </c>
      <c r="B373" s="0" t="str">
        <f aca="false">IFERROR(INDEX(Visitas!$B$2:$B$401,MATCH(A373,Visitas!$A$2:$A$401,0)),"")</f>
        <v>ESF São José</v>
      </c>
      <c r="C373" s="13" t="s">
        <v>88</v>
      </c>
      <c r="D373" s="0" t="str">
        <f aca="false">IFERROR(INDEX(Itens!$C$2:$C$100,MATCH(C373,Itens!$A$2:$A$100,0)),"")</f>
        <v>Utilização de indicadores de gestão</v>
      </c>
      <c r="E373" s="0" t="str">
        <f aca="false">IFERROR(INDEX(Visitas!$C$2:$C$401,MATCH(A373,Visitas!$A$2:$A$401,0)),"")</f>
        <v>2026</v>
      </c>
      <c r="F373" s="0" t="str">
        <f aca="false">IFERROR(INDEX(Itens!$B$2:$B$100,MATCH(C373,Itens!$A$2:$A$100,0)),"")</f>
        <v>II</v>
      </c>
      <c r="G373" s="13" t="n">
        <v>2</v>
      </c>
      <c r="H373" s="13" t="n">
        <v>0</v>
      </c>
    </row>
    <row r="374" customFormat="false" ht="15" hidden="false" customHeight="false" outlineLevel="0" collapsed="false">
      <c r="A374" s="13" t="n">
        <v>27</v>
      </c>
      <c r="B374" s="0" t="str">
        <f aca="false">IFERROR(INDEX(Visitas!$B$2:$B$401,MATCH(A374,Visitas!$A$2:$A$401,0)),"")</f>
        <v>ESF São José</v>
      </c>
      <c r="C374" s="13" t="s">
        <v>92</v>
      </c>
      <c r="D374" s="0" t="str">
        <f aca="false">IFERROR(INDEX(Itens!$C$2:$C$100,MATCH(C374,Itens!$A$2:$A$100,0)),"")</f>
        <v>Dimensionamento de equipe</v>
      </c>
      <c r="E374" s="0" t="str">
        <f aca="false">IFERROR(INDEX(Visitas!$C$2:$C$401,MATCH(A374,Visitas!$A$2:$A$401,0)),"")</f>
        <v>2026</v>
      </c>
      <c r="F374" s="0" t="str">
        <f aca="false">IFERROR(INDEX(Itens!$B$2:$B$100,MATCH(C374,Itens!$A$2:$A$100,0)),"")</f>
        <v>II</v>
      </c>
      <c r="G374" s="13" t="n">
        <v>2</v>
      </c>
      <c r="H374" s="13" t="n">
        <v>0</v>
      </c>
    </row>
    <row r="375" customFormat="false" ht="15" hidden="false" customHeight="false" outlineLevel="0" collapsed="false">
      <c r="A375" s="13" t="n">
        <v>27</v>
      </c>
      <c r="B375" s="0" t="str">
        <f aca="false">IFERROR(INDEX(Visitas!$B$2:$B$401,MATCH(A375,Visitas!$A$2:$A$401,0)),"")</f>
        <v>ESF São José</v>
      </c>
      <c r="C375" s="13" t="s">
        <v>96</v>
      </c>
      <c r="D375" s="0" t="str">
        <f aca="false">IFERROR(INDEX(Itens!$C$2:$C$100,MATCH(C375,Itens!$A$2:$A$100,0)),"")</f>
        <v>Execução do cronograma de capacitação da equipe de trabalho</v>
      </c>
      <c r="E375" s="0" t="str">
        <f aca="false">IFERROR(INDEX(Visitas!$C$2:$C$401,MATCH(A375,Visitas!$A$2:$A$401,0)),"")</f>
        <v>2026</v>
      </c>
      <c r="F375" s="0" t="str">
        <f aca="false">IFERROR(INDEX(Itens!$B$2:$B$100,MATCH(C375,Itens!$A$2:$A$100,0)),"")</f>
        <v>II</v>
      </c>
      <c r="G375" s="13" t="n">
        <v>2</v>
      </c>
      <c r="H375" s="13" t="n">
        <v>0</v>
      </c>
    </row>
    <row r="376" customFormat="false" ht="15" hidden="false" customHeight="false" outlineLevel="0" collapsed="false">
      <c r="A376" s="13" t="n">
        <v>27</v>
      </c>
      <c r="B376" s="0" t="str">
        <f aca="false">IFERROR(INDEX(Visitas!$B$2:$B$401,MATCH(A376,Visitas!$A$2:$A$401,0)),"")</f>
        <v>ESF São José</v>
      </c>
      <c r="C376" s="13" t="s">
        <v>100</v>
      </c>
      <c r="D376" s="0" t="str">
        <f aca="false">IFERROR(INDEX(Itens!$C$2:$C$100,MATCH(C376,Itens!$A$2:$A$100,0)),"")</f>
        <v>Disponibilidade de agendamento de consultas, exames e procedimentos</v>
      </c>
      <c r="E376" s="0" t="str">
        <f aca="false">IFERROR(INDEX(Visitas!$C$2:$C$401,MATCH(A376,Visitas!$A$2:$A$401,0)),"")</f>
        <v>2026</v>
      </c>
      <c r="F376" s="0" t="str">
        <f aca="false">IFERROR(INDEX(Itens!$B$2:$B$100,MATCH(C376,Itens!$A$2:$A$100,0)),"")</f>
        <v>II</v>
      </c>
      <c r="G376" s="13" t="n">
        <v>2</v>
      </c>
      <c r="H376" s="13" t="n">
        <v>0</v>
      </c>
    </row>
    <row r="377" customFormat="false" ht="15" hidden="false" customHeight="false" outlineLevel="0" collapsed="false">
      <c r="A377" s="13" t="n">
        <v>27</v>
      </c>
      <c r="B377" s="0" t="str">
        <f aca="false">IFERROR(INDEX(Visitas!$B$2:$B$401,MATCH(A377,Visitas!$A$2:$A$401,0)),"")</f>
        <v>ESF São José</v>
      </c>
      <c r="C377" s="13" t="s">
        <v>104</v>
      </c>
      <c r="D377" s="0" t="str">
        <f aca="false">IFERROR(INDEX(Itens!$C$2:$C$100,MATCH(C377,Itens!$A$2:$A$100,0)),"")</f>
        <v>Atendimento aos indicadores do PMS</v>
      </c>
      <c r="E377" s="0" t="str">
        <f aca="false">IFERROR(INDEX(Visitas!$C$2:$C$401,MATCH(A377,Visitas!$A$2:$A$401,0)),"")</f>
        <v>2026</v>
      </c>
      <c r="F377" s="0" t="str">
        <f aca="false">IFERROR(INDEX(Itens!$B$2:$B$100,MATCH(C377,Itens!$A$2:$A$100,0)),"")</f>
        <v>III</v>
      </c>
      <c r="G377" s="13" t="n">
        <v>2</v>
      </c>
      <c r="H377" s="13" t="n">
        <v>0</v>
      </c>
    </row>
    <row r="378" customFormat="false" ht="15" hidden="false" customHeight="false" outlineLevel="0" collapsed="false">
      <c r="A378" s="13" t="n">
        <v>27</v>
      </c>
      <c r="B378" s="0" t="str">
        <f aca="false">IFERROR(INDEX(Visitas!$B$2:$B$401,MATCH(A378,Visitas!$A$2:$A$401,0)),"")</f>
        <v>ESF São José</v>
      </c>
      <c r="C378" s="13" t="s">
        <v>109</v>
      </c>
      <c r="D378" s="0" t="str">
        <f aca="false">IFERROR(INDEX(Itens!$C$2:$C$100,MATCH(C378,Itens!$A$2:$A$100,0)),"")</f>
        <v>Registro de reclamações na Ouvidoria do COMSAUDE</v>
      </c>
      <c r="E378" s="0" t="str">
        <f aca="false">IFERROR(INDEX(Visitas!$C$2:$C$401,MATCH(A378,Visitas!$A$2:$A$401,0)),"")</f>
        <v>2026</v>
      </c>
      <c r="F378" s="0" t="str">
        <f aca="false">IFERROR(INDEX(Itens!$B$2:$B$100,MATCH(C378,Itens!$A$2:$A$100,0)),"")</f>
        <v>IV</v>
      </c>
      <c r="G378" s="13" t="n">
        <v>1</v>
      </c>
      <c r="H378" s="13" t="n">
        <v>0</v>
      </c>
    </row>
    <row r="379" customFormat="false" ht="15" hidden="false" customHeight="false" outlineLevel="0" collapsed="false">
      <c r="A379" s="13" t="n">
        <v>27</v>
      </c>
      <c r="B379" s="0" t="str">
        <f aca="false">IFERROR(INDEX(Visitas!$B$2:$B$401,MATCH(A379,Visitas!$A$2:$A$401,0)),"")</f>
        <v>ESF São José</v>
      </c>
      <c r="C379" s="13" t="s">
        <v>113</v>
      </c>
      <c r="D379" s="0" t="str">
        <f aca="false">IFERROR(INDEX(Itens!$C$2:$C$100,MATCH(C379,Itens!$A$2:$A$100,0)),"")</f>
        <v>Satisfação dos usuários</v>
      </c>
      <c r="E379" s="0" t="str">
        <f aca="false">IFERROR(INDEX(Visitas!$C$2:$C$401,MATCH(A379,Visitas!$A$2:$A$401,0)),"")</f>
        <v>2026</v>
      </c>
      <c r="F379" s="0" t="str">
        <f aca="false">IFERROR(INDEX(Itens!$B$2:$B$100,MATCH(C379,Itens!$A$2:$A$100,0)),"")</f>
        <v>IV</v>
      </c>
      <c r="G379" s="13" t="n">
        <v>1</v>
      </c>
      <c r="H379" s="13" t="n">
        <v>0</v>
      </c>
    </row>
    <row r="380" customFormat="false" ht="15" hidden="false" customHeight="false" outlineLevel="0" collapsed="false">
      <c r="A380" s="13" t="n">
        <v>28</v>
      </c>
      <c r="B380" s="0" t="str">
        <f aca="false">IFERROR(INDEX(Visitas!$B$2:$B$401,MATCH(A380,Visitas!$A$2:$A$401,0)),"")</f>
        <v>ESF Praia Azul</v>
      </c>
      <c r="C380" s="13" t="s">
        <v>65</v>
      </c>
      <c r="D380" s="0" t="str">
        <f aca="false">IFERROR(INDEX(Itens!$C$2:$C$100,MATCH(C380,Itens!$A$2:$A$100,0)),"")</f>
        <v>Infraestrutura civil</v>
      </c>
      <c r="E380" s="0" t="str">
        <f aca="false">IFERROR(INDEX(Visitas!$C$2:$C$401,MATCH(A380,Visitas!$A$2:$A$401,0)),"")</f>
        <v>2026</v>
      </c>
      <c r="F380" s="0" t="str">
        <f aca="false">IFERROR(INDEX(Itens!$B$2:$B$100,MATCH(C380,Itens!$A$2:$A$100,0)),"")</f>
        <v>I</v>
      </c>
      <c r="G380" s="13" t="n">
        <v>1</v>
      </c>
      <c r="H380" s="13" t="n">
        <v>0</v>
      </c>
    </row>
    <row r="381" customFormat="false" ht="15" hidden="false" customHeight="false" outlineLevel="0" collapsed="false">
      <c r="A381" s="13" t="n">
        <v>28</v>
      </c>
      <c r="B381" s="0" t="str">
        <f aca="false">IFERROR(INDEX(Visitas!$B$2:$B$401,MATCH(A381,Visitas!$A$2:$A$401,0)),"")</f>
        <v>ESF Praia Azul</v>
      </c>
      <c r="C381" s="13" t="s">
        <v>70</v>
      </c>
      <c r="D381" s="0" t="str">
        <f aca="false">IFERROR(INDEX(Itens!$C$2:$C$100,MATCH(C381,Itens!$A$2:$A$100,0)),"")</f>
        <v>Infraestrutura elétrica</v>
      </c>
      <c r="E381" s="0" t="str">
        <f aca="false">IFERROR(INDEX(Visitas!$C$2:$C$401,MATCH(A381,Visitas!$A$2:$A$401,0)),"")</f>
        <v>2026</v>
      </c>
      <c r="F381" s="0" t="str">
        <f aca="false">IFERROR(INDEX(Itens!$B$2:$B$100,MATCH(C381,Itens!$A$2:$A$100,0)),"")</f>
        <v>I</v>
      </c>
      <c r="G381" s="13" t="n">
        <v>1</v>
      </c>
      <c r="H381" s="13" t="n">
        <v>0</v>
      </c>
    </row>
    <row r="382" customFormat="false" ht="15" hidden="false" customHeight="false" outlineLevel="0" collapsed="false">
      <c r="A382" s="13" t="n">
        <v>28</v>
      </c>
      <c r="B382" s="0" t="str">
        <f aca="false">IFERROR(INDEX(Visitas!$B$2:$B$401,MATCH(A382,Visitas!$A$2:$A$401,0)),"")</f>
        <v>ESF Praia Azul</v>
      </c>
      <c r="C382" s="13" t="s">
        <v>73</v>
      </c>
      <c r="D382" s="0" t="str">
        <f aca="false">IFERROR(INDEX(Itens!$C$2:$C$100,MATCH(C382,Itens!$A$2:$A$100,0)),"")</f>
        <v>Infraestrutura hidráulica</v>
      </c>
      <c r="E382" s="0" t="str">
        <f aca="false">IFERROR(INDEX(Visitas!$C$2:$C$401,MATCH(A382,Visitas!$A$2:$A$401,0)),"")</f>
        <v>2026</v>
      </c>
      <c r="F382" s="0" t="str">
        <f aca="false">IFERROR(INDEX(Itens!$B$2:$B$100,MATCH(C382,Itens!$A$2:$A$100,0)),"")</f>
        <v>I</v>
      </c>
      <c r="G382" s="13" t="n">
        <v>2</v>
      </c>
      <c r="H382" s="13" t="n">
        <v>0</v>
      </c>
    </row>
    <row r="383" customFormat="false" ht="15" hidden="false" customHeight="false" outlineLevel="0" collapsed="false">
      <c r="A383" s="13" t="n">
        <v>28</v>
      </c>
      <c r="B383" s="0" t="str">
        <f aca="false">IFERROR(INDEX(Visitas!$B$2:$B$401,MATCH(A383,Visitas!$A$2:$A$401,0)),"")</f>
        <v>ESF Praia Azul</v>
      </c>
      <c r="C383" s="13" t="s">
        <v>76</v>
      </c>
      <c r="D383" s="0" t="str">
        <f aca="false">IFERROR(INDEX(Itens!$C$2:$C$100,MATCH(C383,Itens!$A$2:$A$100,0)),"")</f>
        <v>Infraestrutura de comunicação</v>
      </c>
      <c r="E383" s="0" t="str">
        <f aca="false">IFERROR(INDEX(Visitas!$C$2:$C$401,MATCH(A383,Visitas!$A$2:$A$401,0)),"")</f>
        <v>2026</v>
      </c>
      <c r="F383" s="0" t="str">
        <f aca="false">IFERROR(INDEX(Itens!$B$2:$B$100,MATCH(C383,Itens!$A$2:$A$100,0)),"")</f>
        <v>I</v>
      </c>
      <c r="G383" s="13" t="n">
        <v>2</v>
      </c>
      <c r="H383" s="13" t="n">
        <v>0</v>
      </c>
    </row>
    <row r="384" customFormat="false" ht="15" hidden="false" customHeight="false" outlineLevel="0" collapsed="false">
      <c r="A384" s="13" t="n">
        <v>28</v>
      </c>
      <c r="B384" s="0" t="str">
        <f aca="false">IFERROR(INDEX(Visitas!$B$2:$B$401,MATCH(A384,Visitas!$A$2:$A$401,0)),"")</f>
        <v>ESF Praia Azul</v>
      </c>
      <c r="C384" s="13" t="s">
        <v>79</v>
      </c>
      <c r="D384" s="0" t="str">
        <f aca="false">IFERROR(INDEX(Itens!$C$2:$C$100,MATCH(C384,Itens!$A$2:$A$100,0)),"")</f>
        <v>Equipamentos</v>
      </c>
      <c r="E384" s="0" t="str">
        <f aca="false">IFERROR(INDEX(Visitas!$C$2:$C$401,MATCH(A384,Visitas!$A$2:$A$401,0)),"")</f>
        <v>2026</v>
      </c>
      <c r="F384" s="0" t="str">
        <f aca="false">IFERROR(INDEX(Itens!$B$2:$B$100,MATCH(C384,Itens!$A$2:$A$100,0)),"")</f>
        <v>I</v>
      </c>
      <c r="G384" s="13" t="n">
        <v>2</v>
      </c>
      <c r="H384" s="13" t="n">
        <v>0</v>
      </c>
    </row>
    <row r="385" customFormat="false" ht="15" hidden="false" customHeight="false" outlineLevel="0" collapsed="false">
      <c r="A385" s="13" t="n">
        <v>28</v>
      </c>
      <c r="B385" s="0" t="str">
        <f aca="false">IFERROR(INDEX(Visitas!$B$2:$B$401,MATCH(A385,Visitas!$A$2:$A$401,0)),"")</f>
        <v>ESF Praia Azul</v>
      </c>
      <c r="C385" s="13" t="s">
        <v>82</v>
      </c>
      <c r="D385" s="0" t="str">
        <f aca="false">IFERROR(INDEX(Itens!$C$2:$C$100,MATCH(C385,Itens!$A$2:$A$100,0)),"")</f>
        <v>Materiais, medicamentos e insumos</v>
      </c>
      <c r="E385" s="0" t="str">
        <f aca="false">IFERROR(INDEX(Visitas!$C$2:$C$401,MATCH(A385,Visitas!$A$2:$A$401,0)),"")</f>
        <v>2026</v>
      </c>
      <c r="F385" s="0" t="str">
        <f aca="false">IFERROR(INDEX(Itens!$B$2:$B$100,MATCH(C385,Itens!$A$2:$A$100,0)),"")</f>
        <v>I</v>
      </c>
      <c r="G385" s="13" t="n">
        <v>2</v>
      </c>
      <c r="H385" s="13" t="n">
        <v>0</v>
      </c>
    </row>
    <row r="386" customFormat="false" ht="15" hidden="false" customHeight="false" outlineLevel="0" collapsed="false">
      <c r="A386" s="13" t="n">
        <v>28</v>
      </c>
      <c r="B386" s="0" t="str">
        <f aca="false">IFERROR(INDEX(Visitas!$B$2:$B$401,MATCH(A386,Visitas!$A$2:$A$401,0)),"")</f>
        <v>ESF Praia Azul</v>
      </c>
      <c r="C386" s="13" t="s">
        <v>85</v>
      </c>
      <c r="D386" s="0" t="str">
        <f aca="false">IFERROR(INDEX(Itens!$C$2:$C$100,MATCH(C386,Itens!$A$2:$A$100,0)),"")</f>
        <v>Conforto, limpeza e organização</v>
      </c>
      <c r="E386" s="0" t="str">
        <f aca="false">IFERROR(INDEX(Visitas!$C$2:$C$401,MATCH(A386,Visitas!$A$2:$A$401,0)),"")</f>
        <v>2026</v>
      </c>
      <c r="F386" s="0" t="str">
        <f aca="false">IFERROR(INDEX(Itens!$B$2:$B$100,MATCH(C386,Itens!$A$2:$A$100,0)),"")</f>
        <v>I</v>
      </c>
      <c r="G386" s="13" t="n">
        <v>2</v>
      </c>
      <c r="H386" s="13" t="n">
        <v>0</v>
      </c>
    </row>
    <row r="387" customFormat="false" ht="15" hidden="false" customHeight="false" outlineLevel="0" collapsed="false">
      <c r="A387" s="13" t="n">
        <v>28</v>
      </c>
      <c r="B387" s="0" t="str">
        <f aca="false">IFERROR(INDEX(Visitas!$B$2:$B$401,MATCH(A387,Visitas!$A$2:$A$401,0)),"")</f>
        <v>ESF Praia Azul</v>
      </c>
      <c r="C387" s="13" t="s">
        <v>88</v>
      </c>
      <c r="D387" s="0" t="str">
        <f aca="false">IFERROR(INDEX(Itens!$C$2:$C$100,MATCH(C387,Itens!$A$2:$A$100,0)),"")</f>
        <v>Utilização de indicadores de gestão</v>
      </c>
      <c r="E387" s="0" t="str">
        <f aca="false">IFERROR(INDEX(Visitas!$C$2:$C$401,MATCH(A387,Visitas!$A$2:$A$401,0)),"")</f>
        <v>2026</v>
      </c>
      <c r="F387" s="0" t="str">
        <f aca="false">IFERROR(INDEX(Itens!$B$2:$B$100,MATCH(C387,Itens!$A$2:$A$100,0)),"")</f>
        <v>II</v>
      </c>
      <c r="G387" s="13" t="n">
        <v>2</v>
      </c>
      <c r="H387" s="13" t="n">
        <v>0</v>
      </c>
    </row>
    <row r="388" customFormat="false" ht="15" hidden="false" customHeight="false" outlineLevel="0" collapsed="false">
      <c r="A388" s="13" t="n">
        <v>28</v>
      </c>
      <c r="B388" s="0" t="str">
        <f aca="false">IFERROR(INDEX(Visitas!$B$2:$B$401,MATCH(A388,Visitas!$A$2:$A$401,0)),"")</f>
        <v>ESF Praia Azul</v>
      </c>
      <c r="C388" s="13" t="s">
        <v>92</v>
      </c>
      <c r="D388" s="0" t="str">
        <f aca="false">IFERROR(INDEX(Itens!$C$2:$C$100,MATCH(C388,Itens!$A$2:$A$100,0)),"")</f>
        <v>Dimensionamento de equipe</v>
      </c>
      <c r="E388" s="0" t="str">
        <f aca="false">IFERROR(INDEX(Visitas!$C$2:$C$401,MATCH(A388,Visitas!$A$2:$A$401,0)),"")</f>
        <v>2026</v>
      </c>
      <c r="F388" s="0" t="str">
        <f aca="false">IFERROR(INDEX(Itens!$B$2:$B$100,MATCH(C388,Itens!$A$2:$A$100,0)),"")</f>
        <v>II</v>
      </c>
      <c r="G388" s="13" t="n">
        <v>2</v>
      </c>
      <c r="H388" s="13" t="n">
        <v>0</v>
      </c>
    </row>
    <row r="389" customFormat="false" ht="15" hidden="false" customHeight="false" outlineLevel="0" collapsed="false">
      <c r="A389" s="13" t="n">
        <v>28</v>
      </c>
      <c r="B389" s="0" t="str">
        <f aca="false">IFERROR(INDEX(Visitas!$B$2:$B$401,MATCH(A389,Visitas!$A$2:$A$401,0)),"")</f>
        <v>ESF Praia Azul</v>
      </c>
      <c r="C389" s="13" t="s">
        <v>96</v>
      </c>
      <c r="D389" s="0" t="str">
        <f aca="false">IFERROR(INDEX(Itens!$C$2:$C$100,MATCH(C389,Itens!$A$2:$A$100,0)),"")</f>
        <v>Execução do cronograma de capacitação da equipe de trabalho</v>
      </c>
      <c r="E389" s="0" t="str">
        <f aca="false">IFERROR(INDEX(Visitas!$C$2:$C$401,MATCH(A389,Visitas!$A$2:$A$401,0)),"")</f>
        <v>2026</v>
      </c>
      <c r="F389" s="0" t="str">
        <f aca="false">IFERROR(INDEX(Itens!$B$2:$B$100,MATCH(C389,Itens!$A$2:$A$100,0)),"")</f>
        <v>II</v>
      </c>
      <c r="G389" s="13" t="n">
        <v>2</v>
      </c>
      <c r="H389" s="13" t="n">
        <v>0</v>
      </c>
    </row>
    <row r="390" customFormat="false" ht="15" hidden="false" customHeight="false" outlineLevel="0" collapsed="false">
      <c r="A390" s="13" t="n">
        <v>28</v>
      </c>
      <c r="B390" s="0" t="str">
        <f aca="false">IFERROR(INDEX(Visitas!$B$2:$B$401,MATCH(A390,Visitas!$A$2:$A$401,0)),"")</f>
        <v>ESF Praia Azul</v>
      </c>
      <c r="C390" s="13" t="s">
        <v>100</v>
      </c>
      <c r="D390" s="0" t="str">
        <f aca="false">IFERROR(INDEX(Itens!$C$2:$C$100,MATCH(C390,Itens!$A$2:$A$100,0)),"")</f>
        <v>Disponibilidade de agendamento de consultas, exames e procedimentos</v>
      </c>
      <c r="E390" s="0" t="str">
        <f aca="false">IFERROR(INDEX(Visitas!$C$2:$C$401,MATCH(A390,Visitas!$A$2:$A$401,0)),"")</f>
        <v>2026</v>
      </c>
      <c r="F390" s="0" t="str">
        <f aca="false">IFERROR(INDEX(Itens!$B$2:$B$100,MATCH(C390,Itens!$A$2:$A$100,0)),"")</f>
        <v>II</v>
      </c>
      <c r="G390" s="13" t="n">
        <v>2</v>
      </c>
      <c r="H390" s="13" t="n">
        <v>0</v>
      </c>
    </row>
    <row r="391" customFormat="false" ht="15" hidden="false" customHeight="false" outlineLevel="0" collapsed="false">
      <c r="A391" s="13" t="n">
        <v>28</v>
      </c>
      <c r="B391" s="0" t="str">
        <f aca="false">IFERROR(INDEX(Visitas!$B$2:$B$401,MATCH(A391,Visitas!$A$2:$A$401,0)),"")</f>
        <v>ESF Praia Azul</v>
      </c>
      <c r="C391" s="13" t="s">
        <v>104</v>
      </c>
      <c r="D391" s="0" t="str">
        <f aca="false">IFERROR(INDEX(Itens!$C$2:$C$100,MATCH(C391,Itens!$A$2:$A$100,0)),"")</f>
        <v>Atendimento aos indicadores do PMS</v>
      </c>
      <c r="E391" s="0" t="str">
        <f aca="false">IFERROR(INDEX(Visitas!$C$2:$C$401,MATCH(A391,Visitas!$A$2:$A$401,0)),"")</f>
        <v>2026</v>
      </c>
      <c r="F391" s="0" t="str">
        <f aca="false">IFERROR(INDEX(Itens!$B$2:$B$100,MATCH(C391,Itens!$A$2:$A$100,0)),"")</f>
        <v>III</v>
      </c>
      <c r="G391" s="13" t="n">
        <v>2</v>
      </c>
      <c r="H391" s="13" t="n">
        <v>0</v>
      </c>
    </row>
    <row r="392" customFormat="false" ht="15" hidden="false" customHeight="false" outlineLevel="0" collapsed="false">
      <c r="A392" s="13" t="n">
        <v>28</v>
      </c>
      <c r="B392" s="0" t="str">
        <f aca="false">IFERROR(INDEX(Visitas!$B$2:$B$401,MATCH(A392,Visitas!$A$2:$A$401,0)),"")</f>
        <v>ESF Praia Azul</v>
      </c>
      <c r="C392" s="13" t="s">
        <v>109</v>
      </c>
      <c r="D392" s="0" t="str">
        <f aca="false">IFERROR(INDEX(Itens!$C$2:$C$100,MATCH(C392,Itens!$A$2:$A$100,0)),"")</f>
        <v>Registro de reclamações na Ouvidoria do COMSAUDE</v>
      </c>
      <c r="E392" s="0" t="str">
        <f aca="false">IFERROR(INDEX(Visitas!$C$2:$C$401,MATCH(A392,Visitas!$A$2:$A$401,0)),"")</f>
        <v>2026</v>
      </c>
      <c r="F392" s="0" t="str">
        <f aca="false">IFERROR(INDEX(Itens!$B$2:$B$100,MATCH(C392,Itens!$A$2:$A$100,0)),"")</f>
        <v>IV</v>
      </c>
      <c r="G392" s="13" t="n">
        <v>2</v>
      </c>
      <c r="H392" s="13" t="n">
        <v>0</v>
      </c>
    </row>
    <row r="393" customFormat="false" ht="15" hidden="false" customHeight="false" outlineLevel="0" collapsed="false">
      <c r="A393" s="13" t="n">
        <v>28</v>
      </c>
      <c r="B393" s="0" t="str">
        <f aca="false">IFERROR(INDEX(Visitas!$B$2:$B$401,MATCH(A393,Visitas!$A$2:$A$401,0)),"")</f>
        <v>ESF Praia Azul</v>
      </c>
      <c r="C393" s="13" t="s">
        <v>113</v>
      </c>
      <c r="D393" s="0" t="str">
        <f aca="false">IFERROR(INDEX(Itens!$C$2:$C$100,MATCH(C393,Itens!$A$2:$A$100,0)),"")</f>
        <v>Satisfação dos usuários</v>
      </c>
      <c r="E393" s="0" t="str">
        <f aca="false">IFERROR(INDEX(Visitas!$C$2:$C$401,MATCH(A393,Visitas!$A$2:$A$401,0)),"")</f>
        <v>2026</v>
      </c>
      <c r="F393" s="0" t="str">
        <f aca="false">IFERROR(INDEX(Itens!$B$2:$B$100,MATCH(C393,Itens!$A$2:$A$100,0)),"")</f>
        <v>IV</v>
      </c>
      <c r="G393" s="13" t="n">
        <v>1</v>
      </c>
      <c r="H393" s="13" t="n">
        <v>0</v>
      </c>
    </row>
    <row r="394" customFormat="false" ht="15" hidden="false" customHeight="false" outlineLevel="0" collapsed="false">
      <c r="A394" s="13" t="n">
        <v>29</v>
      </c>
      <c r="B394" s="0" t="str">
        <f aca="false">IFERROR(INDEX(Visitas!$B$2:$B$401,MATCH(A394,Visitas!$A$2:$A$401,0)),"")</f>
        <v>ESF Jardim Brasil</v>
      </c>
      <c r="C394" s="13" t="s">
        <v>65</v>
      </c>
      <c r="D394" s="0" t="str">
        <f aca="false">IFERROR(INDEX(Itens!$C$2:$C$100,MATCH(C394,Itens!$A$2:$A$100,0)),"")</f>
        <v>Infraestrutura civil</v>
      </c>
      <c r="E394" s="0" t="str">
        <f aca="false">IFERROR(INDEX(Visitas!$C$2:$C$401,MATCH(A394,Visitas!$A$2:$A$401,0)),"")</f>
        <v>2026</v>
      </c>
      <c r="F394" s="0" t="str">
        <f aca="false">IFERROR(INDEX(Itens!$B$2:$B$100,MATCH(C394,Itens!$A$2:$A$100,0)),"")</f>
        <v>I</v>
      </c>
      <c r="G394" s="13" t="n">
        <v>2</v>
      </c>
      <c r="H394" s="13" t="n">
        <v>0</v>
      </c>
    </row>
    <row r="395" customFormat="false" ht="15" hidden="false" customHeight="false" outlineLevel="0" collapsed="false">
      <c r="A395" s="13" t="n">
        <v>29</v>
      </c>
      <c r="B395" s="0" t="str">
        <f aca="false">IFERROR(INDEX(Visitas!$B$2:$B$401,MATCH(A395,Visitas!$A$2:$A$401,0)),"")</f>
        <v>ESF Jardim Brasil</v>
      </c>
      <c r="C395" s="13" t="s">
        <v>70</v>
      </c>
      <c r="D395" s="0" t="str">
        <f aca="false">IFERROR(INDEX(Itens!$C$2:$C$100,MATCH(C395,Itens!$A$2:$A$100,0)),"")</f>
        <v>Infraestrutura elétrica</v>
      </c>
      <c r="E395" s="0" t="str">
        <f aca="false">IFERROR(INDEX(Visitas!$C$2:$C$401,MATCH(A395,Visitas!$A$2:$A$401,0)),"")</f>
        <v>2026</v>
      </c>
      <c r="F395" s="0" t="str">
        <f aca="false">IFERROR(INDEX(Itens!$B$2:$B$100,MATCH(C395,Itens!$A$2:$A$100,0)),"")</f>
        <v>I</v>
      </c>
      <c r="G395" s="13" t="n">
        <v>2</v>
      </c>
      <c r="H395" s="13" t="n">
        <v>0</v>
      </c>
    </row>
    <row r="396" customFormat="false" ht="15" hidden="false" customHeight="false" outlineLevel="0" collapsed="false">
      <c r="A396" s="13" t="n">
        <v>29</v>
      </c>
      <c r="B396" s="0" t="str">
        <f aca="false">IFERROR(INDEX(Visitas!$B$2:$B$401,MATCH(A396,Visitas!$A$2:$A$401,0)),"")</f>
        <v>ESF Jardim Brasil</v>
      </c>
      <c r="C396" s="13" t="s">
        <v>73</v>
      </c>
      <c r="D396" s="0" t="str">
        <f aca="false">IFERROR(INDEX(Itens!$C$2:$C$100,MATCH(C396,Itens!$A$2:$A$100,0)),"")</f>
        <v>Infraestrutura hidráulica</v>
      </c>
      <c r="E396" s="0" t="str">
        <f aca="false">IFERROR(INDEX(Visitas!$C$2:$C$401,MATCH(A396,Visitas!$A$2:$A$401,0)),"")</f>
        <v>2026</v>
      </c>
      <c r="F396" s="0" t="str">
        <f aca="false">IFERROR(INDEX(Itens!$B$2:$B$100,MATCH(C396,Itens!$A$2:$A$100,0)),"")</f>
        <v>I</v>
      </c>
      <c r="G396" s="13" t="n">
        <v>2</v>
      </c>
      <c r="H396" s="13" t="n">
        <v>0</v>
      </c>
    </row>
    <row r="397" customFormat="false" ht="15" hidden="false" customHeight="false" outlineLevel="0" collapsed="false">
      <c r="A397" s="13" t="n">
        <v>29</v>
      </c>
      <c r="B397" s="0" t="str">
        <f aca="false">IFERROR(INDEX(Visitas!$B$2:$B$401,MATCH(A397,Visitas!$A$2:$A$401,0)),"")</f>
        <v>ESF Jardim Brasil</v>
      </c>
      <c r="C397" s="13" t="s">
        <v>76</v>
      </c>
      <c r="D397" s="0" t="str">
        <f aca="false">IFERROR(INDEX(Itens!$C$2:$C$100,MATCH(C397,Itens!$A$2:$A$100,0)),"")</f>
        <v>Infraestrutura de comunicação</v>
      </c>
      <c r="E397" s="0" t="str">
        <f aca="false">IFERROR(INDEX(Visitas!$C$2:$C$401,MATCH(A397,Visitas!$A$2:$A$401,0)),"")</f>
        <v>2026</v>
      </c>
      <c r="F397" s="0" t="str">
        <f aca="false">IFERROR(INDEX(Itens!$B$2:$B$100,MATCH(C397,Itens!$A$2:$A$100,0)),"")</f>
        <v>I</v>
      </c>
      <c r="G397" s="13" t="n">
        <v>2</v>
      </c>
      <c r="H397" s="13" t="n">
        <v>0</v>
      </c>
    </row>
    <row r="398" customFormat="false" ht="15" hidden="false" customHeight="false" outlineLevel="0" collapsed="false">
      <c r="A398" s="13" t="n">
        <v>29</v>
      </c>
      <c r="B398" s="0" t="str">
        <f aca="false">IFERROR(INDEX(Visitas!$B$2:$B$401,MATCH(A398,Visitas!$A$2:$A$401,0)),"")</f>
        <v>ESF Jardim Brasil</v>
      </c>
      <c r="C398" s="13" t="s">
        <v>79</v>
      </c>
      <c r="D398" s="0" t="str">
        <f aca="false">IFERROR(INDEX(Itens!$C$2:$C$100,MATCH(C398,Itens!$A$2:$A$100,0)),"")</f>
        <v>Equipamentos</v>
      </c>
      <c r="E398" s="0" t="str">
        <f aca="false">IFERROR(INDEX(Visitas!$C$2:$C$401,MATCH(A398,Visitas!$A$2:$A$401,0)),"")</f>
        <v>2026</v>
      </c>
      <c r="F398" s="0" t="str">
        <f aca="false">IFERROR(INDEX(Itens!$B$2:$B$100,MATCH(C398,Itens!$A$2:$A$100,0)),"")</f>
        <v>I</v>
      </c>
      <c r="G398" s="13" t="n">
        <v>2</v>
      </c>
      <c r="H398" s="13" t="n">
        <v>0</v>
      </c>
    </row>
    <row r="399" customFormat="false" ht="15" hidden="false" customHeight="false" outlineLevel="0" collapsed="false">
      <c r="A399" s="13" t="n">
        <v>29</v>
      </c>
      <c r="B399" s="0" t="str">
        <f aca="false">IFERROR(INDEX(Visitas!$B$2:$B$401,MATCH(A399,Visitas!$A$2:$A$401,0)),"")</f>
        <v>ESF Jardim Brasil</v>
      </c>
      <c r="C399" s="13" t="s">
        <v>82</v>
      </c>
      <c r="D399" s="0" t="str">
        <f aca="false">IFERROR(INDEX(Itens!$C$2:$C$100,MATCH(C399,Itens!$A$2:$A$100,0)),"")</f>
        <v>Materiais, medicamentos e insumos</v>
      </c>
      <c r="E399" s="0" t="str">
        <f aca="false">IFERROR(INDEX(Visitas!$C$2:$C$401,MATCH(A399,Visitas!$A$2:$A$401,0)),"")</f>
        <v>2026</v>
      </c>
      <c r="F399" s="0" t="str">
        <f aca="false">IFERROR(INDEX(Itens!$B$2:$B$100,MATCH(C399,Itens!$A$2:$A$100,0)),"")</f>
        <v>I</v>
      </c>
      <c r="G399" s="13" t="n">
        <v>2</v>
      </c>
      <c r="H399" s="13" t="n">
        <v>0</v>
      </c>
    </row>
    <row r="400" customFormat="false" ht="15" hidden="false" customHeight="false" outlineLevel="0" collapsed="false">
      <c r="A400" s="13" t="n">
        <v>29</v>
      </c>
      <c r="B400" s="0" t="str">
        <f aca="false">IFERROR(INDEX(Visitas!$B$2:$B$401,MATCH(A400,Visitas!$A$2:$A$401,0)),"")</f>
        <v>ESF Jardim Brasil</v>
      </c>
      <c r="C400" s="13" t="s">
        <v>85</v>
      </c>
      <c r="D400" s="0" t="str">
        <f aca="false">IFERROR(INDEX(Itens!$C$2:$C$100,MATCH(C400,Itens!$A$2:$A$100,0)),"")</f>
        <v>Conforto, limpeza e organização</v>
      </c>
      <c r="E400" s="0" t="str">
        <f aca="false">IFERROR(INDEX(Visitas!$C$2:$C$401,MATCH(A400,Visitas!$A$2:$A$401,0)),"")</f>
        <v>2026</v>
      </c>
      <c r="F400" s="0" t="str">
        <f aca="false">IFERROR(INDEX(Itens!$B$2:$B$100,MATCH(C400,Itens!$A$2:$A$100,0)),"")</f>
        <v>I</v>
      </c>
      <c r="G400" s="13" t="n">
        <v>2</v>
      </c>
      <c r="H400" s="13" t="n">
        <v>0</v>
      </c>
    </row>
    <row r="401" customFormat="false" ht="15" hidden="false" customHeight="false" outlineLevel="0" collapsed="false">
      <c r="A401" s="13" t="n">
        <v>29</v>
      </c>
      <c r="B401" s="0" t="str">
        <f aca="false">IFERROR(INDEX(Visitas!$B$2:$B$401,MATCH(A401,Visitas!$A$2:$A$401,0)),"")</f>
        <v>ESF Jardim Brasil</v>
      </c>
      <c r="C401" s="13" t="s">
        <v>88</v>
      </c>
      <c r="D401" s="0" t="str">
        <f aca="false">IFERROR(INDEX(Itens!$C$2:$C$100,MATCH(C401,Itens!$A$2:$A$100,0)),"")</f>
        <v>Utilização de indicadores de gestão</v>
      </c>
      <c r="E401" s="0" t="str">
        <f aca="false">IFERROR(INDEX(Visitas!$C$2:$C$401,MATCH(A401,Visitas!$A$2:$A$401,0)),"")</f>
        <v>2026</v>
      </c>
      <c r="F401" s="0" t="str">
        <f aca="false">IFERROR(INDEX(Itens!$B$2:$B$100,MATCH(C401,Itens!$A$2:$A$100,0)),"")</f>
        <v>II</v>
      </c>
      <c r="G401" s="13" t="n">
        <v>2</v>
      </c>
      <c r="H401" s="13" t="n">
        <v>0</v>
      </c>
    </row>
    <row r="402" customFormat="false" ht="15" hidden="false" customHeight="false" outlineLevel="0" collapsed="false">
      <c r="A402" s="13" t="n">
        <v>29</v>
      </c>
      <c r="B402" s="0" t="str">
        <f aca="false">IFERROR(INDEX(Visitas!$B$2:$B$401,MATCH(A402,Visitas!$A$2:$A$401,0)),"")</f>
        <v>ESF Jardim Brasil</v>
      </c>
      <c r="C402" s="13" t="s">
        <v>92</v>
      </c>
      <c r="D402" s="0" t="str">
        <f aca="false">IFERROR(INDEX(Itens!$C$2:$C$100,MATCH(C402,Itens!$A$2:$A$100,0)),"")</f>
        <v>Dimensionamento de equipe</v>
      </c>
      <c r="E402" s="0" t="str">
        <f aca="false">IFERROR(INDEX(Visitas!$C$2:$C$401,MATCH(A402,Visitas!$A$2:$A$401,0)),"")</f>
        <v>2026</v>
      </c>
      <c r="F402" s="0" t="str">
        <f aca="false">IFERROR(INDEX(Itens!$B$2:$B$100,MATCH(C402,Itens!$A$2:$A$100,0)),"")</f>
        <v>II</v>
      </c>
      <c r="G402" s="13" t="n">
        <v>2</v>
      </c>
      <c r="H402" s="13" t="n">
        <v>0</v>
      </c>
    </row>
    <row r="403" customFormat="false" ht="15" hidden="false" customHeight="false" outlineLevel="0" collapsed="false">
      <c r="A403" s="13" t="n">
        <v>29</v>
      </c>
      <c r="B403" s="0" t="str">
        <f aca="false">IFERROR(INDEX(Visitas!$B$2:$B$401,MATCH(A403,Visitas!$A$2:$A$401,0)),"")</f>
        <v>ESF Jardim Brasil</v>
      </c>
      <c r="C403" s="13" t="s">
        <v>96</v>
      </c>
      <c r="D403" s="0" t="str">
        <f aca="false">IFERROR(INDEX(Itens!$C$2:$C$100,MATCH(C403,Itens!$A$2:$A$100,0)),"")</f>
        <v>Execução do cronograma de capacitação da equipe de trabalho</v>
      </c>
      <c r="E403" s="0" t="str">
        <f aca="false">IFERROR(INDEX(Visitas!$C$2:$C$401,MATCH(A403,Visitas!$A$2:$A$401,0)),"")</f>
        <v>2026</v>
      </c>
      <c r="F403" s="0" t="str">
        <f aca="false">IFERROR(INDEX(Itens!$B$2:$B$100,MATCH(C403,Itens!$A$2:$A$100,0)),"")</f>
        <v>II</v>
      </c>
      <c r="G403" s="13" t="n">
        <v>2</v>
      </c>
      <c r="H403" s="13" t="n">
        <v>0</v>
      </c>
    </row>
    <row r="404" customFormat="false" ht="15" hidden="false" customHeight="false" outlineLevel="0" collapsed="false">
      <c r="A404" s="13" t="n">
        <v>29</v>
      </c>
      <c r="B404" s="0" t="str">
        <f aca="false">IFERROR(INDEX(Visitas!$B$2:$B$401,MATCH(A404,Visitas!$A$2:$A$401,0)),"")</f>
        <v>ESF Jardim Brasil</v>
      </c>
      <c r="C404" s="13" t="s">
        <v>100</v>
      </c>
      <c r="D404" s="0" t="str">
        <f aca="false">IFERROR(INDEX(Itens!$C$2:$C$100,MATCH(C404,Itens!$A$2:$A$100,0)),"")</f>
        <v>Disponibilidade de agendamento de consultas, exames e procedimentos</v>
      </c>
      <c r="E404" s="0" t="str">
        <f aca="false">IFERROR(INDEX(Visitas!$C$2:$C$401,MATCH(A404,Visitas!$A$2:$A$401,0)),"")</f>
        <v>2026</v>
      </c>
      <c r="F404" s="0" t="str">
        <f aca="false">IFERROR(INDEX(Itens!$B$2:$B$100,MATCH(C404,Itens!$A$2:$A$100,0)),"")</f>
        <v>II</v>
      </c>
      <c r="G404" s="13" t="n">
        <v>2</v>
      </c>
      <c r="H404" s="13" t="n">
        <v>0</v>
      </c>
    </row>
    <row r="405" customFormat="false" ht="15" hidden="false" customHeight="false" outlineLevel="0" collapsed="false">
      <c r="A405" s="13" t="n">
        <v>29</v>
      </c>
      <c r="B405" s="0" t="str">
        <f aca="false">IFERROR(INDEX(Visitas!$B$2:$B$401,MATCH(A405,Visitas!$A$2:$A$401,0)),"")</f>
        <v>ESF Jardim Brasil</v>
      </c>
      <c r="C405" s="13" t="s">
        <v>104</v>
      </c>
      <c r="D405" s="0" t="str">
        <f aca="false">IFERROR(INDEX(Itens!$C$2:$C$100,MATCH(C405,Itens!$A$2:$A$100,0)),"")</f>
        <v>Atendimento aos indicadores do PMS</v>
      </c>
      <c r="E405" s="0" t="str">
        <f aca="false">IFERROR(INDEX(Visitas!$C$2:$C$401,MATCH(A405,Visitas!$A$2:$A$401,0)),"")</f>
        <v>2026</v>
      </c>
      <c r="F405" s="0" t="str">
        <f aca="false">IFERROR(INDEX(Itens!$B$2:$B$100,MATCH(C405,Itens!$A$2:$A$100,0)),"")</f>
        <v>III</v>
      </c>
      <c r="G405" s="13" t="n">
        <v>2</v>
      </c>
      <c r="H405" s="13" t="n">
        <v>0</v>
      </c>
    </row>
    <row r="406" customFormat="false" ht="15" hidden="false" customHeight="false" outlineLevel="0" collapsed="false">
      <c r="A406" s="13" t="n">
        <v>29</v>
      </c>
      <c r="B406" s="0" t="str">
        <f aca="false">IFERROR(INDEX(Visitas!$B$2:$B$401,MATCH(A406,Visitas!$A$2:$A$401,0)),"")</f>
        <v>ESF Jardim Brasil</v>
      </c>
      <c r="C406" s="13" t="s">
        <v>109</v>
      </c>
      <c r="D406" s="0" t="str">
        <f aca="false">IFERROR(INDEX(Itens!$C$2:$C$100,MATCH(C406,Itens!$A$2:$A$100,0)),"")</f>
        <v>Registro de reclamações na Ouvidoria do COMSAUDE</v>
      </c>
      <c r="E406" s="0" t="str">
        <f aca="false">IFERROR(INDEX(Visitas!$C$2:$C$401,MATCH(A406,Visitas!$A$2:$A$401,0)),"")</f>
        <v>2026</v>
      </c>
      <c r="F406" s="0" t="str">
        <f aca="false">IFERROR(INDEX(Itens!$B$2:$B$100,MATCH(C406,Itens!$A$2:$A$100,0)),"")</f>
        <v>IV</v>
      </c>
      <c r="G406" s="13" t="n">
        <v>2</v>
      </c>
      <c r="H406" s="13" t="n">
        <v>0</v>
      </c>
    </row>
    <row r="407" customFormat="false" ht="15" hidden="false" customHeight="false" outlineLevel="0" collapsed="false">
      <c r="A407" s="13" t="n">
        <v>29</v>
      </c>
      <c r="B407" s="0" t="str">
        <f aca="false">IFERROR(INDEX(Visitas!$B$2:$B$401,MATCH(A407,Visitas!$A$2:$A$401,0)),"")</f>
        <v>ESF Jardim Brasil</v>
      </c>
      <c r="C407" s="13" t="s">
        <v>113</v>
      </c>
      <c r="D407" s="0" t="str">
        <f aca="false">IFERROR(INDEX(Itens!$C$2:$C$100,MATCH(C407,Itens!$A$2:$A$100,0)),"")</f>
        <v>Satisfação dos usuários</v>
      </c>
      <c r="E407" s="0" t="str">
        <f aca="false">IFERROR(INDEX(Visitas!$C$2:$C$401,MATCH(A407,Visitas!$A$2:$A$401,0)),"")</f>
        <v>2026</v>
      </c>
      <c r="F407" s="0" t="str">
        <f aca="false">IFERROR(INDEX(Itens!$B$2:$B$100,MATCH(C407,Itens!$A$2:$A$100,0)),"")</f>
        <v>IV</v>
      </c>
      <c r="G407" s="13" t="n">
        <v>2</v>
      </c>
      <c r="H407" s="13" t="n">
        <v>0</v>
      </c>
    </row>
    <row r="408" customFormat="false" ht="15" hidden="false" customHeight="false" outlineLevel="0" collapsed="false">
      <c r="A408" s="13" t="n">
        <v>30</v>
      </c>
      <c r="B408" s="0" t="str">
        <f aca="false">IFERROR(INDEX(Visitas!$B$2:$B$401,MATCH(A408,Visitas!$A$2:$A$401,0)),"")</f>
        <v>CAPS Adulto</v>
      </c>
      <c r="C408" s="13" t="s">
        <v>65</v>
      </c>
      <c r="D408" s="0" t="str">
        <f aca="false">IFERROR(INDEX(Itens!$C$2:$C$100,MATCH(C408,Itens!$A$2:$A$100,0)),"")</f>
        <v>Infraestrutura civil</v>
      </c>
      <c r="E408" s="0" t="str">
        <f aca="false">IFERROR(INDEX(Visitas!$C$2:$C$401,MATCH(A408,Visitas!$A$2:$A$401,0)),"")</f>
        <v>2026</v>
      </c>
      <c r="F408" s="0" t="str">
        <f aca="false">IFERROR(INDEX(Itens!$B$2:$B$100,MATCH(C408,Itens!$A$2:$A$100,0)),"")</f>
        <v>I</v>
      </c>
      <c r="G408" s="13" t="n">
        <v>2</v>
      </c>
      <c r="H408" s="13" t="n">
        <v>0</v>
      </c>
    </row>
    <row r="409" customFormat="false" ht="15" hidden="false" customHeight="false" outlineLevel="0" collapsed="false">
      <c r="A409" s="13" t="n">
        <v>30</v>
      </c>
      <c r="B409" s="0" t="str">
        <f aca="false">IFERROR(INDEX(Visitas!$B$2:$B$401,MATCH(A409,Visitas!$A$2:$A$401,0)),"")</f>
        <v>CAPS Adulto</v>
      </c>
      <c r="C409" s="13" t="s">
        <v>70</v>
      </c>
      <c r="D409" s="0" t="str">
        <f aca="false">IFERROR(INDEX(Itens!$C$2:$C$100,MATCH(C409,Itens!$A$2:$A$100,0)),"")</f>
        <v>Infraestrutura elétrica</v>
      </c>
      <c r="E409" s="0" t="str">
        <f aca="false">IFERROR(INDEX(Visitas!$C$2:$C$401,MATCH(A409,Visitas!$A$2:$A$401,0)),"")</f>
        <v>2026</v>
      </c>
      <c r="F409" s="0" t="str">
        <f aca="false">IFERROR(INDEX(Itens!$B$2:$B$100,MATCH(C409,Itens!$A$2:$A$100,0)),"")</f>
        <v>I</v>
      </c>
      <c r="G409" s="13" t="n">
        <v>2</v>
      </c>
      <c r="H409" s="13" t="n">
        <v>0</v>
      </c>
    </row>
    <row r="410" customFormat="false" ht="15" hidden="false" customHeight="false" outlineLevel="0" collapsed="false">
      <c r="A410" s="13" t="n">
        <v>30</v>
      </c>
      <c r="B410" s="0" t="str">
        <f aca="false">IFERROR(INDEX(Visitas!$B$2:$B$401,MATCH(A410,Visitas!$A$2:$A$401,0)),"")</f>
        <v>CAPS Adulto</v>
      </c>
      <c r="C410" s="13" t="s">
        <v>73</v>
      </c>
      <c r="D410" s="0" t="str">
        <f aca="false">IFERROR(INDEX(Itens!$C$2:$C$100,MATCH(C410,Itens!$A$2:$A$100,0)),"")</f>
        <v>Infraestrutura hidráulica</v>
      </c>
      <c r="E410" s="0" t="str">
        <f aca="false">IFERROR(INDEX(Visitas!$C$2:$C$401,MATCH(A410,Visitas!$A$2:$A$401,0)),"")</f>
        <v>2026</v>
      </c>
      <c r="F410" s="0" t="str">
        <f aca="false">IFERROR(INDEX(Itens!$B$2:$B$100,MATCH(C410,Itens!$A$2:$A$100,0)),"")</f>
        <v>I</v>
      </c>
      <c r="G410" s="13" t="n">
        <v>2</v>
      </c>
      <c r="H410" s="13" t="n">
        <v>0</v>
      </c>
    </row>
    <row r="411" customFormat="false" ht="15" hidden="false" customHeight="false" outlineLevel="0" collapsed="false">
      <c r="A411" s="13" t="n">
        <v>30</v>
      </c>
      <c r="B411" s="0" t="str">
        <f aca="false">IFERROR(INDEX(Visitas!$B$2:$B$401,MATCH(A411,Visitas!$A$2:$A$401,0)),"")</f>
        <v>CAPS Adulto</v>
      </c>
      <c r="C411" s="13" t="s">
        <v>76</v>
      </c>
      <c r="D411" s="0" t="str">
        <f aca="false">IFERROR(INDEX(Itens!$C$2:$C$100,MATCH(C411,Itens!$A$2:$A$100,0)),"")</f>
        <v>Infraestrutura de comunicação</v>
      </c>
      <c r="E411" s="0" t="str">
        <f aca="false">IFERROR(INDEX(Visitas!$C$2:$C$401,MATCH(A411,Visitas!$A$2:$A$401,0)),"")</f>
        <v>2026</v>
      </c>
      <c r="F411" s="0" t="str">
        <f aca="false">IFERROR(INDEX(Itens!$B$2:$B$100,MATCH(C411,Itens!$A$2:$A$100,0)),"")</f>
        <v>I</v>
      </c>
      <c r="G411" s="13" t="n">
        <v>1</v>
      </c>
      <c r="H411" s="13" t="n">
        <v>0</v>
      </c>
    </row>
    <row r="412" customFormat="false" ht="15" hidden="false" customHeight="false" outlineLevel="0" collapsed="false">
      <c r="A412" s="13" t="n">
        <v>30</v>
      </c>
      <c r="B412" s="0" t="str">
        <f aca="false">IFERROR(INDEX(Visitas!$B$2:$B$401,MATCH(A412,Visitas!$A$2:$A$401,0)),"")</f>
        <v>CAPS Adulto</v>
      </c>
      <c r="C412" s="13" t="s">
        <v>79</v>
      </c>
      <c r="D412" s="0" t="str">
        <f aca="false">IFERROR(INDEX(Itens!$C$2:$C$100,MATCH(C412,Itens!$A$2:$A$100,0)),"")</f>
        <v>Equipamentos</v>
      </c>
      <c r="E412" s="0" t="str">
        <f aca="false">IFERROR(INDEX(Visitas!$C$2:$C$401,MATCH(A412,Visitas!$A$2:$A$401,0)),"")</f>
        <v>2026</v>
      </c>
      <c r="F412" s="0" t="str">
        <f aca="false">IFERROR(INDEX(Itens!$B$2:$B$100,MATCH(C412,Itens!$A$2:$A$100,0)),"")</f>
        <v>I</v>
      </c>
      <c r="G412" s="13" t="n">
        <v>1</v>
      </c>
      <c r="H412" s="13" t="n">
        <v>0</v>
      </c>
    </row>
    <row r="413" customFormat="false" ht="15" hidden="false" customHeight="false" outlineLevel="0" collapsed="false">
      <c r="A413" s="13" t="n">
        <v>30</v>
      </c>
      <c r="B413" s="0" t="str">
        <f aca="false">IFERROR(INDEX(Visitas!$B$2:$B$401,MATCH(A413,Visitas!$A$2:$A$401,0)),"")</f>
        <v>CAPS Adulto</v>
      </c>
      <c r="C413" s="13" t="s">
        <v>82</v>
      </c>
      <c r="D413" s="0" t="str">
        <f aca="false">IFERROR(INDEX(Itens!$C$2:$C$100,MATCH(C413,Itens!$A$2:$A$100,0)),"")</f>
        <v>Materiais, medicamentos e insumos</v>
      </c>
      <c r="E413" s="0" t="str">
        <f aca="false">IFERROR(INDEX(Visitas!$C$2:$C$401,MATCH(A413,Visitas!$A$2:$A$401,0)),"")</f>
        <v>2026</v>
      </c>
      <c r="F413" s="0" t="str">
        <f aca="false">IFERROR(INDEX(Itens!$B$2:$B$100,MATCH(C413,Itens!$A$2:$A$100,0)),"")</f>
        <v>I</v>
      </c>
      <c r="G413" s="13" t="n">
        <v>2</v>
      </c>
      <c r="H413" s="13" t="n">
        <v>0</v>
      </c>
    </row>
    <row r="414" customFormat="false" ht="15" hidden="false" customHeight="false" outlineLevel="0" collapsed="false">
      <c r="A414" s="13" t="n">
        <v>30</v>
      </c>
      <c r="B414" s="0" t="str">
        <f aca="false">IFERROR(INDEX(Visitas!$B$2:$B$401,MATCH(A414,Visitas!$A$2:$A$401,0)),"")</f>
        <v>CAPS Adulto</v>
      </c>
      <c r="C414" s="13" t="s">
        <v>85</v>
      </c>
      <c r="D414" s="0" t="str">
        <f aca="false">IFERROR(INDEX(Itens!$C$2:$C$100,MATCH(C414,Itens!$A$2:$A$100,0)),"")</f>
        <v>Conforto, limpeza e organização</v>
      </c>
      <c r="E414" s="0" t="str">
        <f aca="false">IFERROR(INDEX(Visitas!$C$2:$C$401,MATCH(A414,Visitas!$A$2:$A$401,0)),"")</f>
        <v>2026</v>
      </c>
      <c r="F414" s="0" t="str">
        <f aca="false">IFERROR(INDEX(Itens!$B$2:$B$100,MATCH(C414,Itens!$A$2:$A$100,0)),"")</f>
        <v>I</v>
      </c>
      <c r="G414" s="13" t="n">
        <v>2</v>
      </c>
      <c r="H414" s="13" t="n">
        <v>0</v>
      </c>
    </row>
    <row r="415" customFormat="false" ht="15" hidden="false" customHeight="false" outlineLevel="0" collapsed="false">
      <c r="A415" s="13" t="n">
        <v>30</v>
      </c>
      <c r="B415" s="0" t="str">
        <f aca="false">IFERROR(INDEX(Visitas!$B$2:$B$401,MATCH(A415,Visitas!$A$2:$A$401,0)),"")</f>
        <v>CAPS Adulto</v>
      </c>
      <c r="C415" s="13" t="s">
        <v>88</v>
      </c>
      <c r="D415" s="0" t="str">
        <f aca="false">IFERROR(INDEX(Itens!$C$2:$C$100,MATCH(C415,Itens!$A$2:$A$100,0)),"")</f>
        <v>Utilização de indicadores de gestão</v>
      </c>
      <c r="E415" s="0" t="str">
        <f aca="false">IFERROR(INDEX(Visitas!$C$2:$C$401,MATCH(A415,Visitas!$A$2:$A$401,0)),"")</f>
        <v>2026</v>
      </c>
      <c r="F415" s="0" t="str">
        <f aca="false">IFERROR(INDEX(Itens!$B$2:$B$100,MATCH(C415,Itens!$A$2:$A$100,0)),"")</f>
        <v>II</v>
      </c>
      <c r="G415" s="13" t="n">
        <v>2</v>
      </c>
      <c r="H415" s="13" t="n">
        <v>0</v>
      </c>
    </row>
    <row r="416" customFormat="false" ht="15" hidden="false" customHeight="false" outlineLevel="0" collapsed="false">
      <c r="A416" s="13" t="n">
        <v>30</v>
      </c>
      <c r="B416" s="0" t="str">
        <f aca="false">IFERROR(INDEX(Visitas!$B$2:$B$401,MATCH(A416,Visitas!$A$2:$A$401,0)),"")</f>
        <v>CAPS Adulto</v>
      </c>
      <c r="C416" s="13" t="s">
        <v>92</v>
      </c>
      <c r="D416" s="0" t="str">
        <f aca="false">IFERROR(INDEX(Itens!$C$2:$C$100,MATCH(C416,Itens!$A$2:$A$100,0)),"")</f>
        <v>Dimensionamento de equipe</v>
      </c>
      <c r="E416" s="0" t="str">
        <f aca="false">IFERROR(INDEX(Visitas!$C$2:$C$401,MATCH(A416,Visitas!$A$2:$A$401,0)),"")</f>
        <v>2026</v>
      </c>
      <c r="F416" s="0" t="str">
        <f aca="false">IFERROR(INDEX(Itens!$B$2:$B$100,MATCH(C416,Itens!$A$2:$A$100,0)),"")</f>
        <v>II</v>
      </c>
      <c r="G416" s="13" t="n">
        <v>2</v>
      </c>
      <c r="H416" s="13" t="n">
        <v>0</v>
      </c>
    </row>
    <row r="417" customFormat="false" ht="15" hidden="false" customHeight="false" outlineLevel="0" collapsed="false">
      <c r="A417" s="13" t="n">
        <v>30</v>
      </c>
      <c r="B417" s="0" t="str">
        <f aca="false">IFERROR(INDEX(Visitas!$B$2:$B$401,MATCH(A417,Visitas!$A$2:$A$401,0)),"")</f>
        <v>CAPS Adulto</v>
      </c>
      <c r="C417" s="13" t="s">
        <v>96</v>
      </c>
      <c r="D417" s="0" t="str">
        <f aca="false">IFERROR(INDEX(Itens!$C$2:$C$100,MATCH(C417,Itens!$A$2:$A$100,0)),"")</f>
        <v>Execução do cronograma de capacitação da equipe de trabalho</v>
      </c>
      <c r="E417" s="0" t="str">
        <f aca="false">IFERROR(INDEX(Visitas!$C$2:$C$401,MATCH(A417,Visitas!$A$2:$A$401,0)),"")</f>
        <v>2026</v>
      </c>
      <c r="F417" s="0" t="str">
        <f aca="false">IFERROR(INDEX(Itens!$B$2:$B$100,MATCH(C417,Itens!$A$2:$A$100,0)),"")</f>
        <v>II</v>
      </c>
      <c r="G417" s="13" t="n">
        <v>1</v>
      </c>
      <c r="H417" s="13" t="n">
        <v>0</v>
      </c>
    </row>
    <row r="418" customFormat="false" ht="15" hidden="false" customHeight="false" outlineLevel="0" collapsed="false">
      <c r="A418" s="13" t="n">
        <v>30</v>
      </c>
      <c r="B418" s="0" t="str">
        <f aca="false">IFERROR(INDEX(Visitas!$B$2:$B$401,MATCH(A418,Visitas!$A$2:$A$401,0)),"")</f>
        <v>CAPS Adulto</v>
      </c>
      <c r="C418" s="13" t="s">
        <v>100</v>
      </c>
      <c r="D418" s="0" t="str">
        <f aca="false">IFERROR(INDEX(Itens!$C$2:$C$100,MATCH(C418,Itens!$A$2:$A$100,0)),"")</f>
        <v>Disponibilidade de agendamento de consultas, exames e procedimentos</v>
      </c>
      <c r="E418" s="0" t="str">
        <f aca="false">IFERROR(INDEX(Visitas!$C$2:$C$401,MATCH(A418,Visitas!$A$2:$A$401,0)),"")</f>
        <v>2026</v>
      </c>
      <c r="F418" s="0" t="str">
        <f aca="false">IFERROR(INDEX(Itens!$B$2:$B$100,MATCH(C418,Itens!$A$2:$A$100,0)),"")</f>
        <v>II</v>
      </c>
      <c r="G418" s="13" t="n">
        <v>2</v>
      </c>
      <c r="H418" s="13" t="n">
        <v>0</v>
      </c>
    </row>
    <row r="419" customFormat="false" ht="15" hidden="false" customHeight="false" outlineLevel="0" collapsed="false">
      <c r="A419" s="13" t="n">
        <v>30</v>
      </c>
      <c r="B419" s="0" t="str">
        <f aca="false">IFERROR(INDEX(Visitas!$B$2:$B$401,MATCH(A419,Visitas!$A$2:$A$401,0)),"")</f>
        <v>CAPS Adulto</v>
      </c>
      <c r="C419" s="13" t="s">
        <v>104</v>
      </c>
      <c r="D419" s="0" t="str">
        <f aca="false">IFERROR(INDEX(Itens!$C$2:$C$100,MATCH(C419,Itens!$A$2:$A$100,0)),"")</f>
        <v>Atendimento aos indicadores do PMS</v>
      </c>
      <c r="E419" s="0" t="str">
        <f aca="false">IFERROR(INDEX(Visitas!$C$2:$C$401,MATCH(A419,Visitas!$A$2:$A$401,0)),"")</f>
        <v>2026</v>
      </c>
      <c r="F419" s="0" t="str">
        <f aca="false">IFERROR(INDEX(Itens!$B$2:$B$100,MATCH(C419,Itens!$A$2:$A$100,0)),"")</f>
        <v>III</v>
      </c>
      <c r="G419" s="13" t="n">
        <v>1</v>
      </c>
      <c r="H419" s="13" t="n">
        <v>0</v>
      </c>
    </row>
    <row r="420" customFormat="false" ht="15" hidden="false" customHeight="false" outlineLevel="0" collapsed="false">
      <c r="A420" s="13" t="n">
        <v>30</v>
      </c>
      <c r="B420" s="0" t="str">
        <f aca="false">IFERROR(INDEX(Visitas!$B$2:$B$401,MATCH(A420,Visitas!$A$2:$A$401,0)),"")</f>
        <v>CAPS Adulto</v>
      </c>
      <c r="C420" s="13" t="s">
        <v>109</v>
      </c>
      <c r="D420" s="0" t="str">
        <f aca="false">IFERROR(INDEX(Itens!$C$2:$C$100,MATCH(C420,Itens!$A$2:$A$100,0)),"")</f>
        <v>Registro de reclamações na Ouvidoria do COMSAUDE</v>
      </c>
      <c r="E420" s="0" t="str">
        <f aca="false">IFERROR(INDEX(Visitas!$C$2:$C$401,MATCH(A420,Visitas!$A$2:$A$401,0)),"")</f>
        <v>2026</v>
      </c>
      <c r="F420" s="0" t="str">
        <f aca="false">IFERROR(INDEX(Itens!$B$2:$B$100,MATCH(C420,Itens!$A$2:$A$100,0)),"")</f>
        <v>IV</v>
      </c>
      <c r="G420" s="13" t="n">
        <v>1</v>
      </c>
      <c r="H420" s="13" t="n">
        <v>0</v>
      </c>
    </row>
    <row r="421" customFormat="false" ht="15" hidden="false" customHeight="false" outlineLevel="0" collapsed="false">
      <c r="A421" s="13" t="n">
        <v>30</v>
      </c>
      <c r="B421" s="0" t="str">
        <f aca="false">IFERROR(INDEX(Visitas!$B$2:$B$401,MATCH(A421,Visitas!$A$2:$A$401,0)),"")</f>
        <v>CAPS Adulto</v>
      </c>
      <c r="C421" s="13" t="s">
        <v>113</v>
      </c>
      <c r="D421" s="0" t="str">
        <f aca="false">IFERROR(INDEX(Itens!$C$2:$C$100,MATCH(C421,Itens!$A$2:$A$100,0)),"")</f>
        <v>Satisfação dos usuários</v>
      </c>
      <c r="E421" s="0" t="str">
        <f aca="false">IFERROR(INDEX(Visitas!$C$2:$C$401,MATCH(A421,Visitas!$A$2:$A$401,0)),"")</f>
        <v>2026</v>
      </c>
      <c r="F421" s="0" t="str">
        <f aca="false">IFERROR(INDEX(Itens!$B$2:$B$100,MATCH(C421,Itens!$A$2:$A$100,0)),"")</f>
        <v>IV</v>
      </c>
      <c r="G421" s="13" t="n">
        <v>2</v>
      </c>
      <c r="H421" s="13" t="n">
        <v>0</v>
      </c>
    </row>
    <row r="422" customFormat="false" ht="15" hidden="false" customHeight="false" outlineLevel="0" collapsed="false">
      <c r="A422" s="13" t="n">
        <v>31</v>
      </c>
      <c r="B422" s="0" t="str">
        <f aca="false">IFERROR(INDEX(Visitas!$B$2:$B$401,MATCH(A422,Visitas!$A$2:$A$401,0)),"")</f>
        <v>UBS Mathiensen</v>
      </c>
      <c r="C422" s="13" t="s">
        <v>65</v>
      </c>
      <c r="D422" s="0" t="str">
        <f aca="false">IFERROR(INDEX(Itens!$C$2:$C$100,MATCH(C422,Itens!$A$2:$A$100,0)),"")</f>
        <v>Infraestrutura civil</v>
      </c>
      <c r="E422" s="0" t="str">
        <f aca="false">IFERROR(INDEX(Visitas!$C$2:$C$401,MATCH(A422,Visitas!$A$2:$A$401,0)),"")</f>
        <v>2026</v>
      </c>
      <c r="F422" s="0" t="str">
        <f aca="false">IFERROR(INDEX(Itens!$B$2:$B$100,MATCH(C422,Itens!$A$2:$A$100,0)),"")</f>
        <v>I</v>
      </c>
      <c r="G422" s="13" t="n">
        <v>2</v>
      </c>
      <c r="H422" s="13" t="n">
        <v>0</v>
      </c>
    </row>
    <row r="423" customFormat="false" ht="15" hidden="false" customHeight="false" outlineLevel="0" collapsed="false">
      <c r="A423" s="13" t="n">
        <v>31</v>
      </c>
      <c r="B423" s="0" t="str">
        <f aca="false">IFERROR(INDEX(Visitas!$B$2:$B$401,MATCH(A423,Visitas!$A$2:$A$401,0)),"")</f>
        <v>UBS Mathiensen</v>
      </c>
      <c r="C423" s="13" t="s">
        <v>70</v>
      </c>
      <c r="D423" s="0" t="str">
        <f aca="false">IFERROR(INDEX(Itens!$C$2:$C$100,MATCH(C423,Itens!$A$2:$A$100,0)),"")</f>
        <v>Infraestrutura elétrica</v>
      </c>
      <c r="E423" s="0" t="str">
        <f aca="false">IFERROR(INDEX(Visitas!$C$2:$C$401,MATCH(A423,Visitas!$A$2:$A$401,0)),"")</f>
        <v>2026</v>
      </c>
      <c r="F423" s="0" t="str">
        <f aca="false">IFERROR(INDEX(Itens!$B$2:$B$100,MATCH(C423,Itens!$A$2:$A$100,0)),"")</f>
        <v>I</v>
      </c>
      <c r="G423" s="13" t="n">
        <v>2</v>
      </c>
      <c r="H423" s="13" t="n">
        <v>0</v>
      </c>
    </row>
    <row r="424" customFormat="false" ht="15" hidden="false" customHeight="false" outlineLevel="0" collapsed="false">
      <c r="A424" s="13" t="n">
        <v>31</v>
      </c>
      <c r="B424" s="0" t="str">
        <f aca="false">IFERROR(INDEX(Visitas!$B$2:$B$401,MATCH(A424,Visitas!$A$2:$A$401,0)),"")</f>
        <v>UBS Mathiensen</v>
      </c>
      <c r="C424" s="13" t="s">
        <v>73</v>
      </c>
      <c r="D424" s="0" t="str">
        <f aca="false">IFERROR(INDEX(Itens!$C$2:$C$100,MATCH(C424,Itens!$A$2:$A$100,0)),"")</f>
        <v>Infraestrutura hidráulica</v>
      </c>
      <c r="E424" s="0" t="str">
        <f aca="false">IFERROR(INDEX(Visitas!$C$2:$C$401,MATCH(A424,Visitas!$A$2:$A$401,0)),"")</f>
        <v>2026</v>
      </c>
      <c r="F424" s="0" t="str">
        <f aca="false">IFERROR(INDEX(Itens!$B$2:$B$100,MATCH(C424,Itens!$A$2:$A$100,0)),"")</f>
        <v>I</v>
      </c>
      <c r="G424" s="13" t="n">
        <v>2</v>
      </c>
      <c r="H424" s="13" t="n">
        <v>0</v>
      </c>
    </row>
    <row r="425" customFormat="false" ht="15" hidden="false" customHeight="false" outlineLevel="0" collapsed="false">
      <c r="A425" s="13" t="n">
        <v>31</v>
      </c>
      <c r="B425" s="0" t="str">
        <f aca="false">IFERROR(INDEX(Visitas!$B$2:$B$401,MATCH(A425,Visitas!$A$2:$A$401,0)),"")</f>
        <v>UBS Mathiensen</v>
      </c>
      <c r="C425" s="13" t="s">
        <v>76</v>
      </c>
      <c r="D425" s="0" t="str">
        <f aca="false">IFERROR(INDEX(Itens!$C$2:$C$100,MATCH(C425,Itens!$A$2:$A$100,0)),"")</f>
        <v>Infraestrutura de comunicação</v>
      </c>
      <c r="E425" s="0" t="str">
        <f aca="false">IFERROR(INDEX(Visitas!$C$2:$C$401,MATCH(A425,Visitas!$A$2:$A$401,0)),"")</f>
        <v>2026</v>
      </c>
      <c r="F425" s="0" t="str">
        <f aca="false">IFERROR(INDEX(Itens!$B$2:$B$100,MATCH(C425,Itens!$A$2:$A$100,0)),"")</f>
        <v>I</v>
      </c>
      <c r="G425" s="13" t="n">
        <v>2</v>
      </c>
      <c r="H425" s="13" t="n">
        <v>0</v>
      </c>
    </row>
    <row r="426" customFormat="false" ht="15" hidden="false" customHeight="false" outlineLevel="0" collapsed="false">
      <c r="A426" s="13" t="n">
        <v>31</v>
      </c>
      <c r="B426" s="0" t="str">
        <f aca="false">IFERROR(INDEX(Visitas!$B$2:$B$401,MATCH(A426,Visitas!$A$2:$A$401,0)),"")</f>
        <v>UBS Mathiensen</v>
      </c>
      <c r="C426" s="13" t="s">
        <v>79</v>
      </c>
      <c r="D426" s="0" t="str">
        <f aca="false">IFERROR(INDEX(Itens!$C$2:$C$100,MATCH(C426,Itens!$A$2:$A$100,0)),"")</f>
        <v>Equipamentos</v>
      </c>
      <c r="E426" s="0" t="str">
        <f aca="false">IFERROR(INDEX(Visitas!$C$2:$C$401,MATCH(A426,Visitas!$A$2:$A$401,0)),"")</f>
        <v>2026</v>
      </c>
      <c r="F426" s="0" t="str">
        <f aca="false">IFERROR(INDEX(Itens!$B$2:$B$100,MATCH(C426,Itens!$A$2:$A$100,0)),"")</f>
        <v>I</v>
      </c>
      <c r="G426" s="13" t="n">
        <v>2</v>
      </c>
      <c r="H426" s="13" t="n">
        <v>0</v>
      </c>
    </row>
    <row r="427" customFormat="false" ht="15" hidden="false" customHeight="false" outlineLevel="0" collapsed="false">
      <c r="A427" s="13" t="n">
        <v>31</v>
      </c>
      <c r="B427" s="0" t="str">
        <f aca="false">IFERROR(INDEX(Visitas!$B$2:$B$401,MATCH(A427,Visitas!$A$2:$A$401,0)),"")</f>
        <v>UBS Mathiensen</v>
      </c>
      <c r="C427" s="13" t="s">
        <v>82</v>
      </c>
      <c r="D427" s="0" t="str">
        <f aca="false">IFERROR(INDEX(Itens!$C$2:$C$100,MATCH(C427,Itens!$A$2:$A$100,0)),"")</f>
        <v>Materiais, medicamentos e insumos</v>
      </c>
      <c r="E427" s="0" t="str">
        <f aca="false">IFERROR(INDEX(Visitas!$C$2:$C$401,MATCH(A427,Visitas!$A$2:$A$401,0)),"")</f>
        <v>2026</v>
      </c>
      <c r="F427" s="0" t="str">
        <f aca="false">IFERROR(INDEX(Itens!$B$2:$B$100,MATCH(C427,Itens!$A$2:$A$100,0)),"")</f>
        <v>I</v>
      </c>
      <c r="G427" s="13" t="n">
        <v>2</v>
      </c>
      <c r="H427" s="13" t="n">
        <v>0</v>
      </c>
    </row>
    <row r="428" customFormat="false" ht="15" hidden="false" customHeight="false" outlineLevel="0" collapsed="false">
      <c r="A428" s="13" t="n">
        <v>31</v>
      </c>
      <c r="B428" s="0" t="str">
        <f aca="false">IFERROR(INDEX(Visitas!$B$2:$B$401,MATCH(A428,Visitas!$A$2:$A$401,0)),"")</f>
        <v>UBS Mathiensen</v>
      </c>
      <c r="C428" s="13" t="s">
        <v>85</v>
      </c>
      <c r="D428" s="0" t="str">
        <f aca="false">IFERROR(INDEX(Itens!$C$2:$C$100,MATCH(C428,Itens!$A$2:$A$100,0)),"")</f>
        <v>Conforto, limpeza e organização</v>
      </c>
      <c r="E428" s="0" t="str">
        <f aca="false">IFERROR(INDEX(Visitas!$C$2:$C$401,MATCH(A428,Visitas!$A$2:$A$401,0)),"")</f>
        <v>2026</v>
      </c>
      <c r="F428" s="0" t="str">
        <f aca="false">IFERROR(INDEX(Itens!$B$2:$B$100,MATCH(C428,Itens!$A$2:$A$100,0)),"")</f>
        <v>I</v>
      </c>
      <c r="G428" s="13" t="n">
        <v>1</v>
      </c>
      <c r="H428" s="13" t="n">
        <v>0</v>
      </c>
    </row>
    <row r="429" customFormat="false" ht="15" hidden="false" customHeight="false" outlineLevel="0" collapsed="false">
      <c r="A429" s="13" t="n">
        <v>31</v>
      </c>
      <c r="B429" s="0" t="str">
        <f aca="false">IFERROR(INDEX(Visitas!$B$2:$B$401,MATCH(A429,Visitas!$A$2:$A$401,0)),"")</f>
        <v>UBS Mathiensen</v>
      </c>
      <c r="C429" s="13" t="s">
        <v>88</v>
      </c>
      <c r="D429" s="0" t="str">
        <f aca="false">IFERROR(INDEX(Itens!$C$2:$C$100,MATCH(C429,Itens!$A$2:$A$100,0)),"")</f>
        <v>Utilização de indicadores de gestão</v>
      </c>
      <c r="E429" s="0" t="str">
        <f aca="false">IFERROR(INDEX(Visitas!$C$2:$C$401,MATCH(A429,Visitas!$A$2:$A$401,0)),"")</f>
        <v>2026</v>
      </c>
      <c r="F429" s="0" t="str">
        <f aca="false">IFERROR(INDEX(Itens!$B$2:$B$100,MATCH(C429,Itens!$A$2:$A$100,0)),"")</f>
        <v>II</v>
      </c>
      <c r="G429" s="13" t="n">
        <v>1</v>
      </c>
      <c r="H429" s="13" t="n">
        <v>0</v>
      </c>
    </row>
    <row r="430" customFormat="false" ht="15" hidden="false" customHeight="false" outlineLevel="0" collapsed="false">
      <c r="A430" s="13" t="n">
        <v>31</v>
      </c>
      <c r="B430" s="0" t="str">
        <f aca="false">IFERROR(INDEX(Visitas!$B$2:$B$401,MATCH(A430,Visitas!$A$2:$A$401,0)),"")</f>
        <v>UBS Mathiensen</v>
      </c>
      <c r="C430" s="13" t="s">
        <v>92</v>
      </c>
      <c r="D430" s="0" t="str">
        <f aca="false">IFERROR(INDEX(Itens!$C$2:$C$100,MATCH(C430,Itens!$A$2:$A$100,0)),"")</f>
        <v>Dimensionamento de equipe</v>
      </c>
      <c r="E430" s="0" t="str">
        <f aca="false">IFERROR(INDEX(Visitas!$C$2:$C$401,MATCH(A430,Visitas!$A$2:$A$401,0)),"")</f>
        <v>2026</v>
      </c>
      <c r="F430" s="0" t="str">
        <f aca="false">IFERROR(INDEX(Itens!$B$2:$B$100,MATCH(C430,Itens!$A$2:$A$100,0)),"")</f>
        <v>II</v>
      </c>
      <c r="G430" s="13" t="n">
        <v>1</v>
      </c>
      <c r="H430" s="13" t="n">
        <v>0</v>
      </c>
    </row>
    <row r="431" customFormat="false" ht="15" hidden="false" customHeight="false" outlineLevel="0" collapsed="false">
      <c r="A431" s="13" t="n">
        <v>31</v>
      </c>
      <c r="B431" s="0" t="str">
        <f aca="false">IFERROR(INDEX(Visitas!$B$2:$B$401,MATCH(A431,Visitas!$A$2:$A$401,0)),"")</f>
        <v>UBS Mathiensen</v>
      </c>
      <c r="C431" s="13" t="s">
        <v>96</v>
      </c>
      <c r="D431" s="0" t="str">
        <f aca="false">IFERROR(INDEX(Itens!$C$2:$C$100,MATCH(C431,Itens!$A$2:$A$100,0)),"")</f>
        <v>Execução do cronograma de capacitação da equipe de trabalho</v>
      </c>
      <c r="E431" s="0" t="str">
        <f aca="false">IFERROR(INDEX(Visitas!$C$2:$C$401,MATCH(A431,Visitas!$A$2:$A$401,0)),"")</f>
        <v>2026</v>
      </c>
      <c r="F431" s="0" t="str">
        <f aca="false">IFERROR(INDEX(Itens!$B$2:$B$100,MATCH(C431,Itens!$A$2:$A$100,0)),"")</f>
        <v>II</v>
      </c>
      <c r="G431" s="13" t="n">
        <v>2</v>
      </c>
      <c r="H431" s="13" t="n">
        <v>0</v>
      </c>
    </row>
    <row r="432" customFormat="false" ht="15" hidden="false" customHeight="false" outlineLevel="0" collapsed="false">
      <c r="A432" s="13" t="n">
        <v>31</v>
      </c>
      <c r="B432" s="0" t="str">
        <f aca="false">IFERROR(INDEX(Visitas!$B$2:$B$401,MATCH(A432,Visitas!$A$2:$A$401,0)),"")</f>
        <v>UBS Mathiensen</v>
      </c>
      <c r="C432" s="13" t="s">
        <v>100</v>
      </c>
      <c r="D432" s="0" t="str">
        <f aca="false">IFERROR(INDEX(Itens!$C$2:$C$100,MATCH(C432,Itens!$A$2:$A$100,0)),"")</f>
        <v>Disponibilidade de agendamento de consultas, exames e procedimentos</v>
      </c>
      <c r="E432" s="0" t="str">
        <f aca="false">IFERROR(INDEX(Visitas!$C$2:$C$401,MATCH(A432,Visitas!$A$2:$A$401,0)),"")</f>
        <v>2026</v>
      </c>
      <c r="F432" s="0" t="str">
        <f aca="false">IFERROR(INDEX(Itens!$B$2:$B$100,MATCH(C432,Itens!$A$2:$A$100,0)),"")</f>
        <v>II</v>
      </c>
      <c r="G432" s="13" t="n">
        <v>2</v>
      </c>
      <c r="H432" s="13" t="n">
        <v>0</v>
      </c>
    </row>
    <row r="433" customFormat="false" ht="15" hidden="false" customHeight="false" outlineLevel="0" collapsed="false">
      <c r="A433" s="13" t="n">
        <v>31</v>
      </c>
      <c r="B433" s="0" t="str">
        <f aca="false">IFERROR(INDEX(Visitas!$B$2:$B$401,MATCH(A433,Visitas!$A$2:$A$401,0)),"")</f>
        <v>UBS Mathiensen</v>
      </c>
      <c r="C433" s="13" t="s">
        <v>104</v>
      </c>
      <c r="D433" s="0" t="str">
        <f aca="false">IFERROR(INDEX(Itens!$C$2:$C$100,MATCH(C433,Itens!$A$2:$A$100,0)),"")</f>
        <v>Atendimento aos indicadores do PMS</v>
      </c>
      <c r="E433" s="0" t="str">
        <f aca="false">IFERROR(INDEX(Visitas!$C$2:$C$401,MATCH(A433,Visitas!$A$2:$A$401,0)),"")</f>
        <v>2026</v>
      </c>
      <c r="F433" s="0" t="str">
        <f aca="false">IFERROR(INDEX(Itens!$B$2:$B$100,MATCH(C433,Itens!$A$2:$A$100,0)),"")</f>
        <v>III</v>
      </c>
      <c r="G433" s="13" t="n">
        <v>2</v>
      </c>
      <c r="H433" s="13" t="n">
        <v>0</v>
      </c>
    </row>
    <row r="434" customFormat="false" ht="15" hidden="false" customHeight="false" outlineLevel="0" collapsed="false">
      <c r="A434" s="13" t="n">
        <v>31</v>
      </c>
      <c r="B434" s="0" t="str">
        <f aca="false">IFERROR(INDEX(Visitas!$B$2:$B$401,MATCH(A434,Visitas!$A$2:$A$401,0)),"")</f>
        <v>UBS Mathiensen</v>
      </c>
      <c r="C434" s="13" t="s">
        <v>109</v>
      </c>
      <c r="D434" s="0" t="str">
        <f aca="false">IFERROR(INDEX(Itens!$C$2:$C$100,MATCH(C434,Itens!$A$2:$A$100,0)),"")</f>
        <v>Registro de reclamações na Ouvidoria do COMSAUDE</v>
      </c>
      <c r="E434" s="0" t="str">
        <f aca="false">IFERROR(INDEX(Visitas!$C$2:$C$401,MATCH(A434,Visitas!$A$2:$A$401,0)),"")</f>
        <v>2026</v>
      </c>
      <c r="F434" s="0" t="str">
        <f aca="false">IFERROR(INDEX(Itens!$B$2:$B$100,MATCH(C434,Itens!$A$2:$A$100,0)),"")</f>
        <v>IV</v>
      </c>
      <c r="G434" s="13" t="n">
        <v>1</v>
      </c>
      <c r="H434" s="13" t="n">
        <v>0</v>
      </c>
    </row>
    <row r="435" customFormat="false" ht="15" hidden="false" customHeight="false" outlineLevel="0" collapsed="false">
      <c r="A435" s="13" t="n">
        <v>31</v>
      </c>
      <c r="B435" s="0" t="str">
        <f aca="false">IFERROR(INDEX(Visitas!$B$2:$B$401,MATCH(A435,Visitas!$A$2:$A$401,0)),"")</f>
        <v>UBS Mathiensen</v>
      </c>
      <c r="C435" s="13" t="s">
        <v>113</v>
      </c>
      <c r="D435" s="0" t="str">
        <f aca="false">IFERROR(INDEX(Itens!$C$2:$C$100,MATCH(C435,Itens!$A$2:$A$100,0)),"")</f>
        <v>Satisfação dos usuários</v>
      </c>
      <c r="E435" s="0" t="str">
        <f aca="false">IFERROR(INDEX(Visitas!$C$2:$C$401,MATCH(A435,Visitas!$A$2:$A$401,0)),"")</f>
        <v>2026</v>
      </c>
      <c r="F435" s="0" t="str">
        <f aca="false">IFERROR(INDEX(Itens!$B$2:$B$100,MATCH(C435,Itens!$A$2:$A$100,0)),"")</f>
        <v>IV</v>
      </c>
      <c r="G435" s="13" t="n">
        <v>1</v>
      </c>
      <c r="H435" s="13" t="n">
        <v>0</v>
      </c>
    </row>
    <row r="436" customFormat="false" ht="15" hidden="false" customHeight="false" outlineLevel="0" collapsed="false">
      <c r="A436" s="13" t="n">
        <v>32</v>
      </c>
      <c r="B436" s="0" t="str">
        <f aca="false">IFERROR(INDEX(Visitas!$B$2:$B$401,MATCH(A436,Visitas!$A$2:$A$401,0)),"")</f>
        <v>UBS São Vito</v>
      </c>
      <c r="C436" s="13" t="s">
        <v>65</v>
      </c>
      <c r="D436" s="0" t="str">
        <f aca="false">IFERROR(INDEX(Itens!$C$2:$C$100,MATCH(C436,Itens!$A$2:$A$100,0)),"")</f>
        <v>Infraestrutura civil</v>
      </c>
      <c r="E436" s="0" t="str">
        <f aca="false">IFERROR(INDEX(Visitas!$C$2:$C$401,MATCH(A436,Visitas!$A$2:$A$401,0)),"")</f>
        <v>2026</v>
      </c>
      <c r="F436" s="0" t="str">
        <f aca="false">IFERROR(INDEX(Itens!$B$2:$B$100,MATCH(C436,Itens!$A$2:$A$100,0)),"")</f>
        <v>I</v>
      </c>
      <c r="G436" s="13" t="n">
        <v>2</v>
      </c>
      <c r="H436" s="13" t="n">
        <v>0</v>
      </c>
    </row>
    <row r="437" customFormat="false" ht="15" hidden="false" customHeight="false" outlineLevel="0" collapsed="false">
      <c r="A437" s="13" t="n">
        <v>32</v>
      </c>
      <c r="B437" s="0" t="str">
        <f aca="false">IFERROR(INDEX(Visitas!$B$2:$B$401,MATCH(A437,Visitas!$A$2:$A$401,0)),"")</f>
        <v>UBS São Vito</v>
      </c>
      <c r="C437" s="13" t="s">
        <v>70</v>
      </c>
      <c r="D437" s="0" t="str">
        <f aca="false">IFERROR(INDEX(Itens!$C$2:$C$100,MATCH(C437,Itens!$A$2:$A$100,0)),"")</f>
        <v>Infraestrutura elétrica</v>
      </c>
      <c r="E437" s="0" t="str">
        <f aca="false">IFERROR(INDEX(Visitas!$C$2:$C$401,MATCH(A437,Visitas!$A$2:$A$401,0)),"")</f>
        <v>2026</v>
      </c>
      <c r="F437" s="0" t="str">
        <f aca="false">IFERROR(INDEX(Itens!$B$2:$B$100,MATCH(C437,Itens!$A$2:$A$100,0)),"")</f>
        <v>I</v>
      </c>
      <c r="G437" s="13" t="n">
        <v>2</v>
      </c>
      <c r="H437" s="13" t="n">
        <v>0</v>
      </c>
    </row>
    <row r="438" customFormat="false" ht="15" hidden="false" customHeight="false" outlineLevel="0" collapsed="false">
      <c r="A438" s="13" t="n">
        <v>32</v>
      </c>
      <c r="B438" s="0" t="str">
        <f aca="false">IFERROR(INDEX(Visitas!$B$2:$B$401,MATCH(A438,Visitas!$A$2:$A$401,0)),"")</f>
        <v>UBS São Vito</v>
      </c>
      <c r="C438" s="13" t="s">
        <v>73</v>
      </c>
      <c r="D438" s="0" t="str">
        <f aca="false">IFERROR(INDEX(Itens!$C$2:$C$100,MATCH(C438,Itens!$A$2:$A$100,0)),"")</f>
        <v>Infraestrutura hidráulica</v>
      </c>
      <c r="E438" s="0" t="str">
        <f aca="false">IFERROR(INDEX(Visitas!$C$2:$C$401,MATCH(A438,Visitas!$A$2:$A$401,0)),"")</f>
        <v>2026</v>
      </c>
      <c r="F438" s="0" t="str">
        <f aca="false">IFERROR(INDEX(Itens!$B$2:$B$100,MATCH(C438,Itens!$A$2:$A$100,0)),"")</f>
        <v>I</v>
      </c>
      <c r="G438" s="13" t="n">
        <v>2</v>
      </c>
      <c r="H438" s="13" t="n">
        <v>0</v>
      </c>
    </row>
    <row r="439" customFormat="false" ht="15" hidden="false" customHeight="false" outlineLevel="0" collapsed="false">
      <c r="A439" s="13" t="n">
        <v>32</v>
      </c>
      <c r="B439" s="0" t="str">
        <f aca="false">IFERROR(INDEX(Visitas!$B$2:$B$401,MATCH(A439,Visitas!$A$2:$A$401,0)),"")</f>
        <v>UBS São Vito</v>
      </c>
      <c r="C439" s="13" t="s">
        <v>76</v>
      </c>
      <c r="D439" s="0" t="str">
        <f aca="false">IFERROR(INDEX(Itens!$C$2:$C$100,MATCH(C439,Itens!$A$2:$A$100,0)),"")</f>
        <v>Infraestrutura de comunicação</v>
      </c>
      <c r="E439" s="0" t="str">
        <f aca="false">IFERROR(INDEX(Visitas!$C$2:$C$401,MATCH(A439,Visitas!$A$2:$A$401,0)),"")</f>
        <v>2026</v>
      </c>
      <c r="F439" s="0" t="str">
        <f aca="false">IFERROR(INDEX(Itens!$B$2:$B$100,MATCH(C439,Itens!$A$2:$A$100,0)),"")</f>
        <v>I</v>
      </c>
      <c r="G439" s="13" t="n">
        <v>2</v>
      </c>
      <c r="H439" s="13" t="n">
        <v>0</v>
      </c>
    </row>
    <row r="440" customFormat="false" ht="15" hidden="false" customHeight="false" outlineLevel="0" collapsed="false">
      <c r="A440" s="13" t="n">
        <v>32</v>
      </c>
      <c r="B440" s="0" t="str">
        <f aca="false">IFERROR(INDEX(Visitas!$B$2:$B$401,MATCH(A440,Visitas!$A$2:$A$401,0)),"")</f>
        <v>UBS São Vito</v>
      </c>
      <c r="C440" s="13" t="s">
        <v>79</v>
      </c>
      <c r="D440" s="0" t="str">
        <f aca="false">IFERROR(INDEX(Itens!$C$2:$C$100,MATCH(C440,Itens!$A$2:$A$100,0)),"")</f>
        <v>Equipamentos</v>
      </c>
      <c r="E440" s="0" t="str">
        <f aca="false">IFERROR(INDEX(Visitas!$C$2:$C$401,MATCH(A440,Visitas!$A$2:$A$401,0)),"")</f>
        <v>2026</v>
      </c>
      <c r="F440" s="0" t="str">
        <f aca="false">IFERROR(INDEX(Itens!$B$2:$B$100,MATCH(C440,Itens!$A$2:$A$100,0)),"")</f>
        <v>I</v>
      </c>
      <c r="G440" s="13" t="n">
        <v>2</v>
      </c>
      <c r="H440" s="13" t="n">
        <v>0</v>
      </c>
    </row>
    <row r="441" customFormat="false" ht="15" hidden="false" customHeight="false" outlineLevel="0" collapsed="false">
      <c r="A441" s="13" t="n">
        <v>32</v>
      </c>
      <c r="B441" s="0" t="str">
        <f aca="false">IFERROR(INDEX(Visitas!$B$2:$B$401,MATCH(A441,Visitas!$A$2:$A$401,0)),"")</f>
        <v>UBS São Vito</v>
      </c>
      <c r="C441" s="13" t="s">
        <v>82</v>
      </c>
      <c r="D441" s="0" t="str">
        <f aca="false">IFERROR(INDEX(Itens!$C$2:$C$100,MATCH(C441,Itens!$A$2:$A$100,0)),"")</f>
        <v>Materiais, medicamentos e insumos</v>
      </c>
      <c r="E441" s="0" t="str">
        <f aca="false">IFERROR(INDEX(Visitas!$C$2:$C$401,MATCH(A441,Visitas!$A$2:$A$401,0)),"")</f>
        <v>2026</v>
      </c>
      <c r="F441" s="0" t="str">
        <f aca="false">IFERROR(INDEX(Itens!$B$2:$B$100,MATCH(C441,Itens!$A$2:$A$100,0)),"")</f>
        <v>I</v>
      </c>
      <c r="G441" s="13" t="n">
        <v>2</v>
      </c>
      <c r="H441" s="13" t="n">
        <v>0</v>
      </c>
    </row>
    <row r="442" customFormat="false" ht="15" hidden="false" customHeight="false" outlineLevel="0" collapsed="false">
      <c r="A442" s="13" t="n">
        <v>32</v>
      </c>
      <c r="B442" s="0" t="str">
        <f aca="false">IFERROR(INDEX(Visitas!$B$2:$B$401,MATCH(A442,Visitas!$A$2:$A$401,0)),"")</f>
        <v>UBS São Vito</v>
      </c>
      <c r="C442" s="13" t="s">
        <v>85</v>
      </c>
      <c r="D442" s="0" t="str">
        <f aca="false">IFERROR(INDEX(Itens!$C$2:$C$100,MATCH(C442,Itens!$A$2:$A$100,0)),"")</f>
        <v>Conforto, limpeza e organização</v>
      </c>
      <c r="E442" s="0" t="str">
        <f aca="false">IFERROR(INDEX(Visitas!$C$2:$C$401,MATCH(A442,Visitas!$A$2:$A$401,0)),"")</f>
        <v>2026</v>
      </c>
      <c r="F442" s="0" t="str">
        <f aca="false">IFERROR(INDEX(Itens!$B$2:$B$100,MATCH(C442,Itens!$A$2:$A$100,0)),"")</f>
        <v>I</v>
      </c>
      <c r="G442" s="13" t="n">
        <v>2</v>
      </c>
      <c r="H442" s="13" t="n">
        <v>0</v>
      </c>
    </row>
    <row r="443" customFormat="false" ht="15" hidden="false" customHeight="false" outlineLevel="0" collapsed="false">
      <c r="A443" s="13" t="n">
        <v>32</v>
      </c>
      <c r="B443" s="0" t="str">
        <f aca="false">IFERROR(INDEX(Visitas!$B$2:$B$401,MATCH(A443,Visitas!$A$2:$A$401,0)),"")</f>
        <v>UBS São Vito</v>
      </c>
      <c r="C443" s="13" t="s">
        <v>88</v>
      </c>
      <c r="D443" s="0" t="str">
        <f aca="false">IFERROR(INDEX(Itens!$C$2:$C$100,MATCH(C443,Itens!$A$2:$A$100,0)),"")</f>
        <v>Utilização de indicadores de gestão</v>
      </c>
      <c r="E443" s="0" t="str">
        <f aca="false">IFERROR(INDEX(Visitas!$C$2:$C$401,MATCH(A443,Visitas!$A$2:$A$401,0)),"")</f>
        <v>2026</v>
      </c>
      <c r="F443" s="0" t="str">
        <f aca="false">IFERROR(INDEX(Itens!$B$2:$B$100,MATCH(C443,Itens!$A$2:$A$100,0)),"")</f>
        <v>II</v>
      </c>
      <c r="G443" s="13" t="n">
        <v>2</v>
      </c>
      <c r="H443" s="13" t="n">
        <v>0</v>
      </c>
    </row>
    <row r="444" customFormat="false" ht="15" hidden="false" customHeight="false" outlineLevel="0" collapsed="false">
      <c r="A444" s="13" t="n">
        <v>32</v>
      </c>
      <c r="B444" s="0" t="str">
        <f aca="false">IFERROR(INDEX(Visitas!$B$2:$B$401,MATCH(A444,Visitas!$A$2:$A$401,0)),"")</f>
        <v>UBS São Vito</v>
      </c>
      <c r="C444" s="13" t="s">
        <v>92</v>
      </c>
      <c r="D444" s="0" t="str">
        <f aca="false">IFERROR(INDEX(Itens!$C$2:$C$100,MATCH(C444,Itens!$A$2:$A$100,0)),"")</f>
        <v>Dimensionamento de equipe</v>
      </c>
      <c r="E444" s="0" t="str">
        <f aca="false">IFERROR(INDEX(Visitas!$C$2:$C$401,MATCH(A444,Visitas!$A$2:$A$401,0)),"")</f>
        <v>2026</v>
      </c>
      <c r="F444" s="0" t="str">
        <f aca="false">IFERROR(INDEX(Itens!$B$2:$B$100,MATCH(C444,Itens!$A$2:$A$100,0)),"")</f>
        <v>II</v>
      </c>
      <c r="G444" s="13" t="n">
        <v>2</v>
      </c>
      <c r="H444" s="13" t="n">
        <v>0</v>
      </c>
    </row>
    <row r="445" customFormat="false" ht="15" hidden="false" customHeight="false" outlineLevel="0" collapsed="false">
      <c r="A445" s="13" t="n">
        <v>32</v>
      </c>
      <c r="B445" s="0" t="str">
        <f aca="false">IFERROR(INDEX(Visitas!$B$2:$B$401,MATCH(A445,Visitas!$A$2:$A$401,0)),"")</f>
        <v>UBS São Vito</v>
      </c>
      <c r="C445" s="13" t="s">
        <v>96</v>
      </c>
      <c r="D445" s="0" t="str">
        <f aca="false">IFERROR(INDEX(Itens!$C$2:$C$100,MATCH(C445,Itens!$A$2:$A$100,0)),"")</f>
        <v>Execução do cronograma de capacitação da equipe de trabalho</v>
      </c>
      <c r="E445" s="0" t="str">
        <f aca="false">IFERROR(INDEX(Visitas!$C$2:$C$401,MATCH(A445,Visitas!$A$2:$A$401,0)),"")</f>
        <v>2026</v>
      </c>
      <c r="F445" s="0" t="str">
        <f aca="false">IFERROR(INDEX(Itens!$B$2:$B$100,MATCH(C445,Itens!$A$2:$A$100,0)),"")</f>
        <v>II</v>
      </c>
      <c r="G445" s="13" t="n">
        <v>2</v>
      </c>
      <c r="H445" s="13" t="n">
        <v>0</v>
      </c>
    </row>
    <row r="446" customFormat="false" ht="15" hidden="false" customHeight="false" outlineLevel="0" collapsed="false">
      <c r="A446" s="13" t="n">
        <v>32</v>
      </c>
      <c r="B446" s="0" t="str">
        <f aca="false">IFERROR(INDEX(Visitas!$B$2:$B$401,MATCH(A446,Visitas!$A$2:$A$401,0)),"")</f>
        <v>UBS São Vito</v>
      </c>
      <c r="C446" s="13" t="s">
        <v>100</v>
      </c>
      <c r="D446" s="0" t="str">
        <f aca="false">IFERROR(INDEX(Itens!$C$2:$C$100,MATCH(C446,Itens!$A$2:$A$100,0)),"")</f>
        <v>Disponibilidade de agendamento de consultas, exames e procedimentos</v>
      </c>
      <c r="E446" s="0" t="str">
        <f aca="false">IFERROR(INDEX(Visitas!$C$2:$C$401,MATCH(A446,Visitas!$A$2:$A$401,0)),"")</f>
        <v>2026</v>
      </c>
      <c r="F446" s="0" t="str">
        <f aca="false">IFERROR(INDEX(Itens!$B$2:$B$100,MATCH(C446,Itens!$A$2:$A$100,0)),"")</f>
        <v>II</v>
      </c>
      <c r="G446" s="13" t="n">
        <v>2</v>
      </c>
      <c r="H446" s="13" t="n">
        <v>0</v>
      </c>
    </row>
    <row r="447" customFormat="false" ht="15" hidden="false" customHeight="false" outlineLevel="0" collapsed="false">
      <c r="A447" s="13" t="n">
        <v>32</v>
      </c>
      <c r="B447" s="0" t="str">
        <f aca="false">IFERROR(INDEX(Visitas!$B$2:$B$401,MATCH(A447,Visitas!$A$2:$A$401,0)),"")</f>
        <v>UBS São Vito</v>
      </c>
      <c r="C447" s="13" t="s">
        <v>104</v>
      </c>
      <c r="D447" s="0" t="str">
        <f aca="false">IFERROR(INDEX(Itens!$C$2:$C$100,MATCH(C447,Itens!$A$2:$A$100,0)),"")</f>
        <v>Atendimento aos indicadores do PMS</v>
      </c>
      <c r="E447" s="0" t="str">
        <f aca="false">IFERROR(INDEX(Visitas!$C$2:$C$401,MATCH(A447,Visitas!$A$2:$A$401,0)),"")</f>
        <v>2026</v>
      </c>
      <c r="F447" s="0" t="str">
        <f aca="false">IFERROR(INDEX(Itens!$B$2:$B$100,MATCH(C447,Itens!$A$2:$A$100,0)),"")</f>
        <v>III</v>
      </c>
      <c r="G447" s="13" t="n">
        <v>2</v>
      </c>
      <c r="H447" s="13" t="n">
        <v>0</v>
      </c>
    </row>
    <row r="448" customFormat="false" ht="15" hidden="false" customHeight="false" outlineLevel="0" collapsed="false">
      <c r="A448" s="13" t="n">
        <v>32</v>
      </c>
      <c r="B448" s="0" t="str">
        <f aca="false">IFERROR(INDEX(Visitas!$B$2:$B$401,MATCH(A448,Visitas!$A$2:$A$401,0)),"")</f>
        <v>UBS São Vito</v>
      </c>
      <c r="C448" s="13" t="s">
        <v>109</v>
      </c>
      <c r="D448" s="0" t="str">
        <f aca="false">IFERROR(INDEX(Itens!$C$2:$C$100,MATCH(C448,Itens!$A$2:$A$100,0)),"")</f>
        <v>Registro de reclamações na Ouvidoria do COMSAUDE</v>
      </c>
      <c r="E448" s="0" t="str">
        <f aca="false">IFERROR(INDEX(Visitas!$C$2:$C$401,MATCH(A448,Visitas!$A$2:$A$401,0)),"")</f>
        <v>2026</v>
      </c>
      <c r="F448" s="0" t="str">
        <f aca="false">IFERROR(INDEX(Itens!$B$2:$B$100,MATCH(C448,Itens!$A$2:$A$100,0)),"")</f>
        <v>IV</v>
      </c>
      <c r="G448" s="13" t="n">
        <v>2</v>
      </c>
      <c r="H448" s="13" t="n">
        <v>0</v>
      </c>
    </row>
    <row r="449" customFormat="false" ht="15" hidden="false" customHeight="false" outlineLevel="0" collapsed="false">
      <c r="A449" s="13" t="n">
        <v>32</v>
      </c>
      <c r="B449" s="0" t="str">
        <f aca="false">IFERROR(INDEX(Visitas!$B$2:$B$401,MATCH(A449,Visitas!$A$2:$A$401,0)),"")</f>
        <v>UBS São Vito</v>
      </c>
      <c r="C449" s="13" t="s">
        <v>113</v>
      </c>
      <c r="D449" s="0" t="str">
        <f aca="false">IFERROR(INDEX(Itens!$C$2:$C$100,MATCH(C449,Itens!$A$2:$A$100,0)),"")</f>
        <v>Satisfação dos usuários</v>
      </c>
      <c r="E449" s="0" t="str">
        <f aca="false">IFERROR(INDEX(Visitas!$C$2:$C$401,MATCH(A449,Visitas!$A$2:$A$401,0)),"")</f>
        <v>2026</v>
      </c>
      <c r="F449" s="0" t="str">
        <f aca="false">IFERROR(INDEX(Itens!$B$2:$B$100,MATCH(C449,Itens!$A$2:$A$100,0)),"")</f>
        <v>IV</v>
      </c>
      <c r="G449" s="13" t="n">
        <v>2</v>
      </c>
      <c r="H449" s="13" t="n">
        <v>0</v>
      </c>
    </row>
    <row r="450" customFormat="false" ht="15" hidden="false" customHeight="false" outlineLevel="0" collapsed="false">
      <c r="A450" s="13" t="n">
        <v>33</v>
      </c>
      <c r="B450" s="0" t="str">
        <f aca="false">IFERROR(INDEX(Visitas!$B$2:$B$401,MATCH(A450,Visitas!$A$2:$A$401,0)),"")</f>
        <v>CAPS Infantil Larissa de Almeida</v>
      </c>
      <c r="C450" s="13" t="s">
        <v>65</v>
      </c>
      <c r="D450" s="0" t="str">
        <f aca="false">IFERROR(INDEX(Itens!$C$2:$C$100,MATCH(C450,Itens!$A$2:$A$100,0)),"")</f>
        <v>Infraestrutura civil</v>
      </c>
      <c r="E450" s="0" t="str">
        <f aca="false">IFERROR(INDEX(Visitas!$C$2:$C$401,MATCH(A450,Visitas!$A$2:$A$401,0)),"")</f>
        <v>2026</v>
      </c>
      <c r="F450" s="0" t="str">
        <f aca="false">IFERROR(INDEX(Itens!$B$2:$B$100,MATCH(C450,Itens!$A$2:$A$100,0)),"")</f>
        <v>I</v>
      </c>
      <c r="G450" s="13" t="n">
        <v>2</v>
      </c>
      <c r="H450" s="13" t="n">
        <v>0</v>
      </c>
    </row>
    <row r="451" customFormat="false" ht="15" hidden="false" customHeight="false" outlineLevel="0" collapsed="false">
      <c r="A451" s="13" t="n">
        <v>33</v>
      </c>
      <c r="B451" s="0" t="str">
        <f aca="false">IFERROR(INDEX(Visitas!$B$2:$B$401,MATCH(A451,Visitas!$A$2:$A$401,0)),"")</f>
        <v>CAPS Infantil Larissa de Almeida</v>
      </c>
      <c r="C451" s="13" t="s">
        <v>70</v>
      </c>
      <c r="D451" s="0" t="str">
        <f aca="false">IFERROR(INDEX(Itens!$C$2:$C$100,MATCH(C451,Itens!$A$2:$A$100,0)),"")</f>
        <v>Infraestrutura elétrica</v>
      </c>
      <c r="E451" s="0" t="str">
        <f aca="false">IFERROR(INDEX(Visitas!$C$2:$C$401,MATCH(A451,Visitas!$A$2:$A$401,0)),"")</f>
        <v>2026</v>
      </c>
      <c r="F451" s="0" t="str">
        <f aca="false">IFERROR(INDEX(Itens!$B$2:$B$100,MATCH(C451,Itens!$A$2:$A$100,0)),"")</f>
        <v>I</v>
      </c>
      <c r="G451" s="13" t="n">
        <v>2</v>
      </c>
      <c r="H451" s="13" t="n">
        <v>0</v>
      </c>
    </row>
    <row r="452" customFormat="false" ht="15" hidden="false" customHeight="false" outlineLevel="0" collapsed="false">
      <c r="A452" s="13" t="n">
        <v>33</v>
      </c>
      <c r="B452" s="0" t="str">
        <f aca="false">IFERROR(INDEX(Visitas!$B$2:$B$401,MATCH(A452,Visitas!$A$2:$A$401,0)),"")</f>
        <v>CAPS Infantil Larissa de Almeida</v>
      </c>
      <c r="C452" s="13" t="s">
        <v>73</v>
      </c>
      <c r="D452" s="0" t="str">
        <f aca="false">IFERROR(INDEX(Itens!$C$2:$C$100,MATCH(C452,Itens!$A$2:$A$100,0)),"")</f>
        <v>Infraestrutura hidráulica</v>
      </c>
      <c r="E452" s="0" t="str">
        <f aca="false">IFERROR(INDEX(Visitas!$C$2:$C$401,MATCH(A452,Visitas!$A$2:$A$401,0)),"")</f>
        <v>2026</v>
      </c>
      <c r="F452" s="0" t="str">
        <f aca="false">IFERROR(INDEX(Itens!$B$2:$B$100,MATCH(C452,Itens!$A$2:$A$100,0)),"")</f>
        <v>I</v>
      </c>
      <c r="G452" s="13" t="n">
        <v>2</v>
      </c>
      <c r="H452" s="13" t="n">
        <v>0</v>
      </c>
    </row>
    <row r="453" customFormat="false" ht="15" hidden="false" customHeight="false" outlineLevel="0" collapsed="false">
      <c r="A453" s="13" t="n">
        <v>33</v>
      </c>
      <c r="B453" s="0" t="str">
        <f aca="false">IFERROR(INDEX(Visitas!$B$2:$B$401,MATCH(A453,Visitas!$A$2:$A$401,0)),"")</f>
        <v>CAPS Infantil Larissa de Almeida</v>
      </c>
      <c r="C453" s="13" t="s">
        <v>76</v>
      </c>
      <c r="D453" s="0" t="str">
        <f aca="false">IFERROR(INDEX(Itens!$C$2:$C$100,MATCH(C453,Itens!$A$2:$A$100,0)),"")</f>
        <v>Infraestrutura de comunicação</v>
      </c>
      <c r="E453" s="0" t="str">
        <f aca="false">IFERROR(INDEX(Visitas!$C$2:$C$401,MATCH(A453,Visitas!$A$2:$A$401,0)),"")</f>
        <v>2026</v>
      </c>
      <c r="F453" s="0" t="str">
        <f aca="false">IFERROR(INDEX(Itens!$B$2:$B$100,MATCH(C453,Itens!$A$2:$A$100,0)),"")</f>
        <v>I</v>
      </c>
      <c r="G453" s="13" t="n">
        <v>2</v>
      </c>
      <c r="H453" s="13" t="n">
        <v>0</v>
      </c>
    </row>
    <row r="454" customFormat="false" ht="15" hidden="false" customHeight="false" outlineLevel="0" collapsed="false">
      <c r="A454" s="13" t="n">
        <v>33</v>
      </c>
      <c r="B454" s="0" t="str">
        <f aca="false">IFERROR(INDEX(Visitas!$B$2:$B$401,MATCH(A454,Visitas!$A$2:$A$401,0)),"")</f>
        <v>CAPS Infantil Larissa de Almeida</v>
      </c>
      <c r="C454" s="13" t="s">
        <v>79</v>
      </c>
      <c r="D454" s="0" t="str">
        <f aca="false">IFERROR(INDEX(Itens!$C$2:$C$100,MATCH(C454,Itens!$A$2:$A$100,0)),"")</f>
        <v>Equipamentos</v>
      </c>
      <c r="E454" s="0" t="str">
        <f aca="false">IFERROR(INDEX(Visitas!$C$2:$C$401,MATCH(A454,Visitas!$A$2:$A$401,0)),"")</f>
        <v>2026</v>
      </c>
      <c r="F454" s="0" t="str">
        <f aca="false">IFERROR(INDEX(Itens!$B$2:$B$100,MATCH(C454,Itens!$A$2:$A$100,0)),"")</f>
        <v>I</v>
      </c>
      <c r="G454" s="13" t="n">
        <v>2</v>
      </c>
      <c r="H454" s="13" t="n">
        <v>0</v>
      </c>
    </row>
    <row r="455" customFormat="false" ht="15" hidden="false" customHeight="false" outlineLevel="0" collapsed="false">
      <c r="A455" s="13" t="n">
        <v>33</v>
      </c>
      <c r="B455" s="0" t="str">
        <f aca="false">IFERROR(INDEX(Visitas!$B$2:$B$401,MATCH(A455,Visitas!$A$2:$A$401,0)),"")</f>
        <v>CAPS Infantil Larissa de Almeida</v>
      </c>
      <c r="C455" s="13" t="s">
        <v>82</v>
      </c>
      <c r="D455" s="0" t="str">
        <f aca="false">IFERROR(INDEX(Itens!$C$2:$C$100,MATCH(C455,Itens!$A$2:$A$100,0)),"")</f>
        <v>Materiais, medicamentos e insumos</v>
      </c>
      <c r="E455" s="0" t="str">
        <f aca="false">IFERROR(INDEX(Visitas!$C$2:$C$401,MATCH(A455,Visitas!$A$2:$A$401,0)),"")</f>
        <v>2026</v>
      </c>
      <c r="F455" s="0" t="str">
        <f aca="false">IFERROR(INDEX(Itens!$B$2:$B$100,MATCH(C455,Itens!$A$2:$A$100,0)),"")</f>
        <v>I</v>
      </c>
      <c r="G455" s="13" t="n">
        <v>1</v>
      </c>
      <c r="H455" s="13" t="n">
        <v>0</v>
      </c>
    </row>
    <row r="456" customFormat="false" ht="15" hidden="false" customHeight="false" outlineLevel="0" collapsed="false">
      <c r="A456" s="13" t="n">
        <v>33</v>
      </c>
      <c r="B456" s="0" t="str">
        <f aca="false">IFERROR(INDEX(Visitas!$B$2:$B$401,MATCH(A456,Visitas!$A$2:$A$401,0)),"")</f>
        <v>CAPS Infantil Larissa de Almeida</v>
      </c>
      <c r="C456" s="13" t="s">
        <v>85</v>
      </c>
      <c r="D456" s="0" t="str">
        <f aca="false">IFERROR(INDEX(Itens!$C$2:$C$100,MATCH(C456,Itens!$A$2:$A$100,0)),"")</f>
        <v>Conforto, limpeza e organização</v>
      </c>
      <c r="E456" s="0" t="str">
        <f aca="false">IFERROR(INDEX(Visitas!$C$2:$C$401,MATCH(A456,Visitas!$A$2:$A$401,0)),"")</f>
        <v>2026</v>
      </c>
      <c r="F456" s="0" t="str">
        <f aca="false">IFERROR(INDEX(Itens!$B$2:$B$100,MATCH(C456,Itens!$A$2:$A$100,0)),"")</f>
        <v>I</v>
      </c>
      <c r="G456" s="13" t="n">
        <v>2</v>
      </c>
      <c r="H456" s="13" t="n">
        <v>0</v>
      </c>
    </row>
    <row r="457" customFormat="false" ht="15" hidden="false" customHeight="false" outlineLevel="0" collapsed="false">
      <c r="A457" s="13" t="n">
        <v>33</v>
      </c>
      <c r="B457" s="0" t="str">
        <f aca="false">IFERROR(INDEX(Visitas!$B$2:$B$401,MATCH(A457,Visitas!$A$2:$A$401,0)),"")</f>
        <v>CAPS Infantil Larissa de Almeida</v>
      </c>
      <c r="C457" s="13" t="s">
        <v>88</v>
      </c>
      <c r="D457" s="0" t="str">
        <f aca="false">IFERROR(INDEX(Itens!$C$2:$C$100,MATCH(C457,Itens!$A$2:$A$100,0)),"")</f>
        <v>Utilização de indicadores de gestão</v>
      </c>
      <c r="E457" s="0" t="str">
        <f aca="false">IFERROR(INDEX(Visitas!$C$2:$C$401,MATCH(A457,Visitas!$A$2:$A$401,0)),"")</f>
        <v>2026</v>
      </c>
      <c r="F457" s="0" t="str">
        <f aca="false">IFERROR(INDEX(Itens!$B$2:$B$100,MATCH(C457,Itens!$A$2:$A$100,0)),"")</f>
        <v>II</v>
      </c>
      <c r="G457" s="13" t="n">
        <v>2</v>
      </c>
      <c r="H457" s="13" t="n">
        <v>0</v>
      </c>
    </row>
    <row r="458" customFormat="false" ht="15" hidden="false" customHeight="false" outlineLevel="0" collapsed="false">
      <c r="A458" s="13" t="n">
        <v>33</v>
      </c>
      <c r="B458" s="0" t="str">
        <f aca="false">IFERROR(INDEX(Visitas!$B$2:$B$401,MATCH(A458,Visitas!$A$2:$A$401,0)),"")</f>
        <v>CAPS Infantil Larissa de Almeida</v>
      </c>
      <c r="C458" s="13" t="s">
        <v>92</v>
      </c>
      <c r="D458" s="0" t="str">
        <f aca="false">IFERROR(INDEX(Itens!$C$2:$C$100,MATCH(C458,Itens!$A$2:$A$100,0)),"")</f>
        <v>Dimensionamento de equipe</v>
      </c>
      <c r="E458" s="0" t="str">
        <f aca="false">IFERROR(INDEX(Visitas!$C$2:$C$401,MATCH(A458,Visitas!$A$2:$A$401,0)),"")</f>
        <v>2026</v>
      </c>
      <c r="F458" s="0" t="str">
        <f aca="false">IFERROR(INDEX(Itens!$B$2:$B$100,MATCH(C458,Itens!$A$2:$A$100,0)),"")</f>
        <v>II</v>
      </c>
      <c r="G458" s="13" t="n">
        <v>2</v>
      </c>
      <c r="H458" s="13" t="n">
        <v>0</v>
      </c>
    </row>
    <row r="459" customFormat="false" ht="15" hidden="false" customHeight="false" outlineLevel="0" collapsed="false">
      <c r="A459" s="13" t="n">
        <v>33</v>
      </c>
      <c r="B459" s="0" t="str">
        <f aca="false">IFERROR(INDEX(Visitas!$B$2:$B$401,MATCH(A459,Visitas!$A$2:$A$401,0)),"")</f>
        <v>CAPS Infantil Larissa de Almeida</v>
      </c>
      <c r="C459" s="13" t="s">
        <v>96</v>
      </c>
      <c r="D459" s="0" t="str">
        <f aca="false">IFERROR(INDEX(Itens!$C$2:$C$100,MATCH(C459,Itens!$A$2:$A$100,0)),"")</f>
        <v>Execução do cronograma de capacitação da equipe de trabalho</v>
      </c>
      <c r="E459" s="0" t="str">
        <f aca="false">IFERROR(INDEX(Visitas!$C$2:$C$401,MATCH(A459,Visitas!$A$2:$A$401,0)),"")</f>
        <v>2026</v>
      </c>
      <c r="F459" s="0" t="str">
        <f aca="false">IFERROR(INDEX(Itens!$B$2:$B$100,MATCH(C459,Itens!$A$2:$A$100,0)),"")</f>
        <v>II</v>
      </c>
      <c r="G459" s="13" t="n">
        <v>2</v>
      </c>
      <c r="H459" s="13" t="n">
        <v>0</v>
      </c>
    </row>
    <row r="460" customFormat="false" ht="15" hidden="false" customHeight="false" outlineLevel="0" collapsed="false">
      <c r="A460" s="13" t="n">
        <v>33</v>
      </c>
      <c r="B460" s="0" t="str">
        <f aca="false">IFERROR(INDEX(Visitas!$B$2:$B$401,MATCH(A460,Visitas!$A$2:$A$401,0)),"")</f>
        <v>CAPS Infantil Larissa de Almeida</v>
      </c>
      <c r="C460" s="13" t="s">
        <v>100</v>
      </c>
      <c r="D460" s="0" t="str">
        <f aca="false">IFERROR(INDEX(Itens!$C$2:$C$100,MATCH(C460,Itens!$A$2:$A$100,0)),"")</f>
        <v>Disponibilidade de agendamento de consultas, exames e procedimentos</v>
      </c>
      <c r="E460" s="0" t="str">
        <f aca="false">IFERROR(INDEX(Visitas!$C$2:$C$401,MATCH(A460,Visitas!$A$2:$A$401,0)),"")</f>
        <v>2026</v>
      </c>
      <c r="F460" s="0" t="str">
        <f aca="false">IFERROR(INDEX(Itens!$B$2:$B$100,MATCH(C460,Itens!$A$2:$A$100,0)),"")</f>
        <v>II</v>
      </c>
      <c r="G460" s="13" t="n">
        <v>2</v>
      </c>
      <c r="H460" s="13" t="n">
        <v>0</v>
      </c>
    </row>
    <row r="461" customFormat="false" ht="15" hidden="false" customHeight="false" outlineLevel="0" collapsed="false">
      <c r="A461" s="13" t="n">
        <v>33</v>
      </c>
      <c r="B461" s="0" t="str">
        <f aca="false">IFERROR(INDEX(Visitas!$B$2:$B$401,MATCH(A461,Visitas!$A$2:$A$401,0)),"")</f>
        <v>CAPS Infantil Larissa de Almeida</v>
      </c>
      <c r="C461" s="13" t="s">
        <v>104</v>
      </c>
      <c r="D461" s="0" t="str">
        <f aca="false">IFERROR(INDEX(Itens!$C$2:$C$100,MATCH(C461,Itens!$A$2:$A$100,0)),"")</f>
        <v>Atendimento aos indicadores do PMS</v>
      </c>
      <c r="E461" s="0" t="str">
        <f aca="false">IFERROR(INDEX(Visitas!$C$2:$C$401,MATCH(A461,Visitas!$A$2:$A$401,0)),"")</f>
        <v>2026</v>
      </c>
      <c r="F461" s="0" t="str">
        <f aca="false">IFERROR(INDEX(Itens!$B$2:$B$100,MATCH(C461,Itens!$A$2:$A$100,0)),"")</f>
        <v>III</v>
      </c>
      <c r="G461" s="13" t="n">
        <v>2</v>
      </c>
      <c r="H461" s="13" t="n">
        <v>0</v>
      </c>
    </row>
    <row r="462" customFormat="false" ht="15" hidden="false" customHeight="false" outlineLevel="0" collapsed="false">
      <c r="A462" s="13" t="n">
        <v>33</v>
      </c>
      <c r="B462" s="0" t="str">
        <f aca="false">IFERROR(INDEX(Visitas!$B$2:$B$401,MATCH(A462,Visitas!$A$2:$A$401,0)),"")</f>
        <v>CAPS Infantil Larissa de Almeida</v>
      </c>
      <c r="C462" s="13" t="s">
        <v>109</v>
      </c>
      <c r="D462" s="0" t="str">
        <f aca="false">IFERROR(INDEX(Itens!$C$2:$C$100,MATCH(C462,Itens!$A$2:$A$100,0)),"")</f>
        <v>Registro de reclamações na Ouvidoria do COMSAUDE</v>
      </c>
      <c r="E462" s="0" t="str">
        <f aca="false">IFERROR(INDEX(Visitas!$C$2:$C$401,MATCH(A462,Visitas!$A$2:$A$401,0)),"")</f>
        <v>2026</v>
      </c>
      <c r="F462" s="0" t="str">
        <f aca="false">IFERROR(INDEX(Itens!$B$2:$B$100,MATCH(C462,Itens!$A$2:$A$100,0)),"")</f>
        <v>IV</v>
      </c>
      <c r="G462" s="13" t="n">
        <v>2</v>
      </c>
      <c r="H462" s="13" t="n">
        <v>0</v>
      </c>
    </row>
    <row r="463" customFormat="false" ht="15" hidden="false" customHeight="false" outlineLevel="0" collapsed="false">
      <c r="A463" s="13" t="n">
        <v>33</v>
      </c>
      <c r="B463" s="0" t="str">
        <f aca="false">IFERROR(INDEX(Visitas!$B$2:$B$401,MATCH(A463,Visitas!$A$2:$A$401,0)),"")</f>
        <v>CAPS Infantil Larissa de Almeida</v>
      </c>
      <c r="C463" s="13" t="s">
        <v>113</v>
      </c>
      <c r="D463" s="0" t="str">
        <f aca="false">IFERROR(INDEX(Itens!$C$2:$C$100,MATCH(C463,Itens!$A$2:$A$100,0)),"")</f>
        <v>Satisfação dos usuários</v>
      </c>
      <c r="E463" s="0" t="str">
        <f aca="false">IFERROR(INDEX(Visitas!$C$2:$C$401,MATCH(A463,Visitas!$A$2:$A$401,0)),"")</f>
        <v>2026</v>
      </c>
      <c r="F463" s="0" t="str">
        <f aca="false">IFERROR(INDEX(Itens!$B$2:$B$100,MATCH(C463,Itens!$A$2:$A$100,0)),"")</f>
        <v>IV</v>
      </c>
      <c r="G463" s="13" t="n">
        <v>2</v>
      </c>
      <c r="H463" s="13" t="n">
        <v>0</v>
      </c>
    </row>
    <row r="464" customFormat="false" ht="15" hidden="false" customHeight="false" outlineLevel="0" collapsed="false">
      <c r="A464" s="13" t="n">
        <v>34</v>
      </c>
      <c r="B464" s="0" t="str">
        <f aca="false">IFERROR(INDEX(Visitas!$B$2:$B$401,MATCH(A464,Visitas!$A$2:$A$401,0)),"")</f>
        <v>UBS Parque das Nações</v>
      </c>
      <c r="C464" s="13" t="s">
        <v>65</v>
      </c>
      <c r="D464" s="0" t="str">
        <f aca="false">IFERROR(INDEX(Itens!$C$2:$C$100,MATCH(C464,Itens!$A$2:$A$100,0)),"")</f>
        <v>Infraestrutura civil</v>
      </c>
      <c r="E464" s="0" t="str">
        <f aca="false">IFERROR(INDEX(Visitas!$C$2:$C$401,MATCH(A464,Visitas!$A$2:$A$401,0)),"")</f>
        <v>2026</v>
      </c>
      <c r="F464" s="0" t="str">
        <f aca="false">IFERROR(INDEX(Itens!$B$2:$B$100,MATCH(C464,Itens!$A$2:$A$100,0)),"")</f>
        <v>I</v>
      </c>
      <c r="G464" s="13" t="n">
        <v>1</v>
      </c>
      <c r="H464" s="13" t="n">
        <v>0</v>
      </c>
    </row>
    <row r="465" customFormat="false" ht="15" hidden="false" customHeight="false" outlineLevel="0" collapsed="false">
      <c r="A465" s="13" t="n">
        <v>34</v>
      </c>
      <c r="B465" s="0" t="str">
        <f aca="false">IFERROR(INDEX(Visitas!$B$2:$B$401,MATCH(A465,Visitas!$A$2:$A$401,0)),"")</f>
        <v>UBS Parque das Nações</v>
      </c>
      <c r="C465" s="13" t="s">
        <v>70</v>
      </c>
      <c r="D465" s="0" t="str">
        <f aca="false">IFERROR(INDEX(Itens!$C$2:$C$100,MATCH(C465,Itens!$A$2:$A$100,0)),"")</f>
        <v>Infraestrutura elétrica</v>
      </c>
      <c r="E465" s="0" t="str">
        <f aca="false">IFERROR(INDEX(Visitas!$C$2:$C$401,MATCH(A465,Visitas!$A$2:$A$401,0)),"")</f>
        <v>2026</v>
      </c>
      <c r="F465" s="0" t="str">
        <f aca="false">IFERROR(INDEX(Itens!$B$2:$B$100,MATCH(C465,Itens!$A$2:$A$100,0)),"")</f>
        <v>I</v>
      </c>
      <c r="G465" s="13" t="n">
        <v>1</v>
      </c>
      <c r="H465" s="13" t="n">
        <v>0</v>
      </c>
    </row>
    <row r="466" customFormat="false" ht="15" hidden="false" customHeight="false" outlineLevel="0" collapsed="false">
      <c r="A466" s="13" t="n">
        <v>34</v>
      </c>
      <c r="B466" s="0" t="str">
        <f aca="false">IFERROR(INDEX(Visitas!$B$2:$B$401,MATCH(A466,Visitas!$A$2:$A$401,0)),"")</f>
        <v>UBS Parque das Nações</v>
      </c>
      <c r="C466" s="13" t="s">
        <v>73</v>
      </c>
      <c r="D466" s="0" t="str">
        <f aca="false">IFERROR(INDEX(Itens!$C$2:$C$100,MATCH(C466,Itens!$A$2:$A$100,0)),"")</f>
        <v>Infraestrutura hidráulica</v>
      </c>
      <c r="E466" s="0" t="str">
        <f aca="false">IFERROR(INDEX(Visitas!$C$2:$C$401,MATCH(A466,Visitas!$A$2:$A$401,0)),"")</f>
        <v>2026</v>
      </c>
      <c r="F466" s="0" t="str">
        <f aca="false">IFERROR(INDEX(Itens!$B$2:$B$100,MATCH(C466,Itens!$A$2:$A$100,0)),"")</f>
        <v>I</v>
      </c>
      <c r="G466" s="13" t="n">
        <v>1</v>
      </c>
      <c r="H466" s="13" t="n">
        <v>0</v>
      </c>
    </row>
    <row r="467" customFormat="false" ht="15" hidden="false" customHeight="false" outlineLevel="0" collapsed="false">
      <c r="A467" s="13" t="n">
        <v>34</v>
      </c>
      <c r="B467" s="0" t="str">
        <f aca="false">IFERROR(INDEX(Visitas!$B$2:$B$401,MATCH(A467,Visitas!$A$2:$A$401,0)),"")</f>
        <v>UBS Parque das Nações</v>
      </c>
      <c r="C467" s="13" t="s">
        <v>76</v>
      </c>
      <c r="D467" s="0" t="str">
        <f aca="false">IFERROR(INDEX(Itens!$C$2:$C$100,MATCH(C467,Itens!$A$2:$A$100,0)),"")</f>
        <v>Infraestrutura de comunicação</v>
      </c>
      <c r="E467" s="0" t="str">
        <f aca="false">IFERROR(INDEX(Visitas!$C$2:$C$401,MATCH(A467,Visitas!$A$2:$A$401,0)),"")</f>
        <v>2026</v>
      </c>
      <c r="F467" s="0" t="str">
        <f aca="false">IFERROR(INDEX(Itens!$B$2:$B$100,MATCH(C467,Itens!$A$2:$A$100,0)),"")</f>
        <v>I</v>
      </c>
      <c r="G467" s="13" t="n">
        <v>2</v>
      </c>
      <c r="H467" s="13" t="n">
        <v>0</v>
      </c>
    </row>
    <row r="468" customFormat="false" ht="15" hidden="false" customHeight="false" outlineLevel="0" collapsed="false">
      <c r="A468" s="13" t="n">
        <v>34</v>
      </c>
      <c r="B468" s="0" t="str">
        <f aca="false">IFERROR(INDEX(Visitas!$B$2:$B$401,MATCH(A468,Visitas!$A$2:$A$401,0)),"")</f>
        <v>UBS Parque das Nações</v>
      </c>
      <c r="C468" s="13" t="s">
        <v>79</v>
      </c>
      <c r="D468" s="0" t="str">
        <f aca="false">IFERROR(INDEX(Itens!$C$2:$C$100,MATCH(C468,Itens!$A$2:$A$100,0)),"")</f>
        <v>Equipamentos</v>
      </c>
      <c r="E468" s="0" t="str">
        <f aca="false">IFERROR(INDEX(Visitas!$C$2:$C$401,MATCH(A468,Visitas!$A$2:$A$401,0)),"")</f>
        <v>2026</v>
      </c>
      <c r="F468" s="0" t="str">
        <f aca="false">IFERROR(INDEX(Itens!$B$2:$B$100,MATCH(C468,Itens!$A$2:$A$100,0)),"")</f>
        <v>I</v>
      </c>
      <c r="G468" s="13" t="n">
        <v>1</v>
      </c>
      <c r="H468" s="13" t="n">
        <v>0</v>
      </c>
    </row>
    <row r="469" customFormat="false" ht="15" hidden="false" customHeight="false" outlineLevel="0" collapsed="false">
      <c r="A469" s="13" t="n">
        <v>34</v>
      </c>
      <c r="B469" s="0" t="str">
        <f aca="false">IFERROR(INDEX(Visitas!$B$2:$B$401,MATCH(A469,Visitas!$A$2:$A$401,0)),"")</f>
        <v>UBS Parque das Nações</v>
      </c>
      <c r="C469" s="13" t="s">
        <v>82</v>
      </c>
      <c r="D469" s="0" t="str">
        <f aca="false">IFERROR(INDEX(Itens!$C$2:$C$100,MATCH(C469,Itens!$A$2:$A$100,0)),"")</f>
        <v>Materiais, medicamentos e insumos</v>
      </c>
      <c r="E469" s="0" t="str">
        <f aca="false">IFERROR(INDEX(Visitas!$C$2:$C$401,MATCH(A469,Visitas!$A$2:$A$401,0)),"")</f>
        <v>2026</v>
      </c>
      <c r="F469" s="0" t="str">
        <f aca="false">IFERROR(INDEX(Itens!$B$2:$B$100,MATCH(C469,Itens!$A$2:$A$100,0)),"")</f>
        <v>I</v>
      </c>
      <c r="G469" s="13" t="n">
        <v>2</v>
      </c>
      <c r="H469" s="13" t="n">
        <v>0</v>
      </c>
    </row>
    <row r="470" customFormat="false" ht="15" hidden="false" customHeight="false" outlineLevel="0" collapsed="false">
      <c r="A470" s="13" t="n">
        <v>34</v>
      </c>
      <c r="B470" s="0" t="str">
        <f aca="false">IFERROR(INDEX(Visitas!$B$2:$B$401,MATCH(A470,Visitas!$A$2:$A$401,0)),"")</f>
        <v>UBS Parque das Nações</v>
      </c>
      <c r="C470" s="13" t="s">
        <v>85</v>
      </c>
      <c r="D470" s="0" t="str">
        <f aca="false">IFERROR(INDEX(Itens!$C$2:$C$100,MATCH(C470,Itens!$A$2:$A$100,0)),"")</f>
        <v>Conforto, limpeza e organização</v>
      </c>
      <c r="E470" s="0" t="str">
        <f aca="false">IFERROR(INDEX(Visitas!$C$2:$C$401,MATCH(A470,Visitas!$A$2:$A$401,0)),"")</f>
        <v>2026</v>
      </c>
      <c r="F470" s="0" t="str">
        <f aca="false">IFERROR(INDEX(Itens!$B$2:$B$100,MATCH(C470,Itens!$A$2:$A$100,0)),"")</f>
        <v>I</v>
      </c>
      <c r="G470" s="13" t="n">
        <v>2</v>
      </c>
      <c r="H470" s="13" t="n">
        <v>0</v>
      </c>
    </row>
    <row r="471" customFormat="false" ht="15" hidden="false" customHeight="false" outlineLevel="0" collapsed="false">
      <c r="A471" s="13" t="n">
        <v>34</v>
      </c>
      <c r="B471" s="0" t="str">
        <f aca="false">IFERROR(INDEX(Visitas!$B$2:$B$401,MATCH(A471,Visitas!$A$2:$A$401,0)),"")</f>
        <v>UBS Parque das Nações</v>
      </c>
      <c r="C471" s="13" t="s">
        <v>88</v>
      </c>
      <c r="D471" s="0" t="str">
        <f aca="false">IFERROR(INDEX(Itens!$C$2:$C$100,MATCH(C471,Itens!$A$2:$A$100,0)),"")</f>
        <v>Utilização de indicadores de gestão</v>
      </c>
      <c r="E471" s="0" t="str">
        <f aca="false">IFERROR(INDEX(Visitas!$C$2:$C$401,MATCH(A471,Visitas!$A$2:$A$401,0)),"")</f>
        <v>2026</v>
      </c>
      <c r="F471" s="0" t="str">
        <f aca="false">IFERROR(INDEX(Itens!$B$2:$B$100,MATCH(C471,Itens!$A$2:$A$100,0)),"")</f>
        <v>II</v>
      </c>
      <c r="G471" s="13" t="n">
        <v>2</v>
      </c>
      <c r="H471" s="13" t="n">
        <v>0</v>
      </c>
    </row>
    <row r="472" customFormat="false" ht="15" hidden="false" customHeight="false" outlineLevel="0" collapsed="false">
      <c r="A472" s="13" t="n">
        <v>34</v>
      </c>
      <c r="B472" s="0" t="str">
        <f aca="false">IFERROR(INDEX(Visitas!$B$2:$B$401,MATCH(A472,Visitas!$A$2:$A$401,0)),"")</f>
        <v>UBS Parque das Nações</v>
      </c>
      <c r="C472" s="13" t="s">
        <v>92</v>
      </c>
      <c r="D472" s="0" t="str">
        <f aca="false">IFERROR(INDEX(Itens!$C$2:$C$100,MATCH(C472,Itens!$A$2:$A$100,0)),"")</f>
        <v>Dimensionamento de equipe</v>
      </c>
      <c r="E472" s="0" t="str">
        <f aca="false">IFERROR(INDEX(Visitas!$C$2:$C$401,MATCH(A472,Visitas!$A$2:$A$401,0)),"")</f>
        <v>2026</v>
      </c>
      <c r="F472" s="0" t="str">
        <f aca="false">IFERROR(INDEX(Itens!$B$2:$B$100,MATCH(C472,Itens!$A$2:$A$100,0)),"")</f>
        <v>II</v>
      </c>
      <c r="G472" s="13" t="n">
        <v>2</v>
      </c>
      <c r="H472" s="13" t="n">
        <v>0</v>
      </c>
    </row>
    <row r="473" customFormat="false" ht="15" hidden="false" customHeight="false" outlineLevel="0" collapsed="false">
      <c r="A473" s="13" t="n">
        <v>34</v>
      </c>
      <c r="B473" s="0" t="str">
        <f aca="false">IFERROR(INDEX(Visitas!$B$2:$B$401,MATCH(A473,Visitas!$A$2:$A$401,0)),"")</f>
        <v>UBS Parque das Nações</v>
      </c>
      <c r="C473" s="13" t="s">
        <v>96</v>
      </c>
      <c r="D473" s="0" t="str">
        <f aca="false">IFERROR(INDEX(Itens!$C$2:$C$100,MATCH(C473,Itens!$A$2:$A$100,0)),"")</f>
        <v>Execução do cronograma de capacitação da equipe de trabalho</v>
      </c>
      <c r="E473" s="0" t="str">
        <f aca="false">IFERROR(INDEX(Visitas!$C$2:$C$401,MATCH(A473,Visitas!$A$2:$A$401,0)),"")</f>
        <v>2026</v>
      </c>
      <c r="F473" s="0" t="str">
        <f aca="false">IFERROR(INDEX(Itens!$B$2:$B$100,MATCH(C473,Itens!$A$2:$A$100,0)),"")</f>
        <v>II</v>
      </c>
      <c r="G473" s="13" t="n">
        <v>1</v>
      </c>
      <c r="H473" s="13" t="n">
        <v>0</v>
      </c>
    </row>
    <row r="474" customFormat="false" ht="15" hidden="false" customHeight="false" outlineLevel="0" collapsed="false">
      <c r="A474" s="13" t="n">
        <v>34</v>
      </c>
      <c r="B474" s="0" t="str">
        <f aca="false">IFERROR(INDEX(Visitas!$B$2:$B$401,MATCH(A474,Visitas!$A$2:$A$401,0)),"")</f>
        <v>UBS Parque das Nações</v>
      </c>
      <c r="C474" s="13" t="s">
        <v>100</v>
      </c>
      <c r="D474" s="0" t="str">
        <f aca="false">IFERROR(INDEX(Itens!$C$2:$C$100,MATCH(C474,Itens!$A$2:$A$100,0)),"")</f>
        <v>Disponibilidade de agendamento de consultas, exames e procedimentos</v>
      </c>
      <c r="E474" s="0" t="str">
        <f aca="false">IFERROR(INDEX(Visitas!$C$2:$C$401,MATCH(A474,Visitas!$A$2:$A$401,0)),"")</f>
        <v>2026</v>
      </c>
      <c r="F474" s="0" t="str">
        <f aca="false">IFERROR(INDEX(Itens!$B$2:$B$100,MATCH(C474,Itens!$A$2:$A$100,0)),"")</f>
        <v>II</v>
      </c>
      <c r="G474" s="13" t="n">
        <v>1</v>
      </c>
      <c r="H474" s="13" t="n">
        <v>0</v>
      </c>
    </row>
    <row r="475" customFormat="false" ht="15" hidden="false" customHeight="false" outlineLevel="0" collapsed="false">
      <c r="A475" s="13" t="n">
        <v>34</v>
      </c>
      <c r="B475" s="0" t="str">
        <f aca="false">IFERROR(INDEX(Visitas!$B$2:$B$401,MATCH(A475,Visitas!$A$2:$A$401,0)),"")</f>
        <v>UBS Parque das Nações</v>
      </c>
      <c r="C475" s="13" t="s">
        <v>104</v>
      </c>
      <c r="D475" s="0" t="str">
        <f aca="false">IFERROR(INDEX(Itens!$C$2:$C$100,MATCH(C475,Itens!$A$2:$A$100,0)),"")</f>
        <v>Atendimento aos indicadores do PMS</v>
      </c>
      <c r="E475" s="0" t="str">
        <f aca="false">IFERROR(INDEX(Visitas!$C$2:$C$401,MATCH(A475,Visitas!$A$2:$A$401,0)),"")</f>
        <v>2026</v>
      </c>
      <c r="F475" s="0" t="str">
        <f aca="false">IFERROR(INDEX(Itens!$B$2:$B$100,MATCH(C475,Itens!$A$2:$A$100,0)),"")</f>
        <v>III</v>
      </c>
      <c r="G475" s="13" t="n">
        <v>2</v>
      </c>
      <c r="H475" s="13" t="n">
        <v>0</v>
      </c>
    </row>
    <row r="476" customFormat="false" ht="15" hidden="false" customHeight="false" outlineLevel="0" collapsed="false">
      <c r="A476" s="13" t="n">
        <v>34</v>
      </c>
      <c r="B476" s="0" t="str">
        <f aca="false">IFERROR(INDEX(Visitas!$B$2:$B$401,MATCH(A476,Visitas!$A$2:$A$401,0)),"")</f>
        <v>UBS Parque das Nações</v>
      </c>
      <c r="C476" s="13" t="s">
        <v>109</v>
      </c>
      <c r="D476" s="0" t="str">
        <f aca="false">IFERROR(INDEX(Itens!$C$2:$C$100,MATCH(C476,Itens!$A$2:$A$100,0)),"")</f>
        <v>Registro de reclamações na Ouvidoria do COMSAUDE</v>
      </c>
      <c r="E476" s="0" t="str">
        <f aca="false">IFERROR(INDEX(Visitas!$C$2:$C$401,MATCH(A476,Visitas!$A$2:$A$401,0)),"")</f>
        <v>2026</v>
      </c>
      <c r="F476" s="0" t="str">
        <f aca="false">IFERROR(INDEX(Itens!$B$2:$B$100,MATCH(C476,Itens!$A$2:$A$100,0)),"")</f>
        <v>IV</v>
      </c>
      <c r="G476" s="13" t="n">
        <v>1</v>
      </c>
      <c r="H476" s="13" t="n">
        <v>0</v>
      </c>
    </row>
    <row r="477" customFormat="false" ht="15" hidden="false" customHeight="false" outlineLevel="0" collapsed="false">
      <c r="A477" s="13" t="n">
        <v>34</v>
      </c>
      <c r="B477" s="0" t="str">
        <f aca="false">IFERROR(INDEX(Visitas!$B$2:$B$401,MATCH(A477,Visitas!$A$2:$A$401,0)),"")</f>
        <v>UBS Parque das Nações</v>
      </c>
      <c r="C477" s="13" t="s">
        <v>113</v>
      </c>
      <c r="D477" s="0" t="str">
        <f aca="false">IFERROR(INDEX(Itens!$C$2:$C$100,MATCH(C477,Itens!$A$2:$A$100,0)),"")</f>
        <v>Satisfação dos usuários</v>
      </c>
      <c r="E477" s="0" t="str">
        <f aca="false">IFERROR(INDEX(Visitas!$C$2:$C$401,MATCH(A477,Visitas!$A$2:$A$401,0)),"")</f>
        <v>2026</v>
      </c>
      <c r="F477" s="0" t="str">
        <f aca="false">IFERROR(INDEX(Itens!$B$2:$B$100,MATCH(C477,Itens!$A$2:$A$100,0)),"")</f>
        <v>IV</v>
      </c>
      <c r="G477" s="13" t="n">
        <v>1</v>
      </c>
      <c r="H477" s="13" t="n">
        <v>0</v>
      </c>
    </row>
    <row r="478" customFormat="false" ht="15" hidden="false" customHeight="false" outlineLevel="0" collapsed="false">
      <c r="A478" s="13" t="n">
        <v>35</v>
      </c>
      <c r="B478" s="0" t="str">
        <f aca="false">IFERROR(INDEX(Visitas!$B$2:$B$401,MATCH(A478,Visitas!$A$2:$A$401,0)),"")</f>
        <v>ESF Liberdade</v>
      </c>
      <c r="C478" s="13" t="s">
        <v>65</v>
      </c>
      <c r="D478" s="0" t="str">
        <f aca="false">IFERROR(INDEX(Itens!$C$2:$C$100,MATCH(C478,Itens!$A$2:$A$100,0)),"")</f>
        <v>Infraestrutura civil</v>
      </c>
      <c r="E478" s="0" t="str">
        <f aca="false">IFERROR(INDEX(Visitas!$C$2:$C$401,MATCH(A478,Visitas!$A$2:$A$401,0)),"")</f>
        <v>2026</v>
      </c>
      <c r="F478" s="0" t="str">
        <f aca="false">IFERROR(INDEX(Itens!$B$2:$B$100,MATCH(C478,Itens!$A$2:$A$100,0)),"")</f>
        <v>I</v>
      </c>
      <c r="G478" s="13" t="n">
        <v>1</v>
      </c>
      <c r="H478" s="13" t="n">
        <v>0</v>
      </c>
    </row>
    <row r="479" customFormat="false" ht="15" hidden="false" customHeight="false" outlineLevel="0" collapsed="false">
      <c r="A479" s="13" t="n">
        <v>35</v>
      </c>
      <c r="B479" s="0" t="str">
        <f aca="false">IFERROR(INDEX(Visitas!$B$2:$B$401,MATCH(A479,Visitas!$A$2:$A$401,0)),"")</f>
        <v>ESF Liberdade</v>
      </c>
      <c r="C479" s="13" t="s">
        <v>70</v>
      </c>
      <c r="D479" s="0" t="str">
        <f aca="false">IFERROR(INDEX(Itens!$C$2:$C$100,MATCH(C479,Itens!$A$2:$A$100,0)),"")</f>
        <v>Infraestrutura elétrica</v>
      </c>
      <c r="E479" s="0" t="str">
        <f aca="false">IFERROR(INDEX(Visitas!$C$2:$C$401,MATCH(A479,Visitas!$A$2:$A$401,0)),"")</f>
        <v>2026</v>
      </c>
      <c r="F479" s="0" t="str">
        <f aca="false">IFERROR(INDEX(Itens!$B$2:$B$100,MATCH(C479,Itens!$A$2:$A$100,0)),"")</f>
        <v>I</v>
      </c>
      <c r="G479" s="13" t="n">
        <v>1</v>
      </c>
      <c r="H479" s="13" t="n">
        <v>0</v>
      </c>
    </row>
    <row r="480" customFormat="false" ht="15" hidden="false" customHeight="false" outlineLevel="0" collapsed="false">
      <c r="A480" s="13" t="n">
        <v>35</v>
      </c>
      <c r="B480" s="0" t="str">
        <f aca="false">IFERROR(INDEX(Visitas!$B$2:$B$401,MATCH(A480,Visitas!$A$2:$A$401,0)),"")</f>
        <v>ESF Liberdade</v>
      </c>
      <c r="C480" s="13" t="s">
        <v>73</v>
      </c>
      <c r="D480" s="0" t="str">
        <f aca="false">IFERROR(INDEX(Itens!$C$2:$C$100,MATCH(C480,Itens!$A$2:$A$100,0)),"")</f>
        <v>Infraestrutura hidráulica</v>
      </c>
      <c r="E480" s="0" t="str">
        <f aca="false">IFERROR(INDEX(Visitas!$C$2:$C$401,MATCH(A480,Visitas!$A$2:$A$401,0)),"")</f>
        <v>2026</v>
      </c>
      <c r="F480" s="0" t="str">
        <f aca="false">IFERROR(INDEX(Itens!$B$2:$B$100,MATCH(C480,Itens!$A$2:$A$100,0)),"")</f>
        <v>I</v>
      </c>
      <c r="G480" s="13" t="n">
        <v>1</v>
      </c>
      <c r="H480" s="13" t="n">
        <v>0</v>
      </c>
    </row>
    <row r="481" customFormat="false" ht="15" hidden="false" customHeight="false" outlineLevel="0" collapsed="false">
      <c r="A481" s="13" t="n">
        <v>35</v>
      </c>
      <c r="B481" s="0" t="str">
        <f aca="false">IFERROR(INDEX(Visitas!$B$2:$B$401,MATCH(A481,Visitas!$A$2:$A$401,0)),"")</f>
        <v>ESF Liberdade</v>
      </c>
      <c r="C481" s="13" t="s">
        <v>76</v>
      </c>
      <c r="D481" s="0" t="str">
        <f aca="false">IFERROR(INDEX(Itens!$C$2:$C$100,MATCH(C481,Itens!$A$2:$A$100,0)),"")</f>
        <v>Infraestrutura de comunicação</v>
      </c>
      <c r="E481" s="0" t="str">
        <f aca="false">IFERROR(INDEX(Visitas!$C$2:$C$401,MATCH(A481,Visitas!$A$2:$A$401,0)),"")</f>
        <v>2026</v>
      </c>
      <c r="F481" s="0" t="str">
        <f aca="false">IFERROR(INDEX(Itens!$B$2:$B$100,MATCH(C481,Itens!$A$2:$A$100,0)),"")</f>
        <v>I</v>
      </c>
      <c r="G481" s="13" t="n">
        <v>2</v>
      </c>
      <c r="H481" s="13" t="n">
        <v>0</v>
      </c>
    </row>
    <row r="482" customFormat="false" ht="15" hidden="false" customHeight="false" outlineLevel="0" collapsed="false">
      <c r="A482" s="13" t="n">
        <v>35</v>
      </c>
      <c r="B482" s="0" t="str">
        <f aca="false">IFERROR(INDEX(Visitas!$B$2:$B$401,MATCH(A482,Visitas!$A$2:$A$401,0)),"")</f>
        <v>ESF Liberdade</v>
      </c>
      <c r="C482" s="13" t="s">
        <v>79</v>
      </c>
      <c r="D482" s="0" t="str">
        <f aca="false">IFERROR(INDEX(Itens!$C$2:$C$100,MATCH(C482,Itens!$A$2:$A$100,0)),"")</f>
        <v>Equipamentos</v>
      </c>
      <c r="E482" s="0" t="str">
        <f aca="false">IFERROR(INDEX(Visitas!$C$2:$C$401,MATCH(A482,Visitas!$A$2:$A$401,0)),"")</f>
        <v>2026</v>
      </c>
      <c r="F482" s="0" t="str">
        <f aca="false">IFERROR(INDEX(Itens!$B$2:$B$100,MATCH(C482,Itens!$A$2:$A$100,0)),"")</f>
        <v>I</v>
      </c>
      <c r="G482" s="13" t="n">
        <v>1</v>
      </c>
      <c r="H482" s="13" t="n">
        <v>0</v>
      </c>
    </row>
    <row r="483" customFormat="false" ht="15" hidden="false" customHeight="false" outlineLevel="0" collapsed="false">
      <c r="A483" s="13" t="n">
        <v>35</v>
      </c>
      <c r="B483" s="0" t="str">
        <f aca="false">IFERROR(INDEX(Visitas!$B$2:$B$401,MATCH(A483,Visitas!$A$2:$A$401,0)),"")</f>
        <v>ESF Liberdade</v>
      </c>
      <c r="C483" s="13" t="s">
        <v>82</v>
      </c>
      <c r="D483" s="0" t="str">
        <f aca="false">IFERROR(INDEX(Itens!$C$2:$C$100,MATCH(C483,Itens!$A$2:$A$100,0)),"")</f>
        <v>Materiais, medicamentos e insumos</v>
      </c>
      <c r="E483" s="0" t="str">
        <f aca="false">IFERROR(INDEX(Visitas!$C$2:$C$401,MATCH(A483,Visitas!$A$2:$A$401,0)),"")</f>
        <v>2026</v>
      </c>
      <c r="F483" s="0" t="str">
        <f aca="false">IFERROR(INDEX(Itens!$B$2:$B$100,MATCH(C483,Itens!$A$2:$A$100,0)),"")</f>
        <v>I</v>
      </c>
      <c r="G483" s="13" t="n">
        <v>2</v>
      </c>
      <c r="H483" s="13" t="n">
        <v>0</v>
      </c>
    </row>
    <row r="484" customFormat="false" ht="15" hidden="false" customHeight="false" outlineLevel="0" collapsed="false">
      <c r="A484" s="13" t="n">
        <v>35</v>
      </c>
      <c r="B484" s="0" t="str">
        <f aca="false">IFERROR(INDEX(Visitas!$B$2:$B$401,MATCH(A484,Visitas!$A$2:$A$401,0)),"")</f>
        <v>ESF Liberdade</v>
      </c>
      <c r="C484" s="13" t="s">
        <v>85</v>
      </c>
      <c r="D484" s="0" t="str">
        <f aca="false">IFERROR(INDEX(Itens!$C$2:$C$100,MATCH(C484,Itens!$A$2:$A$100,0)),"")</f>
        <v>Conforto, limpeza e organização</v>
      </c>
      <c r="E484" s="0" t="str">
        <f aca="false">IFERROR(INDEX(Visitas!$C$2:$C$401,MATCH(A484,Visitas!$A$2:$A$401,0)),"")</f>
        <v>2026</v>
      </c>
      <c r="F484" s="0" t="str">
        <f aca="false">IFERROR(INDEX(Itens!$B$2:$B$100,MATCH(C484,Itens!$A$2:$A$100,0)),"")</f>
        <v>I</v>
      </c>
      <c r="G484" s="13" t="n">
        <v>2</v>
      </c>
      <c r="H484" s="13" t="n">
        <v>0</v>
      </c>
    </row>
    <row r="485" customFormat="false" ht="15" hidden="false" customHeight="false" outlineLevel="0" collapsed="false">
      <c r="A485" s="13" t="n">
        <v>35</v>
      </c>
      <c r="B485" s="0" t="str">
        <f aca="false">IFERROR(INDEX(Visitas!$B$2:$B$401,MATCH(A485,Visitas!$A$2:$A$401,0)),"")</f>
        <v>ESF Liberdade</v>
      </c>
      <c r="C485" s="13" t="s">
        <v>88</v>
      </c>
      <c r="D485" s="0" t="str">
        <f aca="false">IFERROR(INDEX(Itens!$C$2:$C$100,MATCH(C485,Itens!$A$2:$A$100,0)),"")</f>
        <v>Utilização de indicadores de gestão</v>
      </c>
      <c r="E485" s="0" t="str">
        <f aca="false">IFERROR(INDEX(Visitas!$C$2:$C$401,MATCH(A485,Visitas!$A$2:$A$401,0)),"")</f>
        <v>2026</v>
      </c>
      <c r="F485" s="0" t="str">
        <f aca="false">IFERROR(INDEX(Itens!$B$2:$B$100,MATCH(C485,Itens!$A$2:$A$100,0)),"")</f>
        <v>II</v>
      </c>
      <c r="G485" s="13" t="n">
        <v>2</v>
      </c>
      <c r="H485" s="13" t="n">
        <v>0</v>
      </c>
    </row>
    <row r="486" customFormat="false" ht="15" hidden="false" customHeight="false" outlineLevel="0" collapsed="false">
      <c r="A486" s="13" t="n">
        <v>35</v>
      </c>
      <c r="B486" s="0" t="str">
        <f aca="false">IFERROR(INDEX(Visitas!$B$2:$B$401,MATCH(A486,Visitas!$A$2:$A$401,0)),"")</f>
        <v>ESF Liberdade</v>
      </c>
      <c r="C486" s="13" t="s">
        <v>92</v>
      </c>
      <c r="D486" s="0" t="str">
        <f aca="false">IFERROR(INDEX(Itens!$C$2:$C$100,MATCH(C486,Itens!$A$2:$A$100,0)),"")</f>
        <v>Dimensionamento de equipe</v>
      </c>
      <c r="E486" s="0" t="str">
        <f aca="false">IFERROR(INDEX(Visitas!$C$2:$C$401,MATCH(A486,Visitas!$A$2:$A$401,0)),"")</f>
        <v>2026</v>
      </c>
      <c r="F486" s="0" t="str">
        <f aca="false">IFERROR(INDEX(Itens!$B$2:$B$100,MATCH(C486,Itens!$A$2:$A$100,0)),"")</f>
        <v>II</v>
      </c>
      <c r="G486" s="13" t="n">
        <v>2</v>
      </c>
      <c r="H486" s="13" t="n">
        <v>0</v>
      </c>
    </row>
    <row r="487" customFormat="false" ht="15" hidden="false" customHeight="false" outlineLevel="0" collapsed="false">
      <c r="A487" s="13" t="n">
        <v>35</v>
      </c>
      <c r="B487" s="0" t="str">
        <f aca="false">IFERROR(INDEX(Visitas!$B$2:$B$401,MATCH(A487,Visitas!$A$2:$A$401,0)),"")</f>
        <v>ESF Liberdade</v>
      </c>
      <c r="C487" s="13" t="s">
        <v>96</v>
      </c>
      <c r="D487" s="0" t="str">
        <f aca="false">IFERROR(INDEX(Itens!$C$2:$C$100,MATCH(C487,Itens!$A$2:$A$100,0)),"")</f>
        <v>Execução do cronograma de capacitação da equipe de trabalho</v>
      </c>
      <c r="E487" s="0" t="str">
        <f aca="false">IFERROR(INDEX(Visitas!$C$2:$C$401,MATCH(A487,Visitas!$A$2:$A$401,0)),"")</f>
        <v>2026</v>
      </c>
      <c r="F487" s="0" t="str">
        <f aca="false">IFERROR(INDEX(Itens!$B$2:$B$100,MATCH(C487,Itens!$A$2:$A$100,0)),"")</f>
        <v>II</v>
      </c>
      <c r="G487" s="13" t="n">
        <v>2</v>
      </c>
      <c r="H487" s="13" t="n">
        <v>0</v>
      </c>
    </row>
    <row r="488" customFormat="false" ht="15" hidden="false" customHeight="false" outlineLevel="0" collapsed="false">
      <c r="A488" s="13" t="n">
        <v>35</v>
      </c>
      <c r="B488" s="0" t="str">
        <f aca="false">IFERROR(INDEX(Visitas!$B$2:$B$401,MATCH(A488,Visitas!$A$2:$A$401,0)),"")</f>
        <v>ESF Liberdade</v>
      </c>
      <c r="C488" s="13" t="s">
        <v>100</v>
      </c>
      <c r="D488" s="0" t="str">
        <f aca="false">IFERROR(INDEX(Itens!$C$2:$C$100,MATCH(C488,Itens!$A$2:$A$100,0)),"")</f>
        <v>Disponibilidade de agendamento de consultas, exames e procedimentos</v>
      </c>
      <c r="E488" s="0" t="str">
        <f aca="false">IFERROR(INDEX(Visitas!$C$2:$C$401,MATCH(A488,Visitas!$A$2:$A$401,0)),"")</f>
        <v>2026</v>
      </c>
      <c r="F488" s="0" t="str">
        <f aca="false">IFERROR(INDEX(Itens!$B$2:$B$100,MATCH(C488,Itens!$A$2:$A$100,0)),"")</f>
        <v>II</v>
      </c>
      <c r="G488" s="13" t="n">
        <v>1</v>
      </c>
      <c r="H488" s="13" t="n">
        <v>0</v>
      </c>
    </row>
    <row r="489" customFormat="false" ht="15" hidden="false" customHeight="false" outlineLevel="0" collapsed="false">
      <c r="A489" s="13" t="n">
        <v>35</v>
      </c>
      <c r="B489" s="0" t="str">
        <f aca="false">IFERROR(INDEX(Visitas!$B$2:$B$401,MATCH(A489,Visitas!$A$2:$A$401,0)),"")</f>
        <v>ESF Liberdade</v>
      </c>
      <c r="C489" s="13" t="s">
        <v>104</v>
      </c>
      <c r="D489" s="0" t="str">
        <f aca="false">IFERROR(INDEX(Itens!$C$2:$C$100,MATCH(C489,Itens!$A$2:$A$100,0)),"")</f>
        <v>Atendimento aos indicadores do PMS</v>
      </c>
      <c r="E489" s="0" t="str">
        <f aca="false">IFERROR(INDEX(Visitas!$C$2:$C$401,MATCH(A489,Visitas!$A$2:$A$401,0)),"")</f>
        <v>2026</v>
      </c>
      <c r="F489" s="0" t="str">
        <f aca="false">IFERROR(INDEX(Itens!$B$2:$B$100,MATCH(C489,Itens!$A$2:$A$100,0)),"")</f>
        <v>III</v>
      </c>
      <c r="G489" s="13" t="n">
        <v>1</v>
      </c>
      <c r="H489" s="13" t="n">
        <v>0</v>
      </c>
    </row>
    <row r="490" customFormat="false" ht="15" hidden="false" customHeight="false" outlineLevel="0" collapsed="false">
      <c r="A490" s="13" t="n">
        <v>35</v>
      </c>
      <c r="B490" s="0" t="str">
        <f aca="false">IFERROR(INDEX(Visitas!$B$2:$B$401,MATCH(A490,Visitas!$A$2:$A$401,0)),"")</f>
        <v>ESF Liberdade</v>
      </c>
      <c r="C490" s="13" t="s">
        <v>109</v>
      </c>
      <c r="D490" s="0" t="str">
        <f aca="false">IFERROR(INDEX(Itens!$C$2:$C$100,MATCH(C490,Itens!$A$2:$A$100,0)),"")</f>
        <v>Registro de reclamações na Ouvidoria do COMSAUDE</v>
      </c>
      <c r="E490" s="0" t="str">
        <f aca="false">IFERROR(INDEX(Visitas!$C$2:$C$401,MATCH(A490,Visitas!$A$2:$A$401,0)),"")</f>
        <v>2026</v>
      </c>
      <c r="F490" s="0" t="str">
        <f aca="false">IFERROR(INDEX(Itens!$B$2:$B$100,MATCH(C490,Itens!$A$2:$A$100,0)),"")</f>
        <v>IV</v>
      </c>
      <c r="G490" s="13" t="n">
        <v>1</v>
      </c>
      <c r="H490" s="13" t="n">
        <v>0</v>
      </c>
    </row>
    <row r="491" customFormat="false" ht="15" hidden="false" customHeight="false" outlineLevel="0" collapsed="false">
      <c r="A491" s="13" t="n">
        <v>35</v>
      </c>
      <c r="B491" s="0" t="str">
        <f aca="false">IFERROR(INDEX(Visitas!$B$2:$B$401,MATCH(A491,Visitas!$A$2:$A$401,0)),"")</f>
        <v>ESF Liberdade</v>
      </c>
      <c r="C491" s="13" t="s">
        <v>113</v>
      </c>
      <c r="D491" s="0" t="str">
        <f aca="false">IFERROR(INDEX(Itens!$C$2:$C$100,MATCH(C491,Itens!$A$2:$A$100,0)),"")</f>
        <v>Satisfação dos usuários</v>
      </c>
      <c r="E491" s="0" t="str">
        <f aca="false">IFERROR(INDEX(Visitas!$C$2:$C$401,MATCH(A491,Visitas!$A$2:$A$401,0)),"")</f>
        <v>2026</v>
      </c>
      <c r="F491" s="0" t="str">
        <f aca="false">IFERROR(INDEX(Itens!$B$2:$B$100,MATCH(C491,Itens!$A$2:$A$100,0)),"")</f>
        <v>IV</v>
      </c>
      <c r="G491" s="13" t="n">
        <v>1</v>
      </c>
      <c r="H491" s="13" t="n">
        <v>0</v>
      </c>
    </row>
    <row r="492" customFormat="false" ht="15" hidden="false" customHeight="false" outlineLevel="0" collapsed="false">
      <c r="A492" s="13" t="n">
        <v>36</v>
      </c>
      <c r="B492" s="0" t="str">
        <f aca="false">IFERROR(INDEX(Visitas!$B$2:$B$401,MATCH(A492,Visitas!$A$2:$A$401,0)),"")</f>
        <v>ESF Jaguari</v>
      </c>
      <c r="C492" s="13" t="s">
        <v>65</v>
      </c>
      <c r="D492" s="0" t="str">
        <f aca="false">IFERROR(INDEX(Itens!$C$2:$C$100,MATCH(C492,Itens!$A$2:$A$100,0)),"")</f>
        <v>Infraestrutura civil</v>
      </c>
      <c r="E492" s="0" t="str">
        <f aca="false">IFERROR(INDEX(Visitas!$C$2:$C$401,MATCH(A492,Visitas!$A$2:$A$401,0)),"")</f>
        <v>2026</v>
      </c>
      <c r="F492" s="0" t="str">
        <f aca="false">IFERROR(INDEX(Itens!$B$2:$B$100,MATCH(C492,Itens!$A$2:$A$100,0)),"")</f>
        <v>I</v>
      </c>
      <c r="G492" s="13" t="n">
        <v>1</v>
      </c>
      <c r="H492" s="13" t="n">
        <v>0</v>
      </c>
    </row>
    <row r="493" customFormat="false" ht="15" hidden="false" customHeight="false" outlineLevel="0" collapsed="false">
      <c r="A493" s="13" t="n">
        <v>36</v>
      </c>
      <c r="B493" s="0" t="str">
        <f aca="false">IFERROR(INDEX(Visitas!$B$2:$B$401,MATCH(A493,Visitas!$A$2:$A$401,0)),"")</f>
        <v>ESF Jaguari</v>
      </c>
      <c r="C493" s="13" t="s">
        <v>70</v>
      </c>
      <c r="D493" s="0" t="str">
        <f aca="false">IFERROR(INDEX(Itens!$C$2:$C$100,MATCH(C493,Itens!$A$2:$A$100,0)),"")</f>
        <v>Infraestrutura elétrica</v>
      </c>
      <c r="E493" s="0" t="str">
        <f aca="false">IFERROR(INDEX(Visitas!$C$2:$C$401,MATCH(A493,Visitas!$A$2:$A$401,0)),"")</f>
        <v>2026</v>
      </c>
      <c r="F493" s="0" t="str">
        <f aca="false">IFERROR(INDEX(Itens!$B$2:$B$100,MATCH(C493,Itens!$A$2:$A$100,0)),"")</f>
        <v>I</v>
      </c>
      <c r="G493" s="13" t="n">
        <v>2</v>
      </c>
      <c r="H493" s="13" t="n">
        <v>0</v>
      </c>
    </row>
    <row r="494" customFormat="false" ht="15" hidden="false" customHeight="false" outlineLevel="0" collapsed="false">
      <c r="A494" s="13" t="n">
        <v>36</v>
      </c>
      <c r="B494" s="0" t="str">
        <f aca="false">IFERROR(INDEX(Visitas!$B$2:$B$401,MATCH(A494,Visitas!$A$2:$A$401,0)),"")</f>
        <v>ESF Jaguari</v>
      </c>
      <c r="C494" s="13" t="s">
        <v>73</v>
      </c>
      <c r="D494" s="0" t="str">
        <f aca="false">IFERROR(INDEX(Itens!$C$2:$C$100,MATCH(C494,Itens!$A$2:$A$100,0)),"")</f>
        <v>Infraestrutura hidráulica</v>
      </c>
      <c r="E494" s="0" t="str">
        <f aca="false">IFERROR(INDEX(Visitas!$C$2:$C$401,MATCH(A494,Visitas!$A$2:$A$401,0)),"")</f>
        <v>2026</v>
      </c>
      <c r="F494" s="0" t="str">
        <f aca="false">IFERROR(INDEX(Itens!$B$2:$B$100,MATCH(C494,Itens!$A$2:$A$100,0)),"")</f>
        <v>I</v>
      </c>
      <c r="G494" s="13" t="n">
        <v>2</v>
      </c>
      <c r="H494" s="13" t="n">
        <v>0</v>
      </c>
    </row>
    <row r="495" customFormat="false" ht="15" hidden="false" customHeight="false" outlineLevel="0" collapsed="false">
      <c r="A495" s="13" t="n">
        <v>36</v>
      </c>
      <c r="B495" s="0" t="str">
        <f aca="false">IFERROR(INDEX(Visitas!$B$2:$B$401,MATCH(A495,Visitas!$A$2:$A$401,0)),"")</f>
        <v>ESF Jaguari</v>
      </c>
      <c r="C495" s="13" t="s">
        <v>76</v>
      </c>
      <c r="D495" s="0" t="str">
        <f aca="false">IFERROR(INDEX(Itens!$C$2:$C$100,MATCH(C495,Itens!$A$2:$A$100,0)),"")</f>
        <v>Infraestrutura de comunicação</v>
      </c>
      <c r="E495" s="0" t="str">
        <f aca="false">IFERROR(INDEX(Visitas!$C$2:$C$401,MATCH(A495,Visitas!$A$2:$A$401,0)),"")</f>
        <v>2026</v>
      </c>
      <c r="F495" s="0" t="str">
        <f aca="false">IFERROR(INDEX(Itens!$B$2:$B$100,MATCH(C495,Itens!$A$2:$A$100,0)),"")</f>
        <v>I</v>
      </c>
      <c r="G495" s="13" t="n">
        <v>2</v>
      </c>
      <c r="H495" s="13" t="n">
        <v>0</v>
      </c>
    </row>
    <row r="496" customFormat="false" ht="15" hidden="false" customHeight="false" outlineLevel="0" collapsed="false">
      <c r="A496" s="13" t="n">
        <v>36</v>
      </c>
      <c r="B496" s="0" t="str">
        <f aca="false">IFERROR(INDEX(Visitas!$B$2:$B$401,MATCH(A496,Visitas!$A$2:$A$401,0)),"")</f>
        <v>ESF Jaguari</v>
      </c>
      <c r="C496" s="13" t="s">
        <v>79</v>
      </c>
      <c r="D496" s="0" t="str">
        <f aca="false">IFERROR(INDEX(Itens!$C$2:$C$100,MATCH(C496,Itens!$A$2:$A$100,0)),"")</f>
        <v>Equipamentos</v>
      </c>
      <c r="E496" s="0" t="str">
        <f aca="false">IFERROR(INDEX(Visitas!$C$2:$C$401,MATCH(A496,Visitas!$A$2:$A$401,0)),"")</f>
        <v>2026</v>
      </c>
      <c r="F496" s="0" t="str">
        <f aca="false">IFERROR(INDEX(Itens!$B$2:$B$100,MATCH(C496,Itens!$A$2:$A$100,0)),"")</f>
        <v>I</v>
      </c>
      <c r="G496" s="13" t="n">
        <v>0</v>
      </c>
      <c r="H496" s="13" t="n">
        <v>0</v>
      </c>
    </row>
    <row r="497" customFormat="false" ht="15" hidden="false" customHeight="false" outlineLevel="0" collapsed="false">
      <c r="A497" s="13" t="n">
        <v>36</v>
      </c>
      <c r="B497" s="0" t="str">
        <f aca="false">IFERROR(INDEX(Visitas!$B$2:$B$401,MATCH(A497,Visitas!$A$2:$A$401,0)),"")</f>
        <v>ESF Jaguari</v>
      </c>
      <c r="C497" s="13" t="s">
        <v>82</v>
      </c>
      <c r="D497" s="0" t="str">
        <f aca="false">IFERROR(INDEX(Itens!$C$2:$C$100,MATCH(C497,Itens!$A$2:$A$100,0)),"")</f>
        <v>Materiais, medicamentos e insumos</v>
      </c>
      <c r="E497" s="0" t="str">
        <f aca="false">IFERROR(INDEX(Visitas!$C$2:$C$401,MATCH(A497,Visitas!$A$2:$A$401,0)),"")</f>
        <v>2026</v>
      </c>
      <c r="F497" s="0" t="str">
        <f aca="false">IFERROR(INDEX(Itens!$B$2:$B$100,MATCH(C497,Itens!$A$2:$A$100,0)),"")</f>
        <v>I</v>
      </c>
      <c r="G497" s="13" t="n">
        <v>2</v>
      </c>
      <c r="H497" s="13" t="n">
        <v>0</v>
      </c>
    </row>
    <row r="498" customFormat="false" ht="15" hidden="false" customHeight="false" outlineLevel="0" collapsed="false">
      <c r="A498" s="13" t="n">
        <v>36</v>
      </c>
      <c r="B498" s="0" t="str">
        <f aca="false">IFERROR(INDEX(Visitas!$B$2:$B$401,MATCH(A498,Visitas!$A$2:$A$401,0)),"")</f>
        <v>ESF Jaguari</v>
      </c>
      <c r="C498" s="13" t="s">
        <v>85</v>
      </c>
      <c r="D498" s="0" t="str">
        <f aca="false">IFERROR(INDEX(Itens!$C$2:$C$100,MATCH(C498,Itens!$A$2:$A$100,0)),"")</f>
        <v>Conforto, limpeza e organização</v>
      </c>
      <c r="E498" s="0" t="str">
        <f aca="false">IFERROR(INDEX(Visitas!$C$2:$C$401,MATCH(A498,Visitas!$A$2:$A$401,0)),"")</f>
        <v>2026</v>
      </c>
      <c r="F498" s="0" t="str">
        <f aca="false">IFERROR(INDEX(Itens!$B$2:$B$100,MATCH(C498,Itens!$A$2:$A$100,0)),"")</f>
        <v>I</v>
      </c>
      <c r="G498" s="13" t="n">
        <v>1</v>
      </c>
      <c r="H498" s="13" t="n">
        <v>0</v>
      </c>
    </row>
    <row r="499" customFormat="false" ht="15" hidden="false" customHeight="false" outlineLevel="0" collapsed="false">
      <c r="A499" s="13" t="n">
        <v>36</v>
      </c>
      <c r="B499" s="0" t="str">
        <f aca="false">IFERROR(INDEX(Visitas!$B$2:$B$401,MATCH(A499,Visitas!$A$2:$A$401,0)),"")</f>
        <v>ESF Jaguari</v>
      </c>
      <c r="C499" s="13" t="s">
        <v>88</v>
      </c>
      <c r="D499" s="0" t="str">
        <f aca="false">IFERROR(INDEX(Itens!$C$2:$C$100,MATCH(C499,Itens!$A$2:$A$100,0)),"")</f>
        <v>Utilização de indicadores de gestão</v>
      </c>
      <c r="E499" s="0" t="str">
        <f aca="false">IFERROR(INDEX(Visitas!$C$2:$C$401,MATCH(A499,Visitas!$A$2:$A$401,0)),"")</f>
        <v>2026</v>
      </c>
      <c r="F499" s="0" t="str">
        <f aca="false">IFERROR(INDEX(Itens!$B$2:$B$100,MATCH(C499,Itens!$A$2:$A$100,0)),"")</f>
        <v>II</v>
      </c>
      <c r="G499" s="13" t="n">
        <v>1</v>
      </c>
      <c r="H499" s="13" t="n">
        <v>0</v>
      </c>
    </row>
    <row r="500" customFormat="false" ht="15" hidden="false" customHeight="false" outlineLevel="0" collapsed="false">
      <c r="A500" s="13" t="n">
        <v>36</v>
      </c>
      <c r="B500" s="0" t="str">
        <f aca="false">IFERROR(INDEX(Visitas!$B$2:$B$401,MATCH(A500,Visitas!$A$2:$A$401,0)),"")</f>
        <v>ESF Jaguari</v>
      </c>
      <c r="C500" s="13" t="s">
        <v>92</v>
      </c>
      <c r="D500" s="0" t="str">
        <f aca="false">IFERROR(INDEX(Itens!$C$2:$C$100,MATCH(C500,Itens!$A$2:$A$100,0)),"")</f>
        <v>Dimensionamento de equipe</v>
      </c>
      <c r="E500" s="0" t="str">
        <f aca="false">IFERROR(INDEX(Visitas!$C$2:$C$401,MATCH(A500,Visitas!$A$2:$A$401,0)),"")</f>
        <v>2026</v>
      </c>
      <c r="F500" s="0" t="str">
        <f aca="false">IFERROR(INDEX(Itens!$B$2:$B$100,MATCH(C500,Itens!$A$2:$A$100,0)),"")</f>
        <v>II</v>
      </c>
      <c r="G500" s="13" t="n">
        <v>2</v>
      </c>
      <c r="H500" s="13" t="n">
        <v>0</v>
      </c>
    </row>
    <row r="501" customFormat="false" ht="15" hidden="false" customHeight="false" outlineLevel="0" collapsed="false">
      <c r="A501" s="13" t="n">
        <v>36</v>
      </c>
      <c r="B501" s="0" t="str">
        <f aca="false">IFERROR(INDEX(Visitas!$B$2:$B$401,MATCH(A501,Visitas!$A$2:$A$401,0)),"")</f>
        <v>ESF Jaguari</v>
      </c>
      <c r="C501" s="13" t="s">
        <v>96</v>
      </c>
      <c r="D501" s="0" t="str">
        <f aca="false">IFERROR(INDEX(Itens!$C$2:$C$100,MATCH(C501,Itens!$A$2:$A$100,0)),"")</f>
        <v>Execução do cronograma de capacitação da equipe de trabalho</v>
      </c>
      <c r="E501" s="0" t="str">
        <f aca="false">IFERROR(INDEX(Visitas!$C$2:$C$401,MATCH(A501,Visitas!$A$2:$A$401,0)),"")</f>
        <v>2026</v>
      </c>
      <c r="F501" s="0" t="str">
        <f aca="false">IFERROR(INDEX(Itens!$B$2:$B$100,MATCH(C501,Itens!$A$2:$A$100,0)),"")</f>
        <v>II</v>
      </c>
      <c r="G501" s="13" t="n">
        <v>2</v>
      </c>
      <c r="H501" s="13" t="n">
        <v>0</v>
      </c>
    </row>
    <row r="502" customFormat="false" ht="15" hidden="false" customHeight="false" outlineLevel="0" collapsed="false">
      <c r="A502" s="13" t="n">
        <v>36</v>
      </c>
      <c r="B502" s="0" t="str">
        <f aca="false">IFERROR(INDEX(Visitas!$B$2:$B$401,MATCH(A502,Visitas!$A$2:$A$401,0)),"")</f>
        <v>ESF Jaguari</v>
      </c>
      <c r="C502" s="13" t="s">
        <v>100</v>
      </c>
      <c r="D502" s="0" t="str">
        <f aca="false">IFERROR(INDEX(Itens!$C$2:$C$100,MATCH(C502,Itens!$A$2:$A$100,0)),"")</f>
        <v>Disponibilidade de agendamento de consultas, exames e procedimentos</v>
      </c>
      <c r="E502" s="0" t="str">
        <f aca="false">IFERROR(INDEX(Visitas!$C$2:$C$401,MATCH(A502,Visitas!$A$2:$A$401,0)),"")</f>
        <v>2026</v>
      </c>
      <c r="F502" s="0" t="str">
        <f aca="false">IFERROR(INDEX(Itens!$B$2:$B$100,MATCH(C502,Itens!$A$2:$A$100,0)),"")</f>
        <v>II</v>
      </c>
      <c r="G502" s="13" t="n">
        <v>2</v>
      </c>
      <c r="H502" s="13" t="n">
        <v>0</v>
      </c>
    </row>
    <row r="503" customFormat="false" ht="15" hidden="false" customHeight="false" outlineLevel="0" collapsed="false">
      <c r="A503" s="13" t="n">
        <v>36</v>
      </c>
      <c r="B503" s="0" t="str">
        <f aca="false">IFERROR(INDEX(Visitas!$B$2:$B$401,MATCH(A503,Visitas!$A$2:$A$401,0)),"")</f>
        <v>ESF Jaguari</v>
      </c>
      <c r="C503" s="13" t="s">
        <v>104</v>
      </c>
      <c r="D503" s="0" t="str">
        <f aca="false">IFERROR(INDEX(Itens!$C$2:$C$100,MATCH(C503,Itens!$A$2:$A$100,0)),"")</f>
        <v>Atendimento aos indicadores do PMS</v>
      </c>
      <c r="E503" s="0" t="str">
        <f aca="false">IFERROR(INDEX(Visitas!$C$2:$C$401,MATCH(A503,Visitas!$A$2:$A$401,0)),"")</f>
        <v>2026</v>
      </c>
      <c r="F503" s="0" t="str">
        <f aca="false">IFERROR(INDEX(Itens!$B$2:$B$100,MATCH(C503,Itens!$A$2:$A$100,0)),"")</f>
        <v>III</v>
      </c>
      <c r="G503" s="13" t="n">
        <v>1</v>
      </c>
      <c r="H503" s="13" t="n">
        <v>0</v>
      </c>
    </row>
    <row r="504" customFormat="false" ht="15" hidden="false" customHeight="false" outlineLevel="0" collapsed="false">
      <c r="A504" s="13" t="n">
        <v>36</v>
      </c>
      <c r="B504" s="0" t="str">
        <f aca="false">IFERROR(INDEX(Visitas!$B$2:$B$401,MATCH(A504,Visitas!$A$2:$A$401,0)),"")</f>
        <v>ESF Jaguari</v>
      </c>
      <c r="C504" s="13" t="s">
        <v>109</v>
      </c>
      <c r="D504" s="0" t="str">
        <f aca="false">IFERROR(INDEX(Itens!$C$2:$C$100,MATCH(C504,Itens!$A$2:$A$100,0)),"")</f>
        <v>Registro de reclamações na Ouvidoria do COMSAUDE</v>
      </c>
      <c r="E504" s="0" t="str">
        <f aca="false">IFERROR(INDEX(Visitas!$C$2:$C$401,MATCH(A504,Visitas!$A$2:$A$401,0)),"")</f>
        <v>2026</v>
      </c>
      <c r="F504" s="0" t="str">
        <f aca="false">IFERROR(INDEX(Itens!$B$2:$B$100,MATCH(C504,Itens!$A$2:$A$100,0)),"")</f>
        <v>IV</v>
      </c>
      <c r="G504" s="13" t="n">
        <v>2</v>
      </c>
      <c r="H504" s="13" t="n">
        <v>0</v>
      </c>
    </row>
    <row r="505" customFormat="false" ht="15" hidden="false" customHeight="false" outlineLevel="0" collapsed="false">
      <c r="A505" s="13" t="n">
        <v>36</v>
      </c>
      <c r="B505" s="0" t="str">
        <f aca="false">IFERROR(INDEX(Visitas!$B$2:$B$401,MATCH(A505,Visitas!$A$2:$A$401,0)),"")</f>
        <v>ESF Jaguari</v>
      </c>
      <c r="C505" s="13" t="s">
        <v>113</v>
      </c>
      <c r="D505" s="0" t="str">
        <f aca="false">IFERROR(INDEX(Itens!$C$2:$C$100,MATCH(C505,Itens!$A$2:$A$100,0)),"")</f>
        <v>Satisfação dos usuários</v>
      </c>
      <c r="E505" s="0" t="str">
        <f aca="false">IFERROR(INDEX(Visitas!$C$2:$C$401,MATCH(A505,Visitas!$A$2:$A$401,0)),"")</f>
        <v>2026</v>
      </c>
      <c r="F505" s="0" t="str">
        <f aca="false">IFERROR(INDEX(Itens!$B$2:$B$100,MATCH(C505,Itens!$A$2:$A$100,0)),"")</f>
        <v>IV</v>
      </c>
      <c r="G505" s="13" t="n">
        <v>2</v>
      </c>
      <c r="H505" s="13" t="n">
        <v>0</v>
      </c>
    </row>
    <row r="506" customFormat="false" ht="15" hidden="false" customHeight="false" outlineLevel="0" collapsed="false">
      <c r="A506" s="13" t="n">
        <v>37</v>
      </c>
      <c r="B506" s="0" t="str">
        <f aca="false">IFERROR(INDEX(Visitas!$B$2:$B$401,MATCH(A506,Visitas!$A$2:$A$401,0)),"")</f>
        <v>ESF Zanaga I</v>
      </c>
      <c r="C506" s="13" t="s">
        <v>65</v>
      </c>
      <c r="D506" s="0" t="str">
        <f aca="false">IFERROR(INDEX(Itens!$C$2:$C$100,MATCH(C506,Itens!$A$2:$A$100,0)),"")</f>
        <v>Infraestrutura civil</v>
      </c>
      <c r="E506" s="0" t="str">
        <f aca="false">IFERROR(INDEX(Visitas!$C$2:$C$401,MATCH(A506,Visitas!$A$2:$A$401,0)),"")</f>
        <v>2026</v>
      </c>
      <c r="F506" s="0" t="str">
        <f aca="false">IFERROR(INDEX(Itens!$B$2:$B$100,MATCH(C506,Itens!$A$2:$A$100,0)),"")</f>
        <v>I</v>
      </c>
      <c r="G506" s="13" t="n">
        <v>1</v>
      </c>
      <c r="H506" s="13" t="n">
        <v>0</v>
      </c>
    </row>
    <row r="507" customFormat="false" ht="15" hidden="false" customHeight="false" outlineLevel="0" collapsed="false">
      <c r="A507" s="13" t="n">
        <v>37</v>
      </c>
      <c r="B507" s="0" t="str">
        <f aca="false">IFERROR(INDEX(Visitas!$B$2:$B$401,MATCH(A507,Visitas!$A$2:$A$401,0)),"")</f>
        <v>ESF Zanaga I</v>
      </c>
      <c r="C507" s="13" t="s">
        <v>70</v>
      </c>
      <c r="D507" s="0" t="str">
        <f aca="false">IFERROR(INDEX(Itens!$C$2:$C$100,MATCH(C507,Itens!$A$2:$A$100,0)),"")</f>
        <v>Infraestrutura elétrica</v>
      </c>
      <c r="E507" s="0" t="str">
        <f aca="false">IFERROR(INDEX(Visitas!$C$2:$C$401,MATCH(A507,Visitas!$A$2:$A$401,0)),"")</f>
        <v>2026</v>
      </c>
      <c r="F507" s="0" t="str">
        <f aca="false">IFERROR(INDEX(Itens!$B$2:$B$100,MATCH(C507,Itens!$A$2:$A$100,0)),"")</f>
        <v>I</v>
      </c>
      <c r="G507" s="13" t="n">
        <v>1</v>
      </c>
      <c r="H507" s="13" t="n">
        <v>0</v>
      </c>
    </row>
    <row r="508" customFormat="false" ht="15" hidden="false" customHeight="false" outlineLevel="0" collapsed="false">
      <c r="A508" s="13" t="n">
        <v>37</v>
      </c>
      <c r="B508" s="0" t="str">
        <f aca="false">IFERROR(INDEX(Visitas!$B$2:$B$401,MATCH(A508,Visitas!$A$2:$A$401,0)),"")</f>
        <v>ESF Zanaga I</v>
      </c>
      <c r="C508" s="13" t="s">
        <v>73</v>
      </c>
      <c r="D508" s="0" t="str">
        <f aca="false">IFERROR(INDEX(Itens!$C$2:$C$100,MATCH(C508,Itens!$A$2:$A$100,0)),"")</f>
        <v>Infraestrutura hidráulica</v>
      </c>
      <c r="E508" s="0" t="str">
        <f aca="false">IFERROR(INDEX(Visitas!$C$2:$C$401,MATCH(A508,Visitas!$A$2:$A$401,0)),"")</f>
        <v>2026</v>
      </c>
      <c r="F508" s="0" t="str">
        <f aca="false">IFERROR(INDEX(Itens!$B$2:$B$100,MATCH(C508,Itens!$A$2:$A$100,0)),"")</f>
        <v>I</v>
      </c>
      <c r="G508" s="13" t="n">
        <v>1</v>
      </c>
      <c r="H508" s="13" t="n">
        <v>0</v>
      </c>
    </row>
    <row r="509" customFormat="false" ht="15" hidden="false" customHeight="false" outlineLevel="0" collapsed="false">
      <c r="A509" s="13" t="n">
        <v>37</v>
      </c>
      <c r="B509" s="0" t="str">
        <f aca="false">IFERROR(INDEX(Visitas!$B$2:$B$401,MATCH(A509,Visitas!$A$2:$A$401,0)),"")</f>
        <v>ESF Zanaga I</v>
      </c>
      <c r="C509" s="13" t="s">
        <v>76</v>
      </c>
      <c r="D509" s="0" t="str">
        <f aca="false">IFERROR(INDEX(Itens!$C$2:$C$100,MATCH(C509,Itens!$A$2:$A$100,0)),"")</f>
        <v>Infraestrutura de comunicação</v>
      </c>
      <c r="E509" s="0" t="str">
        <f aca="false">IFERROR(INDEX(Visitas!$C$2:$C$401,MATCH(A509,Visitas!$A$2:$A$401,0)),"")</f>
        <v>2026</v>
      </c>
      <c r="F509" s="0" t="str">
        <f aca="false">IFERROR(INDEX(Itens!$B$2:$B$100,MATCH(C509,Itens!$A$2:$A$100,0)),"")</f>
        <v>I</v>
      </c>
      <c r="G509" s="13" t="n">
        <v>1</v>
      </c>
      <c r="H509" s="13" t="n">
        <v>0</v>
      </c>
    </row>
    <row r="510" customFormat="false" ht="15" hidden="false" customHeight="false" outlineLevel="0" collapsed="false">
      <c r="A510" s="13" t="n">
        <v>37</v>
      </c>
      <c r="B510" s="0" t="str">
        <f aca="false">IFERROR(INDEX(Visitas!$B$2:$B$401,MATCH(A510,Visitas!$A$2:$A$401,0)),"")</f>
        <v>ESF Zanaga I</v>
      </c>
      <c r="C510" s="13" t="s">
        <v>79</v>
      </c>
      <c r="D510" s="0" t="str">
        <f aca="false">IFERROR(INDEX(Itens!$C$2:$C$100,MATCH(C510,Itens!$A$2:$A$100,0)),"")</f>
        <v>Equipamentos</v>
      </c>
      <c r="E510" s="0" t="str">
        <f aca="false">IFERROR(INDEX(Visitas!$C$2:$C$401,MATCH(A510,Visitas!$A$2:$A$401,0)),"")</f>
        <v>2026</v>
      </c>
      <c r="F510" s="0" t="str">
        <f aca="false">IFERROR(INDEX(Itens!$B$2:$B$100,MATCH(C510,Itens!$A$2:$A$100,0)),"")</f>
        <v>I</v>
      </c>
      <c r="G510" s="13" t="n">
        <v>2</v>
      </c>
      <c r="H510" s="13" t="n">
        <v>0</v>
      </c>
    </row>
    <row r="511" customFormat="false" ht="15" hidden="false" customHeight="false" outlineLevel="0" collapsed="false">
      <c r="A511" s="13" t="n">
        <v>37</v>
      </c>
      <c r="B511" s="0" t="str">
        <f aca="false">IFERROR(INDEX(Visitas!$B$2:$B$401,MATCH(A511,Visitas!$A$2:$A$401,0)),"")</f>
        <v>ESF Zanaga I</v>
      </c>
      <c r="C511" s="13" t="s">
        <v>82</v>
      </c>
      <c r="D511" s="0" t="str">
        <f aca="false">IFERROR(INDEX(Itens!$C$2:$C$100,MATCH(C511,Itens!$A$2:$A$100,0)),"")</f>
        <v>Materiais, medicamentos e insumos</v>
      </c>
      <c r="E511" s="0" t="str">
        <f aca="false">IFERROR(INDEX(Visitas!$C$2:$C$401,MATCH(A511,Visitas!$A$2:$A$401,0)),"")</f>
        <v>2026</v>
      </c>
      <c r="F511" s="0" t="str">
        <f aca="false">IFERROR(INDEX(Itens!$B$2:$B$100,MATCH(C511,Itens!$A$2:$A$100,0)),"")</f>
        <v>I</v>
      </c>
      <c r="G511" s="13" t="n">
        <v>2</v>
      </c>
      <c r="H511" s="13" t="n">
        <v>0</v>
      </c>
    </row>
    <row r="512" customFormat="false" ht="15" hidden="false" customHeight="false" outlineLevel="0" collapsed="false">
      <c r="A512" s="13" t="n">
        <v>37</v>
      </c>
      <c r="B512" s="0" t="str">
        <f aca="false">IFERROR(INDEX(Visitas!$B$2:$B$401,MATCH(A512,Visitas!$A$2:$A$401,0)),"")</f>
        <v>ESF Zanaga I</v>
      </c>
      <c r="C512" s="13" t="s">
        <v>85</v>
      </c>
      <c r="D512" s="0" t="str">
        <f aca="false">IFERROR(INDEX(Itens!$C$2:$C$100,MATCH(C512,Itens!$A$2:$A$100,0)),"")</f>
        <v>Conforto, limpeza e organização</v>
      </c>
      <c r="E512" s="0" t="str">
        <f aca="false">IFERROR(INDEX(Visitas!$C$2:$C$401,MATCH(A512,Visitas!$A$2:$A$401,0)),"")</f>
        <v>2026</v>
      </c>
      <c r="F512" s="0" t="str">
        <f aca="false">IFERROR(INDEX(Itens!$B$2:$B$100,MATCH(C512,Itens!$A$2:$A$100,0)),"")</f>
        <v>I</v>
      </c>
      <c r="G512" s="13" t="n">
        <v>1</v>
      </c>
      <c r="H512" s="13" t="n">
        <v>0</v>
      </c>
    </row>
    <row r="513" customFormat="false" ht="15" hidden="false" customHeight="false" outlineLevel="0" collapsed="false">
      <c r="A513" s="13" t="n">
        <v>37</v>
      </c>
      <c r="B513" s="0" t="str">
        <f aca="false">IFERROR(INDEX(Visitas!$B$2:$B$401,MATCH(A513,Visitas!$A$2:$A$401,0)),"")</f>
        <v>ESF Zanaga I</v>
      </c>
      <c r="C513" s="13" t="s">
        <v>88</v>
      </c>
      <c r="D513" s="0" t="str">
        <f aca="false">IFERROR(INDEX(Itens!$C$2:$C$100,MATCH(C513,Itens!$A$2:$A$100,0)),"")</f>
        <v>Utilização de indicadores de gestão</v>
      </c>
      <c r="E513" s="0" t="str">
        <f aca="false">IFERROR(INDEX(Visitas!$C$2:$C$401,MATCH(A513,Visitas!$A$2:$A$401,0)),"")</f>
        <v>2026</v>
      </c>
      <c r="F513" s="0" t="str">
        <f aca="false">IFERROR(INDEX(Itens!$B$2:$B$100,MATCH(C513,Itens!$A$2:$A$100,0)),"")</f>
        <v>II</v>
      </c>
      <c r="G513" s="13" t="n">
        <v>2</v>
      </c>
      <c r="H513" s="13" t="n">
        <v>0</v>
      </c>
    </row>
    <row r="514" customFormat="false" ht="15" hidden="false" customHeight="false" outlineLevel="0" collapsed="false">
      <c r="A514" s="13" t="n">
        <v>37</v>
      </c>
      <c r="B514" s="0" t="str">
        <f aca="false">IFERROR(INDEX(Visitas!$B$2:$B$401,MATCH(A514,Visitas!$A$2:$A$401,0)),"")</f>
        <v>ESF Zanaga I</v>
      </c>
      <c r="C514" s="13" t="s">
        <v>92</v>
      </c>
      <c r="D514" s="0" t="str">
        <f aca="false">IFERROR(INDEX(Itens!$C$2:$C$100,MATCH(C514,Itens!$A$2:$A$100,0)),"")</f>
        <v>Dimensionamento de equipe</v>
      </c>
      <c r="E514" s="0" t="str">
        <f aca="false">IFERROR(INDEX(Visitas!$C$2:$C$401,MATCH(A514,Visitas!$A$2:$A$401,0)),"")</f>
        <v>2026</v>
      </c>
      <c r="F514" s="0" t="str">
        <f aca="false">IFERROR(INDEX(Itens!$B$2:$B$100,MATCH(C514,Itens!$A$2:$A$100,0)),"")</f>
        <v>II</v>
      </c>
      <c r="G514" s="13" t="n">
        <v>2</v>
      </c>
      <c r="H514" s="13" t="n">
        <v>0</v>
      </c>
    </row>
    <row r="515" customFormat="false" ht="15" hidden="false" customHeight="false" outlineLevel="0" collapsed="false">
      <c r="A515" s="13" t="n">
        <v>37</v>
      </c>
      <c r="B515" s="0" t="str">
        <f aca="false">IFERROR(INDEX(Visitas!$B$2:$B$401,MATCH(A515,Visitas!$A$2:$A$401,0)),"")</f>
        <v>ESF Zanaga I</v>
      </c>
      <c r="C515" s="13" t="s">
        <v>96</v>
      </c>
      <c r="D515" s="0" t="str">
        <f aca="false">IFERROR(INDEX(Itens!$C$2:$C$100,MATCH(C515,Itens!$A$2:$A$100,0)),"")</f>
        <v>Execução do cronograma de capacitação da equipe de trabalho</v>
      </c>
      <c r="E515" s="0" t="str">
        <f aca="false">IFERROR(INDEX(Visitas!$C$2:$C$401,MATCH(A515,Visitas!$A$2:$A$401,0)),"")</f>
        <v>2026</v>
      </c>
      <c r="F515" s="0" t="str">
        <f aca="false">IFERROR(INDEX(Itens!$B$2:$B$100,MATCH(C515,Itens!$A$2:$A$100,0)),"")</f>
        <v>II</v>
      </c>
      <c r="G515" s="13" t="n">
        <v>1</v>
      </c>
      <c r="H515" s="13" t="n">
        <v>0</v>
      </c>
    </row>
    <row r="516" customFormat="false" ht="15" hidden="false" customHeight="false" outlineLevel="0" collapsed="false">
      <c r="A516" s="13" t="n">
        <v>37</v>
      </c>
      <c r="B516" s="0" t="str">
        <f aca="false">IFERROR(INDEX(Visitas!$B$2:$B$401,MATCH(A516,Visitas!$A$2:$A$401,0)),"")</f>
        <v>ESF Zanaga I</v>
      </c>
      <c r="C516" s="13" t="s">
        <v>100</v>
      </c>
      <c r="D516" s="0" t="str">
        <f aca="false">IFERROR(INDEX(Itens!$C$2:$C$100,MATCH(C516,Itens!$A$2:$A$100,0)),"")</f>
        <v>Disponibilidade de agendamento de consultas, exames e procedimentos</v>
      </c>
      <c r="E516" s="0" t="str">
        <f aca="false">IFERROR(INDEX(Visitas!$C$2:$C$401,MATCH(A516,Visitas!$A$2:$A$401,0)),"")</f>
        <v>2026</v>
      </c>
      <c r="F516" s="0" t="str">
        <f aca="false">IFERROR(INDEX(Itens!$B$2:$B$100,MATCH(C516,Itens!$A$2:$A$100,0)),"")</f>
        <v>II</v>
      </c>
      <c r="G516" s="13" t="n">
        <v>1</v>
      </c>
      <c r="H516" s="13" t="n">
        <v>0</v>
      </c>
    </row>
    <row r="517" customFormat="false" ht="15" hidden="false" customHeight="false" outlineLevel="0" collapsed="false">
      <c r="A517" s="13" t="n">
        <v>37</v>
      </c>
      <c r="B517" s="0" t="str">
        <f aca="false">IFERROR(INDEX(Visitas!$B$2:$B$401,MATCH(A517,Visitas!$A$2:$A$401,0)),"")</f>
        <v>ESF Zanaga I</v>
      </c>
      <c r="C517" s="13" t="s">
        <v>104</v>
      </c>
      <c r="D517" s="0" t="str">
        <f aca="false">IFERROR(INDEX(Itens!$C$2:$C$100,MATCH(C517,Itens!$A$2:$A$100,0)),"")</f>
        <v>Atendimento aos indicadores do PMS</v>
      </c>
      <c r="E517" s="0" t="str">
        <f aca="false">IFERROR(INDEX(Visitas!$C$2:$C$401,MATCH(A517,Visitas!$A$2:$A$401,0)),"")</f>
        <v>2026</v>
      </c>
      <c r="F517" s="0" t="str">
        <f aca="false">IFERROR(INDEX(Itens!$B$2:$B$100,MATCH(C517,Itens!$A$2:$A$100,0)),"")</f>
        <v>III</v>
      </c>
      <c r="G517" s="13" t="n">
        <v>2</v>
      </c>
      <c r="H517" s="13" t="n">
        <v>0</v>
      </c>
    </row>
    <row r="518" customFormat="false" ht="15" hidden="false" customHeight="false" outlineLevel="0" collapsed="false">
      <c r="A518" s="13" t="n">
        <v>37</v>
      </c>
      <c r="B518" s="0" t="str">
        <f aca="false">IFERROR(INDEX(Visitas!$B$2:$B$401,MATCH(A518,Visitas!$A$2:$A$401,0)),"")</f>
        <v>ESF Zanaga I</v>
      </c>
      <c r="C518" s="13" t="s">
        <v>109</v>
      </c>
      <c r="D518" s="0" t="str">
        <f aca="false">IFERROR(INDEX(Itens!$C$2:$C$100,MATCH(C518,Itens!$A$2:$A$100,0)),"")</f>
        <v>Registro de reclamações na Ouvidoria do COMSAUDE</v>
      </c>
      <c r="E518" s="0" t="str">
        <f aca="false">IFERROR(INDEX(Visitas!$C$2:$C$401,MATCH(A518,Visitas!$A$2:$A$401,0)),"")</f>
        <v>2026</v>
      </c>
      <c r="F518" s="0" t="str">
        <f aca="false">IFERROR(INDEX(Itens!$B$2:$B$100,MATCH(C518,Itens!$A$2:$A$100,0)),"")</f>
        <v>IV</v>
      </c>
      <c r="G518" s="13" t="n">
        <v>2</v>
      </c>
      <c r="H518" s="13" t="n">
        <v>0</v>
      </c>
    </row>
    <row r="519" customFormat="false" ht="15" hidden="false" customHeight="false" outlineLevel="0" collapsed="false">
      <c r="A519" s="13" t="n">
        <v>37</v>
      </c>
      <c r="B519" s="0" t="str">
        <f aca="false">IFERROR(INDEX(Visitas!$B$2:$B$401,MATCH(A519,Visitas!$A$2:$A$401,0)),"")</f>
        <v>ESF Zanaga I</v>
      </c>
      <c r="C519" s="13" t="s">
        <v>113</v>
      </c>
      <c r="D519" s="0" t="str">
        <f aca="false">IFERROR(INDEX(Itens!$C$2:$C$100,MATCH(C519,Itens!$A$2:$A$100,0)),"")</f>
        <v>Satisfação dos usuários</v>
      </c>
      <c r="E519" s="0" t="str">
        <f aca="false">IFERROR(INDEX(Visitas!$C$2:$C$401,MATCH(A519,Visitas!$A$2:$A$401,0)),"")</f>
        <v>2026</v>
      </c>
      <c r="F519" s="0" t="str">
        <f aca="false">IFERROR(INDEX(Itens!$B$2:$B$100,MATCH(C519,Itens!$A$2:$A$100,0)),"")</f>
        <v>IV</v>
      </c>
      <c r="G519" s="13" t="n">
        <v>2</v>
      </c>
      <c r="H519" s="13" t="n">
        <v>0</v>
      </c>
    </row>
    <row r="520" customFormat="false" ht="15" hidden="false" customHeight="false" outlineLevel="0" collapsed="false">
      <c r="A520" s="13" t="n">
        <v>38</v>
      </c>
      <c r="B520" s="0" t="str">
        <f aca="false">IFERROR(INDEX(Visitas!$B$2:$B$401,MATCH(A520,Visitas!$A$2:$A$401,0)),"")</f>
        <v>UBS Cariobinha</v>
      </c>
      <c r="C520" s="13" t="s">
        <v>65</v>
      </c>
      <c r="D520" s="0" t="str">
        <f aca="false">IFERROR(INDEX(Itens!$C$2:$C$100,MATCH(C520,Itens!$A$2:$A$100,0)),"")</f>
        <v>Infraestrutura civil</v>
      </c>
      <c r="E520" s="0" t="str">
        <f aca="false">IFERROR(INDEX(Visitas!$C$2:$C$401,MATCH(A520,Visitas!$A$2:$A$401,0)),"")</f>
        <v>2026</v>
      </c>
      <c r="F520" s="0" t="str">
        <f aca="false">IFERROR(INDEX(Itens!$B$2:$B$100,MATCH(C520,Itens!$A$2:$A$100,0)),"")</f>
        <v>I</v>
      </c>
      <c r="G520" s="13" t="n">
        <v>2</v>
      </c>
      <c r="H520" s="13" t="n">
        <v>0</v>
      </c>
    </row>
    <row r="521" customFormat="false" ht="15" hidden="false" customHeight="false" outlineLevel="0" collapsed="false">
      <c r="A521" s="13" t="n">
        <v>38</v>
      </c>
      <c r="B521" s="0" t="str">
        <f aca="false">IFERROR(INDEX(Visitas!$B$2:$B$401,MATCH(A521,Visitas!$A$2:$A$401,0)),"")</f>
        <v>UBS Cariobinha</v>
      </c>
      <c r="C521" s="13" t="s">
        <v>70</v>
      </c>
      <c r="D521" s="0" t="str">
        <f aca="false">IFERROR(INDEX(Itens!$C$2:$C$100,MATCH(C521,Itens!$A$2:$A$100,0)),"")</f>
        <v>Infraestrutura elétrica</v>
      </c>
      <c r="E521" s="0" t="str">
        <f aca="false">IFERROR(INDEX(Visitas!$C$2:$C$401,MATCH(A521,Visitas!$A$2:$A$401,0)),"")</f>
        <v>2026</v>
      </c>
      <c r="F521" s="0" t="str">
        <f aca="false">IFERROR(INDEX(Itens!$B$2:$B$100,MATCH(C521,Itens!$A$2:$A$100,0)),"")</f>
        <v>I</v>
      </c>
      <c r="G521" s="13" t="n">
        <v>2</v>
      </c>
      <c r="H521" s="13" t="n">
        <v>0</v>
      </c>
    </row>
    <row r="522" customFormat="false" ht="15" hidden="false" customHeight="false" outlineLevel="0" collapsed="false">
      <c r="A522" s="13" t="n">
        <v>38</v>
      </c>
      <c r="B522" s="0" t="str">
        <f aca="false">IFERROR(INDEX(Visitas!$B$2:$B$401,MATCH(A522,Visitas!$A$2:$A$401,0)),"")</f>
        <v>UBS Cariobinha</v>
      </c>
      <c r="C522" s="13" t="s">
        <v>73</v>
      </c>
      <c r="D522" s="0" t="str">
        <f aca="false">IFERROR(INDEX(Itens!$C$2:$C$100,MATCH(C522,Itens!$A$2:$A$100,0)),"")</f>
        <v>Infraestrutura hidráulica</v>
      </c>
      <c r="E522" s="0" t="str">
        <f aca="false">IFERROR(INDEX(Visitas!$C$2:$C$401,MATCH(A522,Visitas!$A$2:$A$401,0)),"")</f>
        <v>2026</v>
      </c>
      <c r="F522" s="0" t="str">
        <f aca="false">IFERROR(INDEX(Itens!$B$2:$B$100,MATCH(C522,Itens!$A$2:$A$100,0)),"")</f>
        <v>I</v>
      </c>
      <c r="G522" s="13" t="n">
        <v>2</v>
      </c>
      <c r="H522" s="13" t="n">
        <v>0</v>
      </c>
    </row>
    <row r="523" customFormat="false" ht="15" hidden="false" customHeight="false" outlineLevel="0" collapsed="false">
      <c r="A523" s="13" t="n">
        <v>38</v>
      </c>
      <c r="B523" s="0" t="str">
        <f aca="false">IFERROR(INDEX(Visitas!$B$2:$B$401,MATCH(A523,Visitas!$A$2:$A$401,0)),"")</f>
        <v>UBS Cariobinha</v>
      </c>
      <c r="C523" s="13" t="s">
        <v>76</v>
      </c>
      <c r="D523" s="0" t="str">
        <f aca="false">IFERROR(INDEX(Itens!$C$2:$C$100,MATCH(C523,Itens!$A$2:$A$100,0)),"")</f>
        <v>Infraestrutura de comunicação</v>
      </c>
      <c r="E523" s="0" t="str">
        <f aca="false">IFERROR(INDEX(Visitas!$C$2:$C$401,MATCH(A523,Visitas!$A$2:$A$401,0)),"")</f>
        <v>2026</v>
      </c>
      <c r="F523" s="0" t="str">
        <f aca="false">IFERROR(INDEX(Itens!$B$2:$B$100,MATCH(C523,Itens!$A$2:$A$100,0)),"")</f>
        <v>I</v>
      </c>
      <c r="G523" s="13" t="n">
        <v>1</v>
      </c>
      <c r="H523" s="13" t="n">
        <v>0</v>
      </c>
    </row>
    <row r="524" customFormat="false" ht="15" hidden="false" customHeight="false" outlineLevel="0" collapsed="false">
      <c r="A524" s="13" t="n">
        <v>38</v>
      </c>
      <c r="B524" s="0" t="str">
        <f aca="false">IFERROR(INDEX(Visitas!$B$2:$B$401,MATCH(A524,Visitas!$A$2:$A$401,0)),"")</f>
        <v>UBS Cariobinha</v>
      </c>
      <c r="C524" s="13" t="s">
        <v>79</v>
      </c>
      <c r="D524" s="0" t="str">
        <f aca="false">IFERROR(INDEX(Itens!$C$2:$C$100,MATCH(C524,Itens!$A$2:$A$100,0)),"")</f>
        <v>Equipamentos</v>
      </c>
      <c r="E524" s="0" t="str">
        <f aca="false">IFERROR(INDEX(Visitas!$C$2:$C$401,MATCH(A524,Visitas!$A$2:$A$401,0)),"")</f>
        <v>2026</v>
      </c>
      <c r="F524" s="0" t="str">
        <f aca="false">IFERROR(INDEX(Itens!$B$2:$B$100,MATCH(C524,Itens!$A$2:$A$100,0)),"")</f>
        <v>I</v>
      </c>
      <c r="G524" s="13" t="n">
        <v>1</v>
      </c>
      <c r="H524" s="13" t="n">
        <v>0</v>
      </c>
    </row>
    <row r="525" customFormat="false" ht="15" hidden="false" customHeight="false" outlineLevel="0" collapsed="false">
      <c r="A525" s="13" t="n">
        <v>38</v>
      </c>
      <c r="B525" s="0" t="str">
        <f aca="false">IFERROR(INDEX(Visitas!$B$2:$B$401,MATCH(A525,Visitas!$A$2:$A$401,0)),"")</f>
        <v>UBS Cariobinha</v>
      </c>
      <c r="C525" s="13" t="s">
        <v>82</v>
      </c>
      <c r="D525" s="0" t="str">
        <f aca="false">IFERROR(INDEX(Itens!$C$2:$C$100,MATCH(C525,Itens!$A$2:$A$100,0)),"")</f>
        <v>Materiais, medicamentos e insumos</v>
      </c>
      <c r="E525" s="0" t="str">
        <f aca="false">IFERROR(INDEX(Visitas!$C$2:$C$401,MATCH(A525,Visitas!$A$2:$A$401,0)),"")</f>
        <v>2026</v>
      </c>
      <c r="F525" s="0" t="str">
        <f aca="false">IFERROR(INDEX(Itens!$B$2:$B$100,MATCH(C525,Itens!$A$2:$A$100,0)),"")</f>
        <v>I</v>
      </c>
      <c r="G525" s="13" t="n">
        <v>1</v>
      </c>
      <c r="H525" s="13" t="n">
        <v>0</v>
      </c>
    </row>
    <row r="526" customFormat="false" ht="15" hidden="false" customHeight="false" outlineLevel="0" collapsed="false">
      <c r="A526" s="13" t="n">
        <v>38</v>
      </c>
      <c r="B526" s="0" t="str">
        <f aca="false">IFERROR(INDEX(Visitas!$B$2:$B$401,MATCH(A526,Visitas!$A$2:$A$401,0)),"")</f>
        <v>UBS Cariobinha</v>
      </c>
      <c r="C526" s="13" t="s">
        <v>85</v>
      </c>
      <c r="D526" s="0" t="str">
        <f aca="false">IFERROR(INDEX(Itens!$C$2:$C$100,MATCH(C526,Itens!$A$2:$A$100,0)),"")</f>
        <v>Conforto, limpeza e organização</v>
      </c>
      <c r="E526" s="0" t="str">
        <f aca="false">IFERROR(INDEX(Visitas!$C$2:$C$401,MATCH(A526,Visitas!$A$2:$A$401,0)),"")</f>
        <v>2026</v>
      </c>
      <c r="F526" s="0" t="str">
        <f aca="false">IFERROR(INDEX(Itens!$B$2:$B$100,MATCH(C526,Itens!$A$2:$A$100,0)),"")</f>
        <v>I</v>
      </c>
      <c r="G526" s="13" t="n">
        <v>2</v>
      </c>
      <c r="H526" s="13" t="n">
        <v>0</v>
      </c>
    </row>
    <row r="527" customFormat="false" ht="15" hidden="false" customHeight="false" outlineLevel="0" collapsed="false">
      <c r="A527" s="13" t="n">
        <v>38</v>
      </c>
      <c r="B527" s="0" t="str">
        <f aca="false">IFERROR(INDEX(Visitas!$B$2:$B$401,MATCH(A527,Visitas!$A$2:$A$401,0)),"")</f>
        <v>UBS Cariobinha</v>
      </c>
      <c r="C527" s="13" t="s">
        <v>88</v>
      </c>
      <c r="D527" s="0" t="str">
        <f aca="false">IFERROR(INDEX(Itens!$C$2:$C$100,MATCH(C527,Itens!$A$2:$A$100,0)),"")</f>
        <v>Utilização de indicadores de gestão</v>
      </c>
      <c r="E527" s="0" t="str">
        <f aca="false">IFERROR(INDEX(Visitas!$C$2:$C$401,MATCH(A527,Visitas!$A$2:$A$401,0)),"")</f>
        <v>2026</v>
      </c>
      <c r="F527" s="0" t="str">
        <f aca="false">IFERROR(INDEX(Itens!$B$2:$B$100,MATCH(C527,Itens!$A$2:$A$100,0)),"")</f>
        <v>II</v>
      </c>
      <c r="G527" s="13" t="n">
        <v>2</v>
      </c>
      <c r="H527" s="13" t="n">
        <v>0</v>
      </c>
    </row>
    <row r="528" customFormat="false" ht="15" hidden="false" customHeight="false" outlineLevel="0" collapsed="false">
      <c r="A528" s="13" t="n">
        <v>38</v>
      </c>
      <c r="B528" s="0" t="str">
        <f aca="false">IFERROR(INDEX(Visitas!$B$2:$B$401,MATCH(A528,Visitas!$A$2:$A$401,0)),"")</f>
        <v>UBS Cariobinha</v>
      </c>
      <c r="C528" s="13" t="s">
        <v>92</v>
      </c>
      <c r="D528" s="0" t="str">
        <f aca="false">IFERROR(INDEX(Itens!$C$2:$C$100,MATCH(C528,Itens!$A$2:$A$100,0)),"")</f>
        <v>Dimensionamento de equipe</v>
      </c>
      <c r="E528" s="0" t="str">
        <f aca="false">IFERROR(INDEX(Visitas!$C$2:$C$401,MATCH(A528,Visitas!$A$2:$A$401,0)),"")</f>
        <v>2026</v>
      </c>
      <c r="F528" s="0" t="str">
        <f aca="false">IFERROR(INDEX(Itens!$B$2:$B$100,MATCH(C528,Itens!$A$2:$A$100,0)),"")</f>
        <v>II</v>
      </c>
      <c r="G528" s="13" t="n">
        <v>2</v>
      </c>
      <c r="H528" s="13" t="n">
        <v>0</v>
      </c>
    </row>
    <row r="529" customFormat="false" ht="15" hidden="false" customHeight="false" outlineLevel="0" collapsed="false">
      <c r="A529" s="13" t="n">
        <v>38</v>
      </c>
      <c r="B529" s="0" t="str">
        <f aca="false">IFERROR(INDEX(Visitas!$B$2:$B$401,MATCH(A529,Visitas!$A$2:$A$401,0)),"")</f>
        <v>UBS Cariobinha</v>
      </c>
      <c r="C529" s="13" t="s">
        <v>96</v>
      </c>
      <c r="D529" s="0" t="str">
        <f aca="false">IFERROR(INDEX(Itens!$C$2:$C$100,MATCH(C529,Itens!$A$2:$A$100,0)),"")</f>
        <v>Execução do cronograma de capacitação da equipe de trabalho</v>
      </c>
      <c r="E529" s="0" t="str">
        <f aca="false">IFERROR(INDEX(Visitas!$C$2:$C$401,MATCH(A529,Visitas!$A$2:$A$401,0)),"")</f>
        <v>2026</v>
      </c>
      <c r="F529" s="0" t="str">
        <f aca="false">IFERROR(INDEX(Itens!$B$2:$B$100,MATCH(C529,Itens!$A$2:$A$100,0)),"")</f>
        <v>II</v>
      </c>
      <c r="G529" s="13" t="n">
        <v>2</v>
      </c>
      <c r="H529" s="13" t="n">
        <v>0</v>
      </c>
    </row>
    <row r="530" customFormat="false" ht="15" hidden="false" customHeight="false" outlineLevel="0" collapsed="false">
      <c r="A530" s="13" t="n">
        <v>38</v>
      </c>
      <c r="B530" s="0" t="str">
        <f aca="false">IFERROR(INDEX(Visitas!$B$2:$B$401,MATCH(A530,Visitas!$A$2:$A$401,0)),"")</f>
        <v>UBS Cariobinha</v>
      </c>
      <c r="C530" s="13" t="s">
        <v>100</v>
      </c>
      <c r="D530" s="0" t="str">
        <f aca="false">IFERROR(INDEX(Itens!$C$2:$C$100,MATCH(C530,Itens!$A$2:$A$100,0)),"")</f>
        <v>Disponibilidade de agendamento de consultas, exames e procedimentos</v>
      </c>
      <c r="E530" s="0" t="str">
        <f aca="false">IFERROR(INDEX(Visitas!$C$2:$C$401,MATCH(A530,Visitas!$A$2:$A$401,0)),"")</f>
        <v>2026</v>
      </c>
      <c r="F530" s="0" t="str">
        <f aca="false">IFERROR(INDEX(Itens!$B$2:$B$100,MATCH(C530,Itens!$A$2:$A$100,0)),"")</f>
        <v>II</v>
      </c>
      <c r="G530" s="13" t="n">
        <v>2</v>
      </c>
      <c r="H530" s="13" t="n">
        <v>0</v>
      </c>
    </row>
    <row r="531" customFormat="false" ht="15" hidden="false" customHeight="false" outlineLevel="0" collapsed="false">
      <c r="A531" s="13" t="n">
        <v>38</v>
      </c>
      <c r="B531" s="0" t="str">
        <f aca="false">IFERROR(INDEX(Visitas!$B$2:$B$401,MATCH(A531,Visitas!$A$2:$A$401,0)),"")</f>
        <v>UBS Cariobinha</v>
      </c>
      <c r="C531" s="13" t="s">
        <v>104</v>
      </c>
      <c r="D531" s="0" t="str">
        <f aca="false">IFERROR(INDEX(Itens!$C$2:$C$100,MATCH(C531,Itens!$A$2:$A$100,0)),"")</f>
        <v>Atendimento aos indicadores do PMS</v>
      </c>
      <c r="E531" s="0" t="str">
        <f aca="false">IFERROR(INDEX(Visitas!$C$2:$C$401,MATCH(A531,Visitas!$A$2:$A$401,0)),"")</f>
        <v>2026</v>
      </c>
      <c r="F531" s="0" t="str">
        <f aca="false">IFERROR(INDEX(Itens!$B$2:$B$100,MATCH(C531,Itens!$A$2:$A$100,0)),"")</f>
        <v>III</v>
      </c>
      <c r="G531" s="13" t="n">
        <v>2</v>
      </c>
      <c r="H531" s="13" t="n">
        <v>0</v>
      </c>
    </row>
    <row r="532" customFormat="false" ht="15" hidden="false" customHeight="false" outlineLevel="0" collapsed="false">
      <c r="A532" s="13" t="n">
        <v>38</v>
      </c>
      <c r="B532" s="0" t="str">
        <f aca="false">IFERROR(INDEX(Visitas!$B$2:$B$401,MATCH(A532,Visitas!$A$2:$A$401,0)),"")</f>
        <v>UBS Cariobinha</v>
      </c>
      <c r="C532" s="13" t="s">
        <v>109</v>
      </c>
      <c r="D532" s="0" t="str">
        <f aca="false">IFERROR(INDEX(Itens!$C$2:$C$100,MATCH(C532,Itens!$A$2:$A$100,0)),"")</f>
        <v>Registro de reclamações na Ouvidoria do COMSAUDE</v>
      </c>
      <c r="E532" s="0" t="str">
        <f aca="false">IFERROR(INDEX(Visitas!$C$2:$C$401,MATCH(A532,Visitas!$A$2:$A$401,0)),"")</f>
        <v>2026</v>
      </c>
      <c r="F532" s="0" t="str">
        <f aca="false">IFERROR(INDEX(Itens!$B$2:$B$100,MATCH(C532,Itens!$A$2:$A$100,0)),"")</f>
        <v>IV</v>
      </c>
      <c r="G532" s="13" t="n">
        <v>2</v>
      </c>
      <c r="H532" s="13" t="n">
        <v>0</v>
      </c>
    </row>
    <row r="533" customFormat="false" ht="15" hidden="false" customHeight="false" outlineLevel="0" collapsed="false">
      <c r="A533" s="13" t="n">
        <v>38</v>
      </c>
      <c r="B533" s="0" t="str">
        <f aca="false">IFERROR(INDEX(Visitas!$B$2:$B$401,MATCH(A533,Visitas!$A$2:$A$401,0)),"")</f>
        <v>UBS Cariobinha</v>
      </c>
      <c r="C533" s="13" t="s">
        <v>113</v>
      </c>
      <c r="D533" s="0" t="str">
        <f aca="false">IFERROR(INDEX(Itens!$C$2:$C$100,MATCH(C533,Itens!$A$2:$A$100,0)),"")</f>
        <v>Satisfação dos usuários</v>
      </c>
      <c r="E533" s="0" t="str">
        <f aca="false">IFERROR(INDEX(Visitas!$C$2:$C$401,MATCH(A533,Visitas!$A$2:$A$401,0)),"")</f>
        <v>2026</v>
      </c>
      <c r="F533" s="0" t="str">
        <f aca="false">IFERROR(INDEX(Itens!$B$2:$B$100,MATCH(C533,Itens!$A$2:$A$100,0)),"")</f>
        <v>IV</v>
      </c>
      <c r="G533" s="13" t="n">
        <v>2</v>
      </c>
      <c r="H533" s="13" t="n">
        <v>0</v>
      </c>
    </row>
    <row r="534" customFormat="false" ht="15" hidden="false" customHeight="false" outlineLevel="0" collapsed="false">
      <c r="A534" s="13" t="n">
        <v>39</v>
      </c>
      <c r="B534" s="0" t="str">
        <f aca="false">IFERROR(INDEX(Visitas!$B$2:$B$401,MATCH(A534,Visitas!$A$2:$A$401,0)),"")</f>
        <v>SAE/DST</v>
      </c>
      <c r="C534" s="13" t="s">
        <v>65</v>
      </c>
      <c r="D534" s="0" t="str">
        <f aca="false">IFERROR(INDEX(Itens!$C$2:$C$100,MATCH(C534,Itens!$A$2:$A$100,0)),"")</f>
        <v>Infraestrutura civil</v>
      </c>
      <c r="E534" s="0" t="str">
        <f aca="false">IFERROR(INDEX(Visitas!$C$2:$C$401,MATCH(A534,Visitas!$A$2:$A$401,0)),"")</f>
        <v>2026</v>
      </c>
      <c r="F534" s="0" t="str">
        <f aca="false">IFERROR(INDEX(Itens!$B$2:$B$100,MATCH(C534,Itens!$A$2:$A$100,0)),"")</f>
        <v>I</v>
      </c>
      <c r="G534" s="13" t="n">
        <v>1</v>
      </c>
      <c r="H534" s="13" t="n">
        <v>0</v>
      </c>
    </row>
    <row r="535" customFormat="false" ht="15" hidden="false" customHeight="false" outlineLevel="0" collapsed="false">
      <c r="A535" s="13" t="n">
        <v>39</v>
      </c>
      <c r="B535" s="0" t="str">
        <f aca="false">IFERROR(INDEX(Visitas!$B$2:$B$401,MATCH(A535,Visitas!$A$2:$A$401,0)),"")</f>
        <v>SAE/DST</v>
      </c>
      <c r="C535" s="13" t="s">
        <v>70</v>
      </c>
      <c r="D535" s="0" t="str">
        <f aca="false">IFERROR(INDEX(Itens!$C$2:$C$100,MATCH(C535,Itens!$A$2:$A$100,0)),"")</f>
        <v>Infraestrutura elétrica</v>
      </c>
      <c r="E535" s="0" t="str">
        <f aca="false">IFERROR(INDEX(Visitas!$C$2:$C$401,MATCH(A535,Visitas!$A$2:$A$401,0)),"")</f>
        <v>2026</v>
      </c>
      <c r="F535" s="0" t="str">
        <f aca="false">IFERROR(INDEX(Itens!$B$2:$B$100,MATCH(C535,Itens!$A$2:$A$100,0)),"")</f>
        <v>I</v>
      </c>
      <c r="G535" s="13" t="n">
        <v>2</v>
      </c>
      <c r="H535" s="13" t="n">
        <v>0</v>
      </c>
    </row>
    <row r="536" customFormat="false" ht="15" hidden="false" customHeight="false" outlineLevel="0" collapsed="false">
      <c r="A536" s="13" t="n">
        <v>39</v>
      </c>
      <c r="B536" s="0" t="str">
        <f aca="false">IFERROR(INDEX(Visitas!$B$2:$B$401,MATCH(A536,Visitas!$A$2:$A$401,0)),"")</f>
        <v>SAE/DST</v>
      </c>
      <c r="C536" s="13" t="s">
        <v>73</v>
      </c>
      <c r="D536" s="0" t="str">
        <f aca="false">IFERROR(INDEX(Itens!$C$2:$C$100,MATCH(C536,Itens!$A$2:$A$100,0)),"")</f>
        <v>Infraestrutura hidráulica</v>
      </c>
      <c r="E536" s="0" t="str">
        <f aca="false">IFERROR(INDEX(Visitas!$C$2:$C$401,MATCH(A536,Visitas!$A$2:$A$401,0)),"")</f>
        <v>2026</v>
      </c>
      <c r="F536" s="0" t="str">
        <f aca="false">IFERROR(INDEX(Itens!$B$2:$B$100,MATCH(C536,Itens!$A$2:$A$100,0)),"")</f>
        <v>I</v>
      </c>
      <c r="G536" s="13" t="n">
        <v>1</v>
      </c>
      <c r="H536" s="13" t="n">
        <v>0</v>
      </c>
    </row>
    <row r="537" customFormat="false" ht="15" hidden="false" customHeight="false" outlineLevel="0" collapsed="false">
      <c r="A537" s="13" t="n">
        <v>39</v>
      </c>
      <c r="B537" s="0" t="str">
        <f aca="false">IFERROR(INDEX(Visitas!$B$2:$B$401,MATCH(A537,Visitas!$A$2:$A$401,0)),"")</f>
        <v>SAE/DST</v>
      </c>
      <c r="C537" s="13" t="s">
        <v>76</v>
      </c>
      <c r="D537" s="0" t="str">
        <f aca="false">IFERROR(INDEX(Itens!$C$2:$C$100,MATCH(C537,Itens!$A$2:$A$100,0)),"")</f>
        <v>Infraestrutura de comunicação</v>
      </c>
      <c r="E537" s="0" t="str">
        <f aca="false">IFERROR(INDEX(Visitas!$C$2:$C$401,MATCH(A537,Visitas!$A$2:$A$401,0)),"")</f>
        <v>2026</v>
      </c>
      <c r="F537" s="0" t="str">
        <f aca="false">IFERROR(INDEX(Itens!$B$2:$B$100,MATCH(C537,Itens!$A$2:$A$100,0)),"")</f>
        <v>I</v>
      </c>
      <c r="G537" s="13" t="n">
        <v>2</v>
      </c>
      <c r="H537" s="13" t="n">
        <v>0</v>
      </c>
    </row>
    <row r="538" customFormat="false" ht="15" hidden="false" customHeight="false" outlineLevel="0" collapsed="false">
      <c r="A538" s="13" t="n">
        <v>39</v>
      </c>
      <c r="B538" s="0" t="str">
        <f aca="false">IFERROR(INDEX(Visitas!$B$2:$B$401,MATCH(A538,Visitas!$A$2:$A$401,0)),"")</f>
        <v>SAE/DST</v>
      </c>
      <c r="C538" s="13" t="s">
        <v>79</v>
      </c>
      <c r="D538" s="0" t="str">
        <f aca="false">IFERROR(INDEX(Itens!$C$2:$C$100,MATCH(C538,Itens!$A$2:$A$100,0)),"")</f>
        <v>Equipamentos</v>
      </c>
      <c r="E538" s="0" t="str">
        <f aca="false">IFERROR(INDEX(Visitas!$C$2:$C$401,MATCH(A538,Visitas!$A$2:$A$401,0)),"")</f>
        <v>2026</v>
      </c>
      <c r="F538" s="0" t="str">
        <f aca="false">IFERROR(INDEX(Itens!$B$2:$B$100,MATCH(C538,Itens!$A$2:$A$100,0)),"")</f>
        <v>I</v>
      </c>
      <c r="G538" s="13" t="n">
        <v>2</v>
      </c>
      <c r="H538" s="13" t="n">
        <v>0</v>
      </c>
    </row>
    <row r="539" customFormat="false" ht="15" hidden="false" customHeight="false" outlineLevel="0" collapsed="false">
      <c r="A539" s="13" t="n">
        <v>39</v>
      </c>
      <c r="B539" s="0" t="str">
        <f aca="false">IFERROR(INDEX(Visitas!$B$2:$B$401,MATCH(A539,Visitas!$A$2:$A$401,0)),"")</f>
        <v>SAE/DST</v>
      </c>
      <c r="C539" s="13" t="s">
        <v>82</v>
      </c>
      <c r="D539" s="0" t="str">
        <f aca="false">IFERROR(INDEX(Itens!$C$2:$C$100,MATCH(C539,Itens!$A$2:$A$100,0)),"")</f>
        <v>Materiais, medicamentos e insumos</v>
      </c>
      <c r="E539" s="0" t="str">
        <f aca="false">IFERROR(INDEX(Visitas!$C$2:$C$401,MATCH(A539,Visitas!$A$2:$A$401,0)),"")</f>
        <v>2026</v>
      </c>
      <c r="F539" s="0" t="str">
        <f aca="false">IFERROR(INDEX(Itens!$B$2:$B$100,MATCH(C539,Itens!$A$2:$A$100,0)),"")</f>
        <v>I</v>
      </c>
      <c r="G539" s="13" t="n">
        <v>2</v>
      </c>
      <c r="H539" s="13" t="n">
        <v>0</v>
      </c>
    </row>
    <row r="540" customFormat="false" ht="15" hidden="false" customHeight="false" outlineLevel="0" collapsed="false">
      <c r="A540" s="13" t="n">
        <v>39</v>
      </c>
      <c r="B540" s="0" t="str">
        <f aca="false">IFERROR(INDEX(Visitas!$B$2:$B$401,MATCH(A540,Visitas!$A$2:$A$401,0)),"")</f>
        <v>SAE/DST</v>
      </c>
      <c r="C540" s="13" t="s">
        <v>85</v>
      </c>
      <c r="D540" s="0" t="str">
        <f aca="false">IFERROR(INDEX(Itens!$C$2:$C$100,MATCH(C540,Itens!$A$2:$A$100,0)),"")</f>
        <v>Conforto, limpeza e organização</v>
      </c>
      <c r="E540" s="0" t="str">
        <f aca="false">IFERROR(INDEX(Visitas!$C$2:$C$401,MATCH(A540,Visitas!$A$2:$A$401,0)),"")</f>
        <v>2026</v>
      </c>
      <c r="F540" s="0" t="str">
        <f aca="false">IFERROR(INDEX(Itens!$B$2:$B$100,MATCH(C540,Itens!$A$2:$A$100,0)),"")</f>
        <v>I</v>
      </c>
      <c r="G540" s="13" t="n">
        <v>1</v>
      </c>
      <c r="H540" s="13" t="n">
        <v>0</v>
      </c>
    </row>
    <row r="541" customFormat="false" ht="15" hidden="false" customHeight="false" outlineLevel="0" collapsed="false">
      <c r="A541" s="13" t="n">
        <v>39</v>
      </c>
      <c r="B541" s="0" t="str">
        <f aca="false">IFERROR(INDEX(Visitas!$B$2:$B$401,MATCH(A541,Visitas!$A$2:$A$401,0)),"")</f>
        <v>SAE/DST</v>
      </c>
      <c r="C541" s="13" t="s">
        <v>88</v>
      </c>
      <c r="D541" s="0" t="str">
        <f aca="false">IFERROR(INDEX(Itens!$C$2:$C$100,MATCH(C541,Itens!$A$2:$A$100,0)),"")</f>
        <v>Utilização de indicadores de gestão</v>
      </c>
      <c r="E541" s="0" t="str">
        <f aca="false">IFERROR(INDEX(Visitas!$C$2:$C$401,MATCH(A541,Visitas!$A$2:$A$401,0)),"")</f>
        <v>2026</v>
      </c>
      <c r="F541" s="0" t="str">
        <f aca="false">IFERROR(INDEX(Itens!$B$2:$B$100,MATCH(C541,Itens!$A$2:$A$100,0)),"")</f>
        <v>II</v>
      </c>
      <c r="G541" s="13" t="n">
        <v>2</v>
      </c>
      <c r="H541" s="13" t="n">
        <v>0</v>
      </c>
    </row>
    <row r="542" customFormat="false" ht="15" hidden="false" customHeight="false" outlineLevel="0" collapsed="false">
      <c r="A542" s="13" t="n">
        <v>39</v>
      </c>
      <c r="B542" s="0" t="str">
        <f aca="false">IFERROR(INDEX(Visitas!$B$2:$B$401,MATCH(A542,Visitas!$A$2:$A$401,0)),"")</f>
        <v>SAE/DST</v>
      </c>
      <c r="C542" s="13" t="s">
        <v>92</v>
      </c>
      <c r="D542" s="0" t="str">
        <f aca="false">IFERROR(INDEX(Itens!$C$2:$C$100,MATCH(C542,Itens!$A$2:$A$100,0)),"")</f>
        <v>Dimensionamento de equipe</v>
      </c>
      <c r="E542" s="0" t="str">
        <f aca="false">IFERROR(INDEX(Visitas!$C$2:$C$401,MATCH(A542,Visitas!$A$2:$A$401,0)),"")</f>
        <v>2026</v>
      </c>
      <c r="F542" s="0" t="str">
        <f aca="false">IFERROR(INDEX(Itens!$B$2:$B$100,MATCH(C542,Itens!$A$2:$A$100,0)),"")</f>
        <v>II</v>
      </c>
      <c r="G542" s="13" t="n">
        <v>2</v>
      </c>
      <c r="H542" s="13" t="n">
        <v>0</v>
      </c>
    </row>
    <row r="543" customFormat="false" ht="15" hidden="false" customHeight="false" outlineLevel="0" collapsed="false">
      <c r="A543" s="13" t="n">
        <v>39</v>
      </c>
      <c r="B543" s="0" t="str">
        <f aca="false">IFERROR(INDEX(Visitas!$B$2:$B$401,MATCH(A543,Visitas!$A$2:$A$401,0)),"")</f>
        <v>SAE/DST</v>
      </c>
      <c r="C543" s="13" t="s">
        <v>96</v>
      </c>
      <c r="D543" s="0" t="str">
        <f aca="false">IFERROR(INDEX(Itens!$C$2:$C$100,MATCH(C543,Itens!$A$2:$A$100,0)),"")</f>
        <v>Execução do cronograma de capacitação da equipe de trabalho</v>
      </c>
      <c r="E543" s="0" t="str">
        <f aca="false">IFERROR(INDEX(Visitas!$C$2:$C$401,MATCH(A543,Visitas!$A$2:$A$401,0)),"")</f>
        <v>2026</v>
      </c>
      <c r="F543" s="0" t="str">
        <f aca="false">IFERROR(INDEX(Itens!$B$2:$B$100,MATCH(C543,Itens!$A$2:$A$100,0)),"")</f>
        <v>II</v>
      </c>
      <c r="G543" s="13" t="n">
        <v>2</v>
      </c>
      <c r="H543" s="13" t="n">
        <v>0</v>
      </c>
    </row>
    <row r="544" customFormat="false" ht="15" hidden="false" customHeight="false" outlineLevel="0" collapsed="false">
      <c r="A544" s="13" t="n">
        <v>39</v>
      </c>
      <c r="B544" s="0" t="str">
        <f aca="false">IFERROR(INDEX(Visitas!$B$2:$B$401,MATCH(A544,Visitas!$A$2:$A$401,0)),"")</f>
        <v>SAE/DST</v>
      </c>
      <c r="C544" s="13" t="s">
        <v>100</v>
      </c>
      <c r="D544" s="0" t="str">
        <f aca="false">IFERROR(INDEX(Itens!$C$2:$C$100,MATCH(C544,Itens!$A$2:$A$100,0)),"")</f>
        <v>Disponibilidade de agendamento de consultas, exames e procedimentos</v>
      </c>
      <c r="E544" s="0" t="str">
        <f aca="false">IFERROR(INDEX(Visitas!$C$2:$C$401,MATCH(A544,Visitas!$A$2:$A$401,0)),"")</f>
        <v>2026</v>
      </c>
      <c r="F544" s="0" t="str">
        <f aca="false">IFERROR(INDEX(Itens!$B$2:$B$100,MATCH(C544,Itens!$A$2:$A$100,0)),"")</f>
        <v>II</v>
      </c>
      <c r="G544" s="13" t="n">
        <v>2</v>
      </c>
      <c r="H544" s="13" t="n">
        <v>0</v>
      </c>
    </row>
    <row r="545" customFormat="false" ht="15" hidden="false" customHeight="false" outlineLevel="0" collapsed="false">
      <c r="A545" s="13" t="n">
        <v>39</v>
      </c>
      <c r="B545" s="0" t="str">
        <f aca="false">IFERROR(INDEX(Visitas!$B$2:$B$401,MATCH(A545,Visitas!$A$2:$A$401,0)),"")</f>
        <v>SAE/DST</v>
      </c>
      <c r="C545" s="13" t="s">
        <v>104</v>
      </c>
      <c r="D545" s="0" t="str">
        <f aca="false">IFERROR(INDEX(Itens!$C$2:$C$100,MATCH(C545,Itens!$A$2:$A$100,0)),"")</f>
        <v>Atendimento aos indicadores do PMS</v>
      </c>
      <c r="E545" s="0" t="str">
        <f aca="false">IFERROR(INDEX(Visitas!$C$2:$C$401,MATCH(A545,Visitas!$A$2:$A$401,0)),"")</f>
        <v>2026</v>
      </c>
      <c r="F545" s="0" t="str">
        <f aca="false">IFERROR(INDEX(Itens!$B$2:$B$100,MATCH(C545,Itens!$A$2:$A$100,0)),"")</f>
        <v>III</v>
      </c>
      <c r="G545" s="13" t="n">
        <v>2</v>
      </c>
      <c r="H545" s="13" t="n">
        <v>0</v>
      </c>
    </row>
    <row r="546" customFormat="false" ht="15" hidden="false" customHeight="false" outlineLevel="0" collapsed="false">
      <c r="A546" s="13" t="n">
        <v>39</v>
      </c>
      <c r="B546" s="0" t="str">
        <f aca="false">IFERROR(INDEX(Visitas!$B$2:$B$401,MATCH(A546,Visitas!$A$2:$A$401,0)),"")</f>
        <v>SAE/DST</v>
      </c>
      <c r="C546" s="13" t="s">
        <v>109</v>
      </c>
      <c r="D546" s="0" t="str">
        <f aca="false">IFERROR(INDEX(Itens!$C$2:$C$100,MATCH(C546,Itens!$A$2:$A$100,0)),"")</f>
        <v>Registro de reclamações na Ouvidoria do COMSAUDE</v>
      </c>
      <c r="E546" s="0" t="str">
        <f aca="false">IFERROR(INDEX(Visitas!$C$2:$C$401,MATCH(A546,Visitas!$A$2:$A$401,0)),"")</f>
        <v>2026</v>
      </c>
      <c r="F546" s="0" t="str">
        <f aca="false">IFERROR(INDEX(Itens!$B$2:$B$100,MATCH(C546,Itens!$A$2:$A$100,0)),"")</f>
        <v>IV</v>
      </c>
      <c r="G546" s="13"/>
      <c r="H546" s="13" t="n">
        <v>1</v>
      </c>
    </row>
    <row r="547" customFormat="false" ht="15" hidden="false" customHeight="false" outlineLevel="0" collapsed="false">
      <c r="A547" s="13" t="n">
        <v>39</v>
      </c>
      <c r="B547" s="0" t="str">
        <f aca="false">IFERROR(INDEX(Visitas!$B$2:$B$401,MATCH(A547,Visitas!$A$2:$A$401,0)),"")</f>
        <v>SAE/DST</v>
      </c>
      <c r="C547" s="13" t="s">
        <v>113</v>
      </c>
      <c r="D547" s="0" t="str">
        <f aca="false">IFERROR(INDEX(Itens!$C$2:$C$100,MATCH(C547,Itens!$A$2:$A$100,0)),"")</f>
        <v>Satisfação dos usuários</v>
      </c>
      <c r="E547" s="0" t="str">
        <f aca="false">IFERROR(INDEX(Visitas!$C$2:$C$401,MATCH(A547,Visitas!$A$2:$A$401,0)),"")</f>
        <v>2026</v>
      </c>
      <c r="F547" s="0" t="str">
        <f aca="false">IFERROR(INDEX(Itens!$B$2:$B$100,MATCH(C547,Itens!$A$2:$A$100,0)),"")</f>
        <v>IV</v>
      </c>
      <c r="G547" s="13"/>
      <c r="H547" s="13" t="n">
        <v>1</v>
      </c>
    </row>
    <row r="548" customFormat="false" ht="15" hidden="false" customHeight="false" outlineLevel="0" collapsed="false">
      <c r="A548" s="13" t="n">
        <v>40</v>
      </c>
      <c r="B548" s="0" t="str">
        <f aca="false">IFERROR(INDEX(Visitas!$B$2:$B$401,MATCH(A548,Visitas!$A$2:$A$401,0)),"")</f>
        <v>UBS Vila Gallo</v>
      </c>
      <c r="C548" s="13" t="s">
        <v>65</v>
      </c>
      <c r="D548" s="0" t="str">
        <f aca="false">IFERROR(INDEX(Itens!$C$2:$C$100,MATCH(C548,Itens!$A$2:$A$100,0)),"")</f>
        <v>Infraestrutura civil</v>
      </c>
      <c r="E548" s="0" t="str">
        <f aca="false">IFERROR(INDEX(Visitas!$C$2:$C$401,MATCH(A548,Visitas!$A$2:$A$401,0)),"")</f>
        <v>2026</v>
      </c>
      <c r="F548" s="0" t="str">
        <f aca="false">IFERROR(INDEX(Itens!$B$2:$B$100,MATCH(C548,Itens!$A$2:$A$100,0)),"")</f>
        <v>I</v>
      </c>
      <c r="G548" s="13" t="n">
        <v>1</v>
      </c>
      <c r="H548" s="13" t="n">
        <v>0</v>
      </c>
    </row>
    <row r="549" customFormat="false" ht="15" hidden="false" customHeight="false" outlineLevel="0" collapsed="false">
      <c r="A549" s="13" t="n">
        <v>40</v>
      </c>
      <c r="B549" s="0" t="str">
        <f aca="false">IFERROR(INDEX(Visitas!$B$2:$B$401,MATCH(A549,Visitas!$A$2:$A$401,0)),"")</f>
        <v>UBS Vila Gallo</v>
      </c>
      <c r="C549" s="13" t="s">
        <v>70</v>
      </c>
      <c r="D549" s="0" t="str">
        <f aca="false">IFERROR(INDEX(Itens!$C$2:$C$100,MATCH(C549,Itens!$A$2:$A$100,0)),"")</f>
        <v>Infraestrutura elétrica</v>
      </c>
      <c r="E549" s="0" t="str">
        <f aca="false">IFERROR(INDEX(Visitas!$C$2:$C$401,MATCH(A549,Visitas!$A$2:$A$401,0)),"")</f>
        <v>2026</v>
      </c>
      <c r="F549" s="0" t="str">
        <f aca="false">IFERROR(INDEX(Itens!$B$2:$B$100,MATCH(C549,Itens!$A$2:$A$100,0)),"")</f>
        <v>I</v>
      </c>
      <c r="G549" s="13" t="n">
        <v>1</v>
      </c>
      <c r="H549" s="13" t="n">
        <v>0</v>
      </c>
    </row>
    <row r="550" customFormat="false" ht="15" hidden="false" customHeight="false" outlineLevel="0" collapsed="false">
      <c r="A550" s="13" t="n">
        <v>40</v>
      </c>
      <c r="B550" s="0" t="str">
        <f aca="false">IFERROR(INDEX(Visitas!$B$2:$B$401,MATCH(A550,Visitas!$A$2:$A$401,0)),"")</f>
        <v>UBS Vila Gallo</v>
      </c>
      <c r="C550" s="13" t="s">
        <v>73</v>
      </c>
      <c r="D550" s="0" t="str">
        <f aca="false">IFERROR(INDEX(Itens!$C$2:$C$100,MATCH(C550,Itens!$A$2:$A$100,0)),"")</f>
        <v>Infraestrutura hidráulica</v>
      </c>
      <c r="E550" s="0" t="str">
        <f aca="false">IFERROR(INDEX(Visitas!$C$2:$C$401,MATCH(A550,Visitas!$A$2:$A$401,0)),"")</f>
        <v>2026</v>
      </c>
      <c r="F550" s="0" t="str">
        <f aca="false">IFERROR(INDEX(Itens!$B$2:$B$100,MATCH(C550,Itens!$A$2:$A$100,0)),"")</f>
        <v>I</v>
      </c>
      <c r="G550" s="13" t="n">
        <v>2</v>
      </c>
      <c r="H550" s="13" t="n">
        <v>0</v>
      </c>
    </row>
    <row r="551" customFormat="false" ht="15" hidden="false" customHeight="false" outlineLevel="0" collapsed="false">
      <c r="A551" s="13" t="n">
        <v>40</v>
      </c>
      <c r="B551" s="0" t="str">
        <f aca="false">IFERROR(INDEX(Visitas!$B$2:$B$401,MATCH(A551,Visitas!$A$2:$A$401,0)),"")</f>
        <v>UBS Vila Gallo</v>
      </c>
      <c r="C551" s="13" t="s">
        <v>76</v>
      </c>
      <c r="D551" s="0" t="str">
        <f aca="false">IFERROR(INDEX(Itens!$C$2:$C$100,MATCH(C551,Itens!$A$2:$A$100,0)),"")</f>
        <v>Infraestrutura de comunicação</v>
      </c>
      <c r="E551" s="0" t="str">
        <f aca="false">IFERROR(INDEX(Visitas!$C$2:$C$401,MATCH(A551,Visitas!$A$2:$A$401,0)),"")</f>
        <v>2026</v>
      </c>
      <c r="F551" s="0" t="str">
        <f aca="false">IFERROR(INDEX(Itens!$B$2:$B$100,MATCH(C551,Itens!$A$2:$A$100,0)),"")</f>
        <v>I</v>
      </c>
      <c r="G551" s="13" t="n">
        <v>2</v>
      </c>
      <c r="H551" s="13" t="n">
        <v>0</v>
      </c>
    </row>
    <row r="552" customFormat="false" ht="15" hidden="false" customHeight="false" outlineLevel="0" collapsed="false">
      <c r="A552" s="13" t="n">
        <v>40</v>
      </c>
      <c r="B552" s="0" t="str">
        <f aca="false">IFERROR(INDEX(Visitas!$B$2:$B$401,MATCH(A552,Visitas!$A$2:$A$401,0)),"")</f>
        <v>UBS Vila Gallo</v>
      </c>
      <c r="C552" s="13" t="s">
        <v>79</v>
      </c>
      <c r="D552" s="0" t="str">
        <f aca="false">IFERROR(INDEX(Itens!$C$2:$C$100,MATCH(C552,Itens!$A$2:$A$100,0)),"")</f>
        <v>Equipamentos</v>
      </c>
      <c r="E552" s="0" t="str">
        <f aca="false">IFERROR(INDEX(Visitas!$C$2:$C$401,MATCH(A552,Visitas!$A$2:$A$401,0)),"")</f>
        <v>2026</v>
      </c>
      <c r="F552" s="0" t="str">
        <f aca="false">IFERROR(INDEX(Itens!$B$2:$B$100,MATCH(C552,Itens!$A$2:$A$100,0)),"")</f>
        <v>I</v>
      </c>
      <c r="G552" s="13" t="n">
        <v>2</v>
      </c>
      <c r="H552" s="13" t="n">
        <v>0</v>
      </c>
    </row>
    <row r="553" customFormat="false" ht="15" hidden="false" customHeight="false" outlineLevel="0" collapsed="false">
      <c r="A553" s="13" t="n">
        <v>40</v>
      </c>
      <c r="B553" s="0" t="str">
        <f aca="false">IFERROR(INDEX(Visitas!$B$2:$B$401,MATCH(A553,Visitas!$A$2:$A$401,0)),"")</f>
        <v>UBS Vila Gallo</v>
      </c>
      <c r="C553" s="13" t="s">
        <v>82</v>
      </c>
      <c r="D553" s="0" t="str">
        <f aca="false">IFERROR(INDEX(Itens!$C$2:$C$100,MATCH(C553,Itens!$A$2:$A$100,0)),"")</f>
        <v>Materiais, medicamentos e insumos</v>
      </c>
      <c r="E553" s="0" t="str">
        <f aca="false">IFERROR(INDEX(Visitas!$C$2:$C$401,MATCH(A553,Visitas!$A$2:$A$401,0)),"")</f>
        <v>2026</v>
      </c>
      <c r="F553" s="0" t="str">
        <f aca="false">IFERROR(INDEX(Itens!$B$2:$B$100,MATCH(C553,Itens!$A$2:$A$100,0)),"")</f>
        <v>I</v>
      </c>
      <c r="G553" s="13" t="n">
        <v>2</v>
      </c>
      <c r="H553" s="13" t="n">
        <v>0</v>
      </c>
    </row>
    <row r="554" customFormat="false" ht="15" hidden="false" customHeight="false" outlineLevel="0" collapsed="false">
      <c r="A554" s="13" t="n">
        <v>40</v>
      </c>
      <c r="B554" s="0" t="str">
        <f aca="false">IFERROR(INDEX(Visitas!$B$2:$B$401,MATCH(A554,Visitas!$A$2:$A$401,0)),"")</f>
        <v>UBS Vila Gallo</v>
      </c>
      <c r="C554" s="13" t="s">
        <v>85</v>
      </c>
      <c r="D554" s="0" t="str">
        <f aca="false">IFERROR(INDEX(Itens!$C$2:$C$100,MATCH(C554,Itens!$A$2:$A$100,0)),"")</f>
        <v>Conforto, limpeza e organização</v>
      </c>
      <c r="E554" s="0" t="str">
        <f aca="false">IFERROR(INDEX(Visitas!$C$2:$C$401,MATCH(A554,Visitas!$A$2:$A$401,0)),"")</f>
        <v>2026</v>
      </c>
      <c r="F554" s="0" t="str">
        <f aca="false">IFERROR(INDEX(Itens!$B$2:$B$100,MATCH(C554,Itens!$A$2:$A$100,0)),"")</f>
        <v>I</v>
      </c>
      <c r="G554" s="13" t="n">
        <v>2</v>
      </c>
      <c r="H554" s="13" t="n">
        <v>0</v>
      </c>
    </row>
    <row r="555" customFormat="false" ht="15" hidden="false" customHeight="false" outlineLevel="0" collapsed="false">
      <c r="A555" s="13" t="n">
        <v>40</v>
      </c>
      <c r="B555" s="0" t="str">
        <f aca="false">IFERROR(INDEX(Visitas!$B$2:$B$401,MATCH(A555,Visitas!$A$2:$A$401,0)),"")</f>
        <v>UBS Vila Gallo</v>
      </c>
      <c r="C555" s="13" t="s">
        <v>88</v>
      </c>
      <c r="D555" s="0" t="str">
        <f aca="false">IFERROR(INDEX(Itens!$C$2:$C$100,MATCH(C555,Itens!$A$2:$A$100,0)),"")</f>
        <v>Utilização de indicadores de gestão</v>
      </c>
      <c r="E555" s="0" t="str">
        <f aca="false">IFERROR(INDEX(Visitas!$C$2:$C$401,MATCH(A555,Visitas!$A$2:$A$401,0)),"")</f>
        <v>2026</v>
      </c>
      <c r="F555" s="0" t="str">
        <f aca="false">IFERROR(INDEX(Itens!$B$2:$B$100,MATCH(C555,Itens!$A$2:$A$100,0)),"")</f>
        <v>II</v>
      </c>
      <c r="G555" s="13" t="n">
        <v>2</v>
      </c>
      <c r="H555" s="13" t="n">
        <v>0</v>
      </c>
    </row>
    <row r="556" customFormat="false" ht="15" hidden="false" customHeight="false" outlineLevel="0" collapsed="false">
      <c r="A556" s="13" t="n">
        <v>40</v>
      </c>
      <c r="B556" s="0" t="str">
        <f aca="false">IFERROR(INDEX(Visitas!$B$2:$B$401,MATCH(A556,Visitas!$A$2:$A$401,0)),"")</f>
        <v>UBS Vila Gallo</v>
      </c>
      <c r="C556" s="13" t="s">
        <v>92</v>
      </c>
      <c r="D556" s="0" t="str">
        <f aca="false">IFERROR(INDEX(Itens!$C$2:$C$100,MATCH(C556,Itens!$A$2:$A$100,0)),"")</f>
        <v>Dimensionamento de equipe</v>
      </c>
      <c r="E556" s="0" t="str">
        <f aca="false">IFERROR(INDEX(Visitas!$C$2:$C$401,MATCH(A556,Visitas!$A$2:$A$401,0)),"")</f>
        <v>2026</v>
      </c>
      <c r="F556" s="0" t="str">
        <f aca="false">IFERROR(INDEX(Itens!$B$2:$B$100,MATCH(C556,Itens!$A$2:$A$100,0)),"")</f>
        <v>II</v>
      </c>
      <c r="G556" s="13" t="n">
        <v>2</v>
      </c>
      <c r="H556" s="13" t="n">
        <v>0</v>
      </c>
    </row>
    <row r="557" customFormat="false" ht="15" hidden="false" customHeight="false" outlineLevel="0" collapsed="false">
      <c r="A557" s="13" t="n">
        <v>40</v>
      </c>
      <c r="B557" s="0" t="str">
        <f aca="false">IFERROR(INDEX(Visitas!$B$2:$B$401,MATCH(A557,Visitas!$A$2:$A$401,0)),"")</f>
        <v>UBS Vila Gallo</v>
      </c>
      <c r="C557" s="13" t="s">
        <v>96</v>
      </c>
      <c r="D557" s="0" t="str">
        <f aca="false">IFERROR(INDEX(Itens!$C$2:$C$100,MATCH(C557,Itens!$A$2:$A$100,0)),"")</f>
        <v>Execução do cronograma de capacitação da equipe de trabalho</v>
      </c>
      <c r="E557" s="0" t="str">
        <f aca="false">IFERROR(INDEX(Visitas!$C$2:$C$401,MATCH(A557,Visitas!$A$2:$A$401,0)),"")</f>
        <v>2026</v>
      </c>
      <c r="F557" s="0" t="str">
        <f aca="false">IFERROR(INDEX(Itens!$B$2:$B$100,MATCH(C557,Itens!$A$2:$A$100,0)),"")</f>
        <v>II</v>
      </c>
      <c r="G557" s="13" t="n">
        <v>1</v>
      </c>
      <c r="H557" s="13" t="n">
        <v>0</v>
      </c>
    </row>
    <row r="558" customFormat="false" ht="15" hidden="false" customHeight="false" outlineLevel="0" collapsed="false">
      <c r="A558" s="13" t="n">
        <v>40</v>
      </c>
      <c r="B558" s="0" t="str">
        <f aca="false">IFERROR(INDEX(Visitas!$B$2:$B$401,MATCH(A558,Visitas!$A$2:$A$401,0)),"")</f>
        <v>UBS Vila Gallo</v>
      </c>
      <c r="C558" s="13" t="s">
        <v>100</v>
      </c>
      <c r="D558" s="0" t="str">
        <f aca="false">IFERROR(INDEX(Itens!$C$2:$C$100,MATCH(C558,Itens!$A$2:$A$100,0)),"")</f>
        <v>Disponibilidade de agendamento de consultas, exames e procedimentos</v>
      </c>
      <c r="E558" s="0" t="str">
        <f aca="false">IFERROR(INDEX(Visitas!$C$2:$C$401,MATCH(A558,Visitas!$A$2:$A$401,0)),"")</f>
        <v>2026</v>
      </c>
      <c r="F558" s="0" t="str">
        <f aca="false">IFERROR(INDEX(Itens!$B$2:$B$100,MATCH(C558,Itens!$A$2:$A$100,0)),"")</f>
        <v>II</v>
      </c>
      <c r="G558" s="13" t="n">
        <v>1</v>
      </c>
      <c r="H558" s="13" t="n">
        <v>0</v>
      </c>
    </row>
    <row r="559" customFormat="false" ht="15" hidden="false" customHeight="false" outlineLevel="0" collapsed="false">
      <c r="A559" s="13" t="n">
        <v>40</v>
      </c>
      <c r="B559" s="0" t="str">
        <f aca="false">IFERROR(INDEX(Visitas!$B$2:$B$401,MATCH(A559,Visitas!$A$2:$A$401,0)),"")</f>
        <v>UBS Vila Gallo</v>
      </c>
      <c r="C559" s="13" t="s">
        <v>104</v>
      </c>
      <c r="D559" s="0" t="str">
        <f aca="false">IFERROR(INDEX(Itens!$C$2:$C$100,MATCH(C559,Itens!$A$2:$A$100,0)),"")</f>
        <v>Atendimento aos indicadores do PMS</v>
      </c>
      <c r="E559" s="0" t="str">
        <f aca="false">IFERROR(INDEX(Visitas!$C$2:$C$401,MATCH(A559,Visitas!$A$2:$A$401,0)),"")</f>
        <v>2026</v>
      </c>
      <c r="F559" s="0" t="str">
        <f aca="false">IFERROR(INDEX(Itens!$B$2:$B$100,MATCH(C559,Itens!$A$2:$A$100,0)),"")</f>
        <v>III</v>
      </c>
      <c r="G559" s="13" t="n">
        <v>2</v>
      </c>
      <c r="H559" s="13" t="n">
        <v>0</v>
      </c>
    </row>
    <row r="560" customFormat="false" ht="15" hidden="false" customHeight="false" outlineLevel="0" collapsed="false">
      <c r="A560" s="13" t="n">
        <v>40</v>
      </c>
      <c r="B560" s="0" t="str">
        <f aca="false">IFERROR(INDEX(Visitas!$B$2:$B$401,MATCH(A560,Visitas!$A$2:$A$401,0)),"")</f>
        <v>UBS Vila Gallo</v>
      </c>
      <c r="C560" s="13" t="s">
        <v>109</v>
      </c>
      <c r="D560" s="0" t="str">
        <f aca="false">IFERROR(INDEX(Itens!$C$2:$C$100,MATCH(C560,Itens!$A$2:$A$100,0)),"")</f>
        <v>Registro de reclamações na Ouvidoria do COMSAUDE</v>
      </c>
      <c r="E560" s="0" t="str">
        <f aca="false">IFERROR(INDEX(Visitas!$C$2:$C$401,MATCH(A560,Visitas!$A$2:$A$401,0)),"")</f>
        <v>2026</v>
      </c>
      <c r="F560" s="0" t="str">
        <f aca="false">IFERROR(INDEX(Itens!$B$2:$B$100,MATCH(C560,Itens!$A$2:$A$100,0)),"")</f>
        <v>IV</v>
      </c>
      <c r="G560" s="13" t="n">
        <v>1</v>
      </c>
      <c r="H560" s="13" t="n">
        <v>0</v>
      </c>
    </row>
    <row r="561" customFormat="false" ht="15" hidden="false" customHeight="false" outlineLevel="0" collapsed="false">
      <c r="A561" s="13" t="n">
        <v>40</v>
      </c>
      <c r="B561" s="0" t="str">
        <f aca="false">IFERROR(INDEX(Visitas!$B$2:$B$401,MATCH(A561,Visitas!$A$2:$A$401,0)),"")</f>
        <v>UBS Vila Gallo</v>
      </c>
      <c r="C561" s="13" t="s">
        <v>113</v>
      </c>
      <c r="D561" s="0" t="str">
        <f aca="false">IFERROR(INDEX(Itens!$C$2:$C$100,MATCH(C561,Itens!$A$2:$A$100,0)),"")</f>
        <v>Satisfação dos usuários</v>
      </c>
      <c r="E561" s="0" t="str">
        <f aca="false">IFERROR(INDEX(Visitas!$C$2:$C$401,MATCH(A561,Visitas!$A$2:$A$401,0)),"")</f>
        <v>2026</v>
      </c>
      <c r="F561" s="0" t="str">
        <f aca="false">IFERROR(INDEX(Itens!$B$2:$B$100,MATCH(C561,Itens!$A$2:$A$100,0)),"")</f>
        <v>IV</v>
      </c>
      <c r="G561" s="13" t="n">
        <v>1</v>
      </c>
      <c r="H561" s="13" t="n">
        <v>0</v>
      </c>
    </row>
    <row r="562" customFormat="false" ht="15" hidden="false" customHeight="false" outlineLevel="0" collapsed="false">
      <c r="A562" s="13" t="n">
        <v>41</v>
      </c>
      <c r="B562" s="0" t="str">
        <f aca="false">IFERROR(INDEX(Visitas!$B$2:$B$401,MATCH(A562,Visitas!$A$2:$A$401,0)),"")</f>
        <v>CCZ - Centro de Controle de Zoonoses</v>
      </c>
      <c r="C562" s="13" t="s">
        <v>65</v>
      </c>
      <c r="D562" s="0" t="str">
        <f aca="false">IFERROR(INDEX(Itens!$C$2:$C$100,MATCH(C562,Itens!$A$2:$A$100,0)),"")</f>
        <v>Infraestrutura civil</v>
      </c>
      <c r="E562" s="0" t="str">
        <f aca="false">IFERROR(INDEX(Visitas!$C$2:$C$401,MATCH(A562,Visitas!$A$2:$A$401,0)),"")</f>
        <v>2026</v>
      </c>
      <c r="F562" s="0" t="str">
        <f aca="false">IFERROR(INDEX(Itens!$B$2:$B$100,MATCH(C562,Itens!$A$2:$A$100,0)),"")</f>
        <v>I</v>
      </c>
      <c r="G562" s="13" t="n">
        <v>1</v>
      </c>
      <c r="H562" s="13" t="n">
        <v>0</v>
      </c>
    </row>
    <row r="563" customFormat="false" ht="15" hidden="false" customHeight="false" outlineLevel="0" collapsed="false">
      <c r="A563" s="13" t="n">
        <v>41</v>
      </c>
      <c r="B563" s="0" t="str">
        <f aca="false">IFERROR(INDEX(Visitas!$B$2:$B$401,MATCH(A563,Visitas!$A$2:$A$401,0)),"")</f>
        <v>CCZ - Centro de Controle de Zoonoses</v>
      </c>
      <c r="C563" s="13" t="s">
        <v>70</v>
      </c>
      <c r="D563" s="0" t="str">
        <f aca="false">IFERROR(INDEX(Itens!$C$2:$C$100,MATCH(C563,Itens!$A$2:$A$100,0)),"")</f>
        <v>Infraestrutura elétrica</v>
      </c>
      <c r="E563" s="0" t="str">
        <f aca="false">IFERROR(INDEX(Visitas!$C$2:$C$401,MATCH(A563,Visitas!$A$2:$A$401,0)),"")</f>
        <v>2026</v>
      </c>
      <c r="F563" s="0" t="str">
        <f aca="false">IFERROR(INDEX(Itens!$B$2:$B$100,MATCH(C563,Itens!$A$2:$A$100,0)),"")</f>
        <v>I</v>
      </c>
      <c r="G563" s="13" t="n">
        <v>1</v>
      </c>
      <c r="H563" s="13" t="n">
        <v>0</v>
      </c>
    </row>
    <row r="564" customFormat="false" ht="15" hidden="false" customHeight="false" outlineLevel="0" collapsed="false">
      <c r="A564" s="13" t="n">
        <v>41</v>
      </c>
      <c r="B564" s="0" t="str">
        <f aca="false">IFERROR(INDEX(Visitas!$B$2:$B$401,MATCH(A564,Visitas!$A$2:$A$401,0)),"")</f>
        <v>CCZ - Centro de Controle de Zoonoses</v>
      </c>
      <c r="C564" s="13" t="s">
        <v>73</v>
      </c>
      <c r="D564" s="0" t="str">
        <f aca="false">IFERROR(INDEX(Itens!$C$2:$C$100,MATCH(C564,Itens!$A$2:$A$100,0)),"")</f>
        <v>Infraestrutura hidráulica</v>
      </c>
      <c r="E564" s="0" t="str">
        <f aca="false">IFERROR(INDEX(Visitas!$C$2:$C$401,MATCH(A564,Visitas!$A$2:$A$401,0)),"")</f>
        <v>2026</v>
      </c>
      <c r="F564" s="0" t="str">
        <f aca="false">IFERROR(INDEX(Itens!$B$2:$B$100,MATCH(C564,Itens!$A$2:$A$100,0)),"")</f>
        <v>I</v>
      </c>
      <c r="G564" s="13" t="n">
        <v>1</v>
      </c>
      <c r="H564" s="13" t="n">
        <v>0</v>
      </c>
    </row>
    <row r="565" customFormat="false" ht="15" hidden="false" customHeight="false" outlineLevel="0" collapsed="false">
      <c r="A565" s="13" t="n">
        <v>41</v>
      </c>
      <c r="B565" s="0" t="str">
        <f aca="false">IFERROR(INDEX(Visitas!$B$2:$B$401,MATCH(A565,Visitas!$A$2:$A$401,0)),"")</f>
        <v>CCZ - Centro de Controle de Zoonoses</v>
      </c>
      <c r="C565" s="13" t="s">
        <v>76</v>
      </c>
      <c r="D565" s="0" t="str">
        <f aca="false">IFERROR(INDEX(Itens!$C$2:$C$100,MATCH(C565,Itens!$A$2:$A$100,0)),"")</f>
        <v>Infraestrutura de comunicação</v>
      </c>
      <c r="E565" s="0" t="str">
        <f aca="false">IFERROR(INDEX(Visitas!$C$2:$C$401,MATCH(A565,Visitas!$A$2:$A$401,0)),"")</f>
        <v>2026</v>
      </c>
      <c r="F565" s="0" t="str">
        <f aca="false">IFERROR(INDEX(Itens!$B$2:$B$100,MATCH(C565,Itens!$A$2:$A$100,0)),"")</f>
        <v>I</v>
      </c>
      <c r="G565" s="13" t="n">
        <v>1</v>
      </c>
      <c r="H565" s="13" t="n">
        <v>0</v>
      </c>
    </row>
    <row r="566" customFormat="false" ht="15" hidden="false" customHeight="false" outlineLevel="0" collapsed="false">
      <c r="A566" s="13" t="n">
        <v>41</v>
      </c>
      <c r="B566" s="0" t="str">
        <f aca="false">IFERROR(INDEX(Visitas!$B$2:$B$401,MATCH(A566,Visitas!$A$2:$A$401,0)),"")</f>
        <v>CCZ - Centro de Controle de Zoonoses</v>
      </c>
      <c r="C566" s="13" t="s">
        <v>79</v>
      </c>
      <c r="D566" s="0" t="str">
        <f aca="false">IFERROR(INDEX(Itens!$C$2:$C$100,MATCH(C566,Itens!$A$2:$A$100,0)),"")</f>
        <v>Equipamentos</v>
      </c>
      <c r="E566" s="0" t="str">
        <f aca="false">IFERROR(INDEX(Visitas!$C$2:$C$401,MATCH(A566,Visitas!$A$2:$A$401,0)),"")</f>
        <v>2026</v>
      </c>
      <c r="F566" s="0" t="str">
        <f aca="false">IFERROR(INDEX(Itens!$B$2:$B$100,MATCH(C566,Itens!$A$2:$A$100,0)),"")</f>
        <v>I</v>
      </c>
      <c r="G566" s="13" t="n">
        <v>1</v>
      </c>
      <c r="H566" s="13" t="n">
        <v>0</v>
      </c>
    </row>
    <row r="567" customFormat="false" ht="15" hidden="false" customHeight="false" outlineLevel="0" collapsed="false">
      <c r="A567" s="13" t="n">
        <v>41</v>
      </c>
      <c r="B567" s="0" t="str">
        <f aca="false">IFERROR(INDEX(Visitas!$B$2:$B$401,MATCH(A567,Visitas!$A$2:$A$401,0)),"")</f>
        <v>CCZ - Centro de Controle de Zoonoses</v>
      </c>
      <c r="C567" s="13" t="s">
        <v>82</v>
      </c>
      <c r="D567" s="0" t="str">
        <f aca="false">IFERROR(INDEX(Itens!$C$2:$C$100,MATCH(C567,Itens!$A$2:$A$100,0)),"")</f>
        <v>Materiais, medicamentos e insumos</v>
      </c>
      <c r="E567" s="0" t="str">
        <f aca="false">IFERROR(INDEX(Visitas!$C$2:$C$401,MATCH(A567,Visitas!$A$2:$A$401,0)),"")</f>
        <v>2026</v>
      </c>
      <c r="F567" s="0" t="str">
        <f aca="false">IFERROR(INDEX(Itens!$B$2:$B$100,MATCH(C567,Itens!$A$2:$A$100,0)),"")</f>
        <v>I</v>
      </c>
      <c r="G567" s="13" t="n">
        <v>1</v>
      </c>
      <c r="H567" s="13" t="n">
        <v>0</v>
      </c>
    </row>
    <row r="568" customFormat="false" ht="15" hidden="false" customHeight="false" outlineLevel="0" collapsed="false">
      <c r="A568" s="13" t="n">
        <v>41</v>
      </c>
      <c r="B568" s="0" t="str">
        <f aca="false">IFERROR(INDEX(Visitas!$B$2:$B$401,MATCH(A568,Visitas!$A$2:$A$401,0)),"")</f>
        <v>CCZ - Centro de Controle de Zoonoses</v>
      </c>
      <c r="C568" s="13" t="s">
        <v>85</v>
      </c>
      <c r="D568" s="0" t="str">
        <f aca="false">IFERROR(INDEX(Itens!$C$2:$C$100,MATCH(C568,Itens!$A$2:$A$100,0)),"")</f>
        <v>Conforto, limpeza e organização</v>
      </c>
      <c r="E568" s="0" t="str">
        <f aca="false">IFERROR(INDEX(Visitas!$C$2:$C$401,MATCH(A568,Visitas!$A$2:$A$401,0)),"")</f>
        <v>2026</v>
      </c>
      <c r="F568" s="0" t="str">
        <f aca="false">IFERROR(INDEX(Itens!$B$2:$B$100,MATCH(C568,Itens!$A$2:$A$100,0)),"")</f>
        <v>I</v>
      </c>
      <c r="G568" s="13" t="n">
        <v>1</v>
      </c>
      <c r="H568" s="13" t="n">
        <v>0</v>
      </c>
    </row>
    <row r="569" customFormat="false" ht="15" hidden="false" customHeight="false" outlineLevel="0" collapsed="false">
      <c r="A569" s="13" t="n">
        <v>41</v>
      </c>
      <c r="B569" s="0" t="str">
        <f aca="false">IFERROR(INDEX(Visitas!$B$2:$B$401,MATCH(A569,Visitas!$A$2:$A$401,0)),"")</f>
        <v>CCZ - Centro de Controle de Zoonoses</v>
      </c>
      <c r="C569" s="13" t="s">
        <v>88</v>
      </c>
      <c r="D569" s="0" t="str">
        <f aca="false">IFERROR(INDEX(Itens!$C$2:$C$100,MATCH(C569,Itens!$A$2:$A$100,0)),"")</f>
        <v>Utilização de indicadores de gestão</v>
      </c>
      <c r="E569" s="0" t="str">
        <f aca="false">IFERROR(INDEX(Visitas!$C$2:$C$401,MATCH(A569,Visitas!$A$2:$A$401,0)),"")</f>
        <v>2026</v>
      </c>
      <c r="F569" s="0" t="str">
        <f aca="false">IFERROR(INDEX(Itens!$B$2:$B$100,MATCH(C569,Itens!$A$2:$A$100,0)),"")</f>
        <v>II</v>
      </c>
      <c r="G569" s="13" t="n">
        <v>1</v>
      </c>
      <c r="H569" s="13" t="n">
        <v>0</v>
      </c>
    </row>
    <row r="570" customFormat="false" ht="15" hidden="false" customHeight="false" outlineLevel="0" collapsed="false">
      <c r="A570" s="13" t="n">
        <v>41</v>
      </c>
      <c r="B570" s="0" t="str">
        <f aca="false">IFERROR(INDEX(Visitas!$B$2:$B$401,MATCH(A570,Visitas!$A$2:$A$401,0)),"")</f>
        <v>CCZ - Centro de Controle de Zoonoses</v>
      </c>
      <c r="C570" s="13" t="s">
        <v>92</v>
      </c>
      <c r="D570" s="0" t="str">
        <f aca="false">IFERROR(INDEX(Itens!$C$2:$C$100,MATCH(C570,Itens!$A$2:$A$100,0)),"")</f>
        <v>Dimensionamento de equipe</v>
      </c>
      <c r="E570" s="0" t="str">
        <f aca="false">IFERROR(INDEX(Visitas!$C$2:$C$401,MATCH(A570,Visitas!$A$2:$A$401,0)),"")</f>
        <v>2026</v>
      </c>
      <c r="F570" s="0" t="str">
        <f aca="false">IFERROR(INDEX(Itens!$B$2:$B$100,MATCH(C570,Itens!$A$2:$A$100,0)),"")</f>
        <v>II</v>
      </c>
      <c r="G570" s="13" t="n">
        <v>1</v>
      </c>
      <c r="H570" s="13" t="n">
        <v>0</v>
      </c>
    </row>
    <row r="571" customFormat="false" ht="15" hidden="false" customHeight="false" outlineLevel="0" collapsed="false">
      <c r="A571" s="13" t="n">
        <v>41</v>
      </c>
      <c r="B571" s="0" t="str">
        <f aca="false">IFERROR(INDEX(Visitas!$B$2:$B$401,MATCH(A571,Visitas!$A$2:$A$401,0)),"")</f>
        <v>CCZ - Centro de Controle de Zoonoses</v>
      </c>
      <c r="C571" s="13" t="s">
        <v>96</v>
      </c>
      <c r="D571" s="0" t="str">
        <f aca="false">IFERROR(INDEX(Itens!$C$2:$C$100,MATCH(C571,Itens!$A$2:$A$100,0)),"")</f>
        <v>Execução do cronograma de capacitação da equipe de trabalho</v>
      </c>
      <c r="E571" s="0" t="str">
        <f aca="false">IFERROR(INDEX(Visitas!$C$2:$C$401,MATCH(A571,Visitas!$A$2:$A$401,0)),"")</f>
        <v>2026</v>
      </c>
      <c r="F571" s="0" t="str">
        <f aca="false">IFERROR(INDEX(Itens!$B$2:$B$100,MATCH(C571,Itens!$A$2:$A$100,0)),"")</f>
        <v>II</v>
      </c>
      <c r="G571" s="13" t="n">
        <v>1</v>
      </c>
      <c r="H571" s="13" t="n">
        <v>0</v>
      </c>
    </row>
    <row r="572" customFormat="false" ht="15" hidden="false" customHeight="false" outlineLevel="0" collapsed="false">
      <c r="A572" s="13" t="n">
        <v>41</v>
      </c>
      <c r="B572" s="0" t="str">
        <f aca="false">IFERROR(INDEX(Visitas!$B$2:$B$401,MATCH(A572,Visitas!$A$2:$A$401,0)),"")</f>
        <v>CCZ - Centro de Controle de Zoonoses</v>
      </c>
      <c r="C572" s="13" t="s">
        <v>100</v>
      </c>
      <c r="D572" s="0" t="str">
        <f aca="false">IFERROR(INDEX(Itens!$C$2:$C$100,MATCH(C572,Itens!$A$2:$A$100,0)),"")</f>
        <v>Disponibilidade de agendamento de consultas, exames e procedimentos</v>
      </c>
      <c r="E572" s="0" t="str">
        <f aca="false">IFERROR(INDEX(Visitas!$C$2:$C$401,MATCH(A572,Visitas!$A$2:$A$401,0)),"")</f>
        <v>2026</v>
      </c>
      <c r="F572" s="0" t="str">
        <f aca="false">IFERROR(INDEX(Itens!$B$2:$B$100,MATCH(C572,Itens!$A$2:$A$100,0)),"")</f>
        <v>II</v>
      </c>
      <c r="G572" s="13" t="n">
        <v>1</v>
      </c>
      <c r="H572" s="13" t="n">
        <v>0</v>
      </c>
    </row>
    <row r="573" customFormat="false" ht="15" hidden="false" customHeight="false" outlineLevel="0" collapsed="false">
      <c r="A573" s="13" t="n">
        <v>41</v>
      </c>
      <c r="B573" s="0" t="str">
        <f aca="false">IFERROR(INDEX(Visitas!$B$2:$B$401,MATCH(A573,Visitas!$A$2:$A$401,0)),"")</f>
        <v>CCZ - Centro de Controle de Zoonoses</v>
      </c>
      <c r="C573" s="13" t="s">
        <v>104</v>
      </c>
      <c r="D573" s="0" t="str">
        <f aca="false">IFERROR(INDEX(Itens!$C$2:$C$100,MATCH(C573,Itens!$A$2:$A$100,0)),"")</f>
        <v>Atendimento aos indicadores do PMS</v>
      </c>
      <c r="E573" s="0" t="str">
        <f aca="false">IFERROR(INDEX(Visitas!$C$2:$C$401,MATCH(A573,Visitas!$A$2:$A$401,0)),"")</f>
        <v>2026</v>
      </c>
      <c r="F573" s="0" t="str">
        <f aca="false">IFERROR(INDEX(Itens!$B$2:$B$100,MATCH(C573,Itens!$A$2:$A$100,0)),"")</f>
        <v>III</v>
      </c>
      <c r="G573" s="13" t="n">
        <v>1</v>
      </c>
      <c r="H573" s="13" t="n">
        <v>0</v>
      </c>
    </row>
    <row r="574" customFormat="false" ht="15" hidden="false" customHeight="false" outlineLevel="0" collapsed="false">
      <c r="A574" s="13" t="n">
        <v>41</v>
      </c>
      <c r="B574" s="0" t="str">
        <f aca="false">IFERROR(INDEX(Visitas!$B$2:$B$401,MATCH(A574,Visitas!$A$2:$A$401,0)),"")</f>
        <v>CCZ - Centro de Controle de Zoonoses</v>
      </c>
      <c r="C574" s="13" t="s">
        <v>109</v>
      </c>
      <c r="D574" s="0" t="str">
        <f aca="false">IFERROR(INDEX(Itens!$C$2:$C$100,MATCH(C574,Itens!$A$2:$A$100,0)),"")</f>
        <v>Registro de reclamações na Ouvidoria do COMSAUDE</v>
      </c>
      <c r="E574" s="0" t="str">
        <f aca="false">IFERROR(INDEX(Visitas!$C$2:$C$401,MATCH(A574,Visitas!$A$2:$A$401,0)),"")</f>
        <v>2026</v>
      </c>
      <c r="F574" s="0" t="str">
        <f aca="false">IFERROR(INDEX(Itens!$B$2:$B$100,MATCH(C574,Itens!$A$2:$A$100,0)),"")</f>
        <v>IV</v>
      </c>
      <c r="G574" s="13" t="n">
        <v>0</v>
      </c>
      <c r="H574" s="13" t="n">
        <v>0</v>
      </c>
    </row>
    <row r="575" customFormat="false" ht="15" hidden="false" customHeight="false" outlineLevel="0" collapsed="false">
      <c r="A575" s="13" t="n">
        <v>41</v>
      </c>
      <c r="B575" s="0" t="str">
        <f aca="false">IFERROR(INDEX(Visitas!$B$2:$B$401,MATCH(A575,Visitas!$A$2:$A$401,0)),"")</f>
        <v>CCZ - Centro de Controle de Zoonoses</v>
      </c>
      <c r="C575" s="13" t="s">
        <v>113</v>
      </c>
      <c r="D575" s="0" t="str">
        <f aca="false">IFERROR(INDEX(Itens!$C$2:$C$100,MATCH(C575,Itens!$A$2:$A$100,0)),"")</f>
        <v>Satisfação dos usuários</v>
      </c>
      <c r="E575" s="0" t="str">
        <f aca="false">IFERROR(INDEX(Visitas!$C$2:$C$401,MATCH(A575,Visitas!$A$2:$A$401,0)),"")</f>
        <v>2026</v>
      </c>
      <c r="F575" s="0" t="str">
        <f aca="false">IFERROR(INDEX(Itens!$B$2:$B$100,MATCH(C575,Itens!$A$2:$A$100,0)),"")</f>
        <v>IV</v>
      </c>
      <c r="G575" s="13" t="n">
        <v>0</v>
      </c>
      <c r="H575" s="13" t="n">
        <v>0</v>
      </c>
    </row>
    <row r="576" customFormat="false" ht="15" hidden="false" customHeight="false" outlineLevel="0" collapsed="false">
      <c r="A576" s="13" t="n">
        <v>42</v>
      </c>
      <c r="B576" s="0" t="str">
        <f aca="false">IFERROR(INDEX(Visitas!$B$2:$B$401,MATCH(A576,Visitas!$A$2:$A$401,0)),"")</f>
        <v>UBS Jardim Ipiranga</v>
      </c>
      <c r="C576" s="13" t="s">
        <v>65</v>
      </c>
      <c r="D576" s="0" t="str">
        <f aca="false">IFERROR(INDEX(Itens!$C$2:$C$100,MATCH(C576,Itens!$A$2:$A$100,0)),"")</f>
        <v>Infraestrutura civil</v>
      </c>
      <c r="E576" s="0" t="str">
        <f aca="false">IFERROR(INDEX(Visitas!$C$2:$C$401,MATCH(A576,Visitas!$A$2:$A$401,0)),"")</f>
        <v>2026</v>
      </c>
      <c r="F576" s="0" t="str">
        <f aca="false">IFERROR(INDEX(Itens!$B$2:$B$100,MATCH(C576,Itens!$A$2:$A$100,0)),"")</f>
        <v>I</v>
      </c>
      <c r="G576" s="13" t="n">
        <v>1</v>
      </c>
      <c r="H576" s="13" t="n">
        <v>0</v>
      </c>
    </row>
    <row r="577" customFormat="false" ht="15" hidden="false" customHeight="false" outlineLevel="0" collapsed="false">
      <c r="A577" s="13" t="n">
        <v>42</v>
      </c>
      <c r="B577" s="0" t="str">
        <f aca="false">IFERROR(INDEX(Visitas!$B$2:$B$401,MATCH(A577,Visitas!$A$2:$A$401,0)),"")</f>
        <v>UBS Jardim Ipiranga</v>
      </c>
      <c r="C577" s="13" t="s">
        <v>70</v>
      </c>
      <c r="D577" s="0" t="str">
        <f aca="false">IFERROR(INDEX(Itens!$C$2:$C$100,MATCH(C577,Itens!$A$2:$A$100,0)),"")</f>
        <v>Infraestrutura elétrica</v>
      </c>
      <c r="E577" s="0" t="str">
        <f aca="false">IFERROR(INDEX(Visitas!$C$2:$C$401,MATCH(A577,Visitas!$A$2:$A$401,0)),"")</f>
        <v>2026</v>
      </c>
      <c r="F577" s="0" t="str">
        <f aca="false">IFERROR(INDEX(Itens!$B$2:$B$100,MATCH(C577,Itens!$A$2:$A$100,0)),"")</f>
        <v>I</v>
      </c>
      <c r="G577" s="13" t="n">
        <v>2</v>
      </c>
      <c r="H577" s="13" t="n">
        <v>0</v>
      </c>
    </row>
    <row r="578" customFormat="false" ht="15" hidden="false" customHeight="false" outlineLevel="0" collapsed="false">
      <c r="A578" s="13" t="n">
        <v>42</v>
      </c>
      <c r="B578" s="0" t="str">
        <f aca="false">IFERROR(INDEX(Visitas!$B$2:$B$401,MATCH(A578,Visitas!$A$2:$A$401,0)),"")</f>
        <v>UBS Jardim Ipiranga</v>
      </c>
      <c r="C578" s="13" t="s">
        <v>73</v>
      </c>
      <c r="D578" s="0" t="str">
        <f aca="false">IFERROR(INDEX(Itens!$C$2:$C$100,MATCH(C578,Itens!$A$2:$A$100,0)),"")</f>
        <v>Infraestrutura hidráulica</v>
      </c>
      <c r="E578" s="0" t="str">
        <f aca="false">IFERROR(INDEX(Visitas!$C$2:$C$401,MATCH(A578,Visitas!$A$2:$A$401,0)),"")</f>
        <v>2026</v>
      </c>
      <c r="F578" s="0" t="str">
        <f aca="false">IFERROR(INDEX(Itens!$B$2:$B$100,MATCH(C578,Itens!$A$2:$A$100,0)),"")</f>
        <v>I</v>
      </c>
      <c r="G578" s="13" t="n">
        <v>2</v>
      </c>
      <c r="H578" s="13" t="n">
        <v>0</v>
      </c>
    </row>
    <row r="579" customFormat="false" ht="15" hidden="false" customHeight="false" outlineLevel="0" collapsed="false">
      <c r="A579" s="13" t="n">
        <v>42</v>
      </c>
      <c r="B579" s="0" t="str">
        <f aca="false">IFERROR(INDEX(Visitas!$B$2:$B$401,MATCH(A579,Visitas!$A$2:$A$401,0)),"")</f>
        <v>UBS Jardim Ipiranga</v>
      </c>
      <c r="C579" s="13" t="s">
        <v>76</v>
      </c>
      <c r="D579" s="0" t="str">
        <f aca="false">IFERROR(INDEX(Itens!$C$2:$C$100,MATCH(C579,Itens!$A$2:$A$100,0)),"")</f>
        <v>Infraestrutura de comunicação</v>
      </c>
      <c r="E579" s="0" t="str">
        <f aca="false">IFERROR(INDEX(Visitas!$C$2:$C$401,MATCH(A579,Visitas!$A$2:$A$401,0)),"")</f>
        <v>2026</v>
      </c>
      <c r="F579" s="0" t="str">
        <f aca="false">IFERROR(INDEX(Itens!$B$2:$B$100,MATCH(C579,Itens!$A$2:$A$100,0)),"")</f>
        <v>I</v>
      </c>
      <c r="G579" s="13" t="n">
        <v>2</v>
      </c>
      <c r="H579" s="13" t="n">
        <v>0</v>
      </c>
    </row>
    <row r="580" customFormat="false" ht="15" hidden="false" customHeight="false" outlineLevel="0" collapsed="false">
      <c r="A580" s="13" t="n">
        <v>42</v>
      </c>
      <c r="B580" s="0" t="str">
        <f aca="false">IFERROR(INDEX(Visitas!$B$2:$B$401,MATCH(A580,Visitas!$A$2:$A$401,0)),"")</f>
        <v>UBS Jardim Ipiranga</v>
      </c>
      <c r="C580" s="13" t="s">
        <v>79</v>
      </c>
      <c r="D580" s="0" t="str">
        <f aca="false">IFERROR(INDEX(Itens!$C$2:$C$100,MATCH(C580,Itens!$A$2:$A$100,0)),"")</f>
        <v>Equipamentos</v>
      </c>
      <c r="E580" s="0" t="str">
        <f aca="false">IFERROR(INDEX(Visitas!$C$2:$C$401,MATCH(A580,Visitas!$A$2:$A$401,0)),"")</f>
        <v>2026</v>
      </c>
      <c r="F580" s="0" t="str">
        <f aca="false">IFERROR(INDEX(Itens!$B$2:$B$100,MATCH(C580,Itens!$A$2:$A$100,0)),"")</f>
        <v>I</v>
      </c>
      <c r="G580" s="13" t="n">
        <v>2</v>
      </c>
      <c r="H580" s="13" t="n">
        <v>0</v>
      </c>
    </row>
    <row r="581" customFormat="false" ht="15" hidden="false" customHeight="false" outlineLevel="0" collapsed="false">
      <c r="A581" s="13" t="n">
        <v>42</v>
      </c>
      <c r="B581" s="0" t="str">
        <f aca="false">IFERROR(INDEX(Visitas!$B$2:$B$401,MATCH(A581,Visitas!$A$2:$A$401,0)),"")</f>
        <v>UBS Jardim Ipiranga</v>
      </c>
      <c r="C581" s="13" t="s">
        <v>82</v>
      </c>
      <c r="D581" s="0" t="str">
        <f aca="false">IFERROR(INDEX(Itens!$C$2:$C$100,MATCH(C581,Itens!$A$2:$A$100,0)),"")</f>
        <v>Materiais, medicamentos e insumos</v>
      </c>
      <c r="E581" s="0" t="str">
        <f aca="false">IFERROR(INDEX(Visitas!$C$2:$C$401,MATCH(A581,Visitas!$A$2:$A$401,0)),"")</f>
        <v>2026</v>
      </c>
      <c r="F581" s="0" t="str">
        <f aca="false">IFERROR(INDEX(Itens!$B$2:$B$100,MATCH(C581,Itens!$A$2:$A$100,0)),"")</f>
        <v>I</v>
      </c>
      <c r="G581" s="13" t="n">
        <v>2</v>
      </c>
      <c r="H581" s="13" t="n">
        <v>0</v>
      </c>
    </row>
    <row r="582" customFormat="false" ht="15" hidden="false" customHeight="false" outlineLevel="0" collapsed="false">
      <c r="A582" s="13" t="n">
        <v>42</v>
      </c>
      <c r="B582" s="0" t="str">
        <f aca="false">IFERROR(INDEX(Visitas!$B$2:$B$401,MATCH(A582,Visitas!$A$2:$A$401,0)),"")</f>
        <v>UBS Jardim Ipiranga</v>
      </c>
      <c r="C582" s="13" t="s">
        <v>85</v>
      </c>
      <c r="D582" s="0" t="str">
        <f aca="false">IFERROR(INDEX(Itens!$C$2:$C$100,MATCH(C582,Itens!$A$2:$A$100,0)),"")</f>
        <v>Conforto, limpeza e organização</v>
      </c>
      <c r="E582" s="0" t="str">
        <f aca="false">IFERROR(INDEX(Visitas!$C$2:$C$401,MATCH(A582,Visitas!$A$2:$A$401,0)),"")</f>
        <v>2026</v>
      </c>
      <c r="F582" s="0" t="str">
        <f aca="false">IFERROR(INDEX(Itens!$B$2:$B$100,MATCH(C582,Itens!$A$2:$A$100,0)),"")</f>
        <v>I</v>
      </c>
      <c r="G582" s="13" t="n">
        <v>1</v>
      </c>
      <c r="H582" s="13" t="n">
        <v>0</v>
      </c>
    </row>
    <row r="583" customFormat="false" ht="15" hidden="false" customHeight="false" outlineLevel="0" collapsed="false">
      <c r="A583" s="13" t="n">
        <v>42</v>
      </c>
      <c r="B583" s="0" t="str">
        <f aca="false">IFERROR(INDEX(Visitas!$B$2:$B$401,MATCH(A583,Visitas!$A$2:$A$401,0)),"")</f>
        <v>UBS Jardim Ipiranga</v>
      </c>
      <c r="C583" s="13" t="s">
        <v>88</v>
      </c>
      <c r="D583" s="0" t="str">
        <f aca="false">IFERROR(INDEX(Itens!$C$2:$C$100,MATCH(C583,Itens!$A$2:$A$100,0)),"")</f>
        <v>Utilização de indicadores de gestão</v>
      </c>
      <c r="E583" s="0" t="str">
        <f aca="false">IFERROR(INDEX(Visitas!$C$2:$C$401,MATCH(A583,Visitas!$A$2:$A$401,0)),"")</f>
        <v>2026</v>
      </c>
      <c r="F583" s="0" t="str">
        <f aca="false">IFERROR(INDEX(Itens!$B$2:$B$100,MATCH(C583,Itens!$A$2:$A$100,0)),"")</f>
        <v>II</v>
      </c>
      <c r="G583" s="13" t="n">
        <v>2</v>
      </c>
      <c r="H583" s="13" t="n">
        <v>0</v>
      </c>
    </row>
    <row r="584" customFormat="false" ht="15" hidden="false" customHeight="false" outlineLevel="0" collapsed="false">
      <c r="A584" s="13" t="n">
        <v>42</v>
      </c>
      <c r="B584" s="0" t="str">
        <f aca="false">IFERROR(INDEX(Visitas!$B$2:$B$401,MATCH(A584,Visitas!$A$2:$A$401,0)),"")</f>
        <v>UBS Jardim Ipiranga</v>
      </c>
      <c r="C584" s="13" t="s">
        <v>92</v>
      </c>
      <c r="D584" s="0" t="str">
        <f aca="false">IFERROR(INDEX(Itens!$C$2:$C$100,MATCH(C584,Itens!$A$2:$A$100,0)),"")</f>
        <v>Dimensionamento de equipe</v>
      </c>
      <c r="E584" s="0" t="str">
        <f aca="false">IFERROR(INDEX(Visitas!$C$2:$C$401,MATCH(A584,Visitas!$A$2:$A$401,0)),"")</f>
        <v>2026</v>
      </c>
      <c r="F584" s="0" t="str">
        <f aca="false">IFERROR(INDEX(Itens!$B$2:$B$100,MATCH(C584,Itens!$A$2:$A$100,0)),"")</f>
        <v>II</v>
      </c>
      <c r="G584" s="13" t="n">
        <v>2</v>
      </c>
      <c r="H584" s="13" t="n">
        <v>0</v>
      </c>
    </row>
    <row r="585" customFormat="false" ht="15" hidden="false" customHeight="false" outlineLevel="0" collapsed="false">
      <c r="A585" s="13" t="n">
        <v>42</v>
      </c>
      <c r="B585" s="0" t="str">
        <f aca="false">IFERROR(INDEX(Visitas!$B$2:$B$401,MATCH(A585,Visitas!$A$2:$A$401,0)),"")</f>
        <v>UBS Jardim Ipiranga</v>
      </c>
      <c r="C585" s="13" t="s">
        <v>96</v>
      </c>
      <c r="D585" s="0" t="str">
        <f aca="false">IFERROR(INDEX(Itens!$C$2:$C$100,MATCH(C585,Itens!$A$2:$A$100,0)),"")</f>
        <v>Execução do cronograma de capacitação da equipe de trabalho</v>
      </c>
      <c r="E585" s="0" t="str">
        <f aca="false">IFERROR(INDEX(Visitas!$C$2:$C$401,MATCH(A585,Visitas!$A$2:$A$401,0)),"")</f>
        <v>2026</v>
      </c>
      <c r="F585" s="0" t="str">
        <f aca="false">IFERROR(INDEX(Itens!$B$2:$B$100,MATCH(C585,Itens!$A$2:$A$100,0)),"")</f>
        <v>II</v>
      </c>
      <c r="G585" s="13" t="n">
        <v>2</v>
      </c>
      <c r="H585" s="13" t="n">
        <v>0</v>
      </c>
    </row>
    <row r="586" customFormat="false" ht="15" hidden="false" customHeight="false" outlineLevel="0" collapsed="false">
      <c r="A586" s="13" t="n">
        <v>42</v>
      </c>
      <c r="B586" s="0" t="str">
        <f aca="false">IFERROR(INDEX(Visitas!$B$2:$B$401,MATCH(A586,Visitas!$A$2:$A$401,0)),"")</f>
        <v>UBS Jardim Ipiranga</v>
      </c>
      <c r="C586" s="13" t="s">
        <v>100</v>
      </c>
      <c r="D586" s="0" t="str">
        <f aca="false">IFERROR(INDEX(Itens!$C$2:$C$100,MATCH(C586,Itens!$A$2:$A$100,0)),"")</f>
        <v>Disponibilidade de agendamento de consultas, exames e procedimentos</v>
      </c>
      <c r="E586" s="0" t="str">
        <f aca="false">IFERROR(INDEX(Visitas!$C$2:$C$401,MATCH(A586,Visitas!$A$2:$A$401,0)),"")</f>
        <v>2026</v>
      </c>
      <c r="F586" s="0" t="str">
        <f aca="false">IFERROR(INDEX(Itens!$B$2:$B$100,MATCH(C586,Itens!$A$2:$A$100,0)),"")</f>
        <v>II</v>
      </c>
      <c r="G586" s="13" t="n">
        <v>2</v>
      </c>
      <c r="H586" s="13" t="n">
        <v>0</v>
      </c>
    </row>
    <row r="587" customFormat="false" ht="15" hidden="false" customHeight="false" outlineLevel="0" collapsed="false">
      <c r="A587" s="13" t="n">
        <v>42</v>
      </c>
      <c r="B587" s="0" t="str">
        <f aca="false">IFERROR(INDEX(Visitas!$B$2:$B$401,MATCH(A587,Visitas!$A$2:$A$401,0)),"")</f>
        <v>UBS Jardim Ipiranga</v>
      </c>
      <c r="C587" s="13" t="s">
        <v>104</v>
      </c>
      <c r="D587" s="0" t="str">
        <f aca="false">IFERROR(INDEX(Itens!$C$2:$C$100,MATCH(C587,Itens!$A$2:$A$100,0)),"")</f>
        <v>Atendimento aos indicadores do PMS</v>
      </c>
      <c r="E587" s="0" t="str">
        <f aca="false">IFERROR(INDEX(Visitas!$C$2:$C$401,MATCH(A587,Visitas!$A$2:$A$401,0)),"")</f>
        <v>2026</v>
      </c>
      <c r="F587" s="0" t="str">
        <f aca="false">IFERROR(INDEX(Itens!$B$2:$B$100,MATCH(C587,Itens!$A$2:$A$100,0)),"")</f>
        <v>III</v>
      </c>
      <c r="G587" s="13" t="n">
        <v>1</v>
      </c>
      <c r="H587" s="13" t="n">
        <v>0</v>
      </c>
    </row>
    <row r="588" customFormat="false" ht="15" hidden="false" customHeight="false" outlineLevel="0" collapsed="false">
      <c r="A588" s="13" t="n">
        <v>42</v>
      </c>
      <c r="B588" s="0" t="str">
        <f aca="false">IFERROR(INDEX(Visitas!$B$2:$B$401,MATCH(A588,Visitas!$A$2:$A$401,0)),"")</f>
        <v>UBS Jardim Ipiranga</v>
      </c>
      <c r="C588" s="13" t="s">
        <v>109</v>
      </c>
      <c r="D588" s="0" t="str">
        <f aca="false">IFERROR(INDEX(Itens!$C$2:$C$100,MATCH(C588,Itens!$A$2:$A$100,0)),"")</f>
        <v>Registro de reclamações na Ouvidoria do COMSAUDE</v>
      </c>
      <c r="E588" s="0" t="str">
        <f aca="false">IFERROR(INDEX(Visitas!$C$2:$C$401,MATCH(A588,Visitas!$A$2:$A$401,0)),"")</f>
        <v>2026</v>
      </c>
      <c r="F588" s="0" t="str">
        <f aca="false">IFERROR(INDEX(Itens!$B$2:$B$100,MATCH(C588,Itens!$A$2:$A$100,0)),"")</f>
        <v>IV</v>
      </c>
      <c r="G588" s="13" t="n">
        <v>2</v>
      </c>
      <c r="H588" s="13" t="n">
        <v>0</v>
      </c>
    </row>
    <row r="589" customFormat="false" ht="15" hidden="false" customHeight="false" outlineLevel="0" collapsed="false">
      <c r="A589" s="13" t="n">
        <v>42</v>
      </c>
      <c r="B589" s="0" t="str">
        <f aca="false">IFERROR(INDEX(Visitas!$B$2:$B$401,MATCH(A589,Visitas!$A$2:$A$401,0)),"")</f>
        <v>UBS Jardim Ipiranga</v>
      </c>
      <c r="C589" s="13" t="s">
        <v>113</v>
      </c>
      <c r="D589" s="0" t="str">
        <f aca="false">IFERROR(INDEX(Itens!$C$2:$C$100,MATCH(C589,Itens!$A$2:$A$100,0)),"")</f>
        <v>Satisfação dos usuários</v>
      </c>
      <c r="E589" s="0" t="str">
        <f aca="false">IFERROR(INDEX(Visitas!$C$2:$C$401,MATCH(A589,Visitas!$A$2:$A$401,0)),"")</f>
        <v>2026</v>
      </c>
      <c r="F589" s="0" t="str">
        <f aca="false">IFERROR(INDEX(Itens!$B$2:$B$100,MATCH(C589,Itens!$A$2:$A$100,0)),"")</f>
        <v>IV</v>
      </c>
      <c r="G589" s="13" t="n">
        <v>2</v>
      </c>
      <c r="H589" s="13" t="n">
        <v>0</v>
      </c>
    </row>
    <row r="590" customFormat="false" ht="15" hidden="false" customHeight="false" outlineLevel="0" collapsed="false">
      <c r="A590" s="13" t="n">
        <v>43</v>
      </c>
      <c r="B590" s="0" t="str">
        <f aca="false">IFERROR(INDEX(Visitas!$B$2:$B$401,MATCH(A590,Visitas!$A$2:$A$401,0)),"")</f>
        <v>PA Antonio Zanaga</v>
      </c>
      <c r="C590" s="13" t="s">
        <v>65</v>
      </c>
      <c r="D590" s="0" t="str">
        <f aca="false">IFERROR(INDEX(Itens!$C$2:$C$100,MATCH(C590,Itens!$A$2:$A$100,0)),"")</f>
        <v>Infraestrutura civil</v>
      </c>
      <c r="E590" s="0" t="str">
        <f aca="false">IFERROR(INDEX(Visitas!$C$2:$C$401,MATCH(A590,Visitas!$A$2:$A$401,0)),"")</f>
        <v>2026</v>
      </c>
      <c r="F590" s="0" t="str">
        <f aca="false">IFERROR(INDEX(Itens!$B$2:$B$100,MATCH(C590,Itens!$A$2:$A$100,0)),"")</f>
        <v>I</v>
      </c>
      <c r="G590" s="13" t="n">
        <v>2</v>
      </c>
      <c r="H590" s="13" t="n">
        <v>0</v>
      </c>
    </row>
    <row r="591" customFormat="false" ht="15" hidden="false" customHeight="false" outlineLevel="0" collapsed="false">
      <c r="A591" s="13" t="n">
        <v>43</v>
      </c>
      <c r="B591" s="0" t="str">
        <f aca="false">IFERROR(INDEX(Visitas!$B$2:$B$401,MATCH(A591,Visitas!$A$2:$A$401,0)),"")</f>
        <v>PA Antonio Zanaga</v>
      </c>
      <c r="C591" s="13" t="s">
        <v>70</v>
      </c>
      <c r="D591" s="0" t="str">
        <f aca="false">IFERROR(INDEX(Itens!$C$2:$C$100,MATCH(C591,Itens!$A$2:$A$100,0)),"")</f>
        <v>Infraestrutura elétrica</v>
      </c>
      <c r="E591" s="0" t="str">
        <f aca="false">IFERROR(INDEX(Visitas!$C$2:$C$401,MATCH(A591,Visitas!$A$2:$A$401,0)),"")</f>
        <v>2026</v>
      </c>
      <c r="F591" s="0" t="str">
        <f aca="false">IFERROR(INDEX(Itens!$B$2:$B$100,MATCH(C591,Itens!$A$2:$A$100,0)),"")</f>
        <v>I</v>
      </c>
      <c r="G591" s="13" t="n">
        <v>1</v>
      </c>
      <c r="H591" s="13" t="n">
        <v>0</v>
      </c>
    </row>
    <row r="592" customFormat="false" ht="15" hidden="false" customHeight="false" outlineLevel="0" collapsed="false">
      <c r="A592" s="13" t="n">
        <v>43</v>
      </c>
      <c r="B592" s="0" t="str">
        <f aca="false">IFERROR(INDEX(Visitas!$B$2:$B$401,MATCH(A592,Visitas!$A$2:$A$401,0)),"")</f>
        <v>PA Antonio Zanaga</v>
      </c>
      <c r="C592" s="13" t="s">
        <v>73</v>
      </c>
      <c r="D592" s="0" t="str">
        <f aca="false">IFERROR(INDEX(Itens!$C$2:$C$100,MATCH(C592,Itens!$A$2:$A$100,0)),"")</f>
        <v>Infraestrutura hidráulica</v>
      </c>
      <c r="E592" s="0" t="str">
        <f aca="false">IFERROR(INDEX(Visitas!$C$2:$C$401,MATCH(A592,Visitas!$A$2:$A$401,0)),"")</f>
        <v>2026</v>
      </c>
      <c r="F592" s="0" t="str">
        <f aca="false">IFERROR(INDEX(Itens!$B$2:$B$100,MATCH(C592,Itens!$A$2:$A$100,0)),"")</f>
        <v>I</v>
      </c>
      <c r="G592" s="13" t="n">
        <v>2</v>
      </c>
      <c r="H592" s="13" t="n">
        <v>0</v>
      </c>
    </row>
    <row r="593" customFormat="false" ht="15" hidden="false" customHeight="false" outlineLevel="0" collapsed="false">
      <c r="A593" s="13" t="n">
        <v>43</v>
      </c>
      <c r="B593" s="0" t="str">
        <f aca="false">IFERROR(INDEX(Visitas!$B$2:$B$401,MATCH(A593,Visitas!$A$2:$A$401,0)),"")</f>
        <v>PA Antonio Zanaga</v>
      </c>
      <c r="C593" s="13" t="s">
        <v>76</v>
      </c>
      <c r="D593" s="0" t="str">
        <f aca="false">IFERROR(INDEX(Itens!$C$2:$C$100,MATCH(C593,Itens!$A$2:$A$100,0)),"")</f>
        <v>Infraestrutura de comunicação</v>
      </c>
      <c r="E593" s="0" t="str">
        <f aca="false">IFERROR(INDEX(Visitas!$C$2:$C$401,MATCH(A593,Visitas!$A$2:$A$401,0)),"")</f>
        <v>2026</v>
      </c>
      <c r="F593" s="0" t="str">
        <f aca="false">IFERROR(INDEX(Itens!$B$2:$B$100,MATCH(C593,Itens!$A$2:$A$100,0)),"")</f>
        <v>I</v>
      </c>
      <c r="G593" s="13" t="n">
        <v>2</v>
      </c>
      <c r="H593" s="13" t="n">
        <v>0</v>
      </c>
    </row>
    <row r="594" customFormat="false" ht="15" hidden="false" customHeight="false" outlineLevel="0" collapsed="false">
      <c r="A594" s="13" t="n">
        <v>43</v>
      </c>
      <c r="B594" s="0" t="str">
        <f aca="false">IFERROR(INDEX(Visitas!$B$2:$B$401,MATCH(A594,Visitas!$A$2:$A$401,0)),"")</f>
        <v>PA Antonio Zanaga</v>
      </c>
      <c r="C594" s="13" t="s">
        <v>79</v>
      </c>
      <c r="D594" s="0" t="str">
        <f aca="false">IFERROR(INDEX(Itens!$C$2:$C$100,MATCH(C594,Itens!$A$2:$A$100,0)),"")</f>
        <v>Equipamentos</v>
      </c>
      <c r="E594" s="0" t="str">
        <f aca="false">IFERROR(INDEX(Visitas!$C$2:$C$401,MATCH(A594,Visitas!$A$2:$A$401,0)),"")</f>
        <v>2026</v>
      </c>
      <c r="F594" s="0" t="str">
        <f aca="false">IFERROR(INDEX(Itens!$B$2:$B$100,MATCH(C594,Itens!$A$2:$A$100,0)),"")</f>
        <v>I</v>
      </c>
      <c r="G594" s="13" t="n">
        <v>2</v>
      </c>
      <c r="H594" s="13" t="n">
        <v>0</v>
      </c>
    </row>
    <row r="595" customFormat="false" ht="15" hidden="false" customHeight="false" outlineLevel="0" collapsed="false">
      <c r="A595" s="13" t="n">
        <v>43</v>
      </c>
      <c r="B595" s="0" t="str">
        <f aca="false">IFERROR(INDEX(Visitas!$B$2:$B$401,MATCH(A595,Visitas!$A$2:$A$401,0)),"")</f>
        <v>PA Antonio Zanaga</v>
      </c>
      <c r="C595" s="13" t="s">
        <v>82</v>
      </c>
      <c r="D595" s="0" t="str">
        <f aca="false">IFERROR(INDEX(Itens!$C$2:$C$100,MATCH(C595,Itens!$A$2:$A$100,0)),"")</f>
        <v>Materiais, medicamentos e insumos</v>
      </c>
      <c r="E595" s="0" t="str">
        <f aca="false">IFERROR(INDEX(Visitas!$C$2:$C$401,MATCH(A595,Visitas!$A$2:$A$401,0)),"")</f>
        <v>2026</v>
      </c>
      <c r="F595" s="0" t="str">
        <f aca="false">IFERROR(INDEX(Itens!$B$2:$B$100,MATCH(C595,Itens!$A$2:$A$100,0)),"")</f>
        <v>I</v>
      </c>
      <c r="G595" s="13" t="n">
        <v>1</v>
      </c>
      <c r="H595" s="13" t="n">
        <v>0</v>
      </c>
    </row>
    <row r="596" customFormat="false" ht="15" hidden="false" customHeight="false" outlineLevel="0" collapsed="false">
      <c r="A596" s="13" t="n">
        <v>43</v>
      </c>
      <c r="B596" s="0" t="str">
        <f aca="false">IFERROR(INDEX(Visitas!$B$2:$B$401,MATCH(A596,Visitas!$A$2:$A$401,0)),"")</f>
        <v>PA Antonio Zanaga</v>
      </c>
      <c r="C596" s="13" t="s">
        <v>85</v>
      </c>
      <c r="D596" s="0" t="str">
        <f aca="false">IFERROR(INDEX(Itens!$C$2:$C$100,MATCH(C596,Itens!$A$2:$A$100,0)),"")</f>
        <v>Conforto, limpeza e organização</v>
      </c>
      <c r="E596" s="0" t="str">
        <f aca="false">IFERROR(INDEX(Visitas!$C$2:$C$401,MATCH(A596,Visitas!$A$2:$A$401,0)),"")</f>
        <v>2026</v>
      </c>
      <c r="F596" s="0" t="str">
        <f aca="false">IFERROR(INDEX(Itens!$B$2:$B$100,MATCH(C596,Itens!$A$2:$A$100,0)),"")</f>
        <v>I</v>
      </c>
      <c r="G596" s="13" t="n">
        <v>2</v>
      </c>
      <c r="H596" s="13" t="n">
        <v>0</v>
      </c>
    </row>
    <row r="597" customFormat="false" ht="15" hidden="false" customHeight="false" outlineLevel="0" collapsed="false">
      <c r="A597" s="13" t="n">
        <v>43</v>
      </c>
      <c r="B597" s="0" t="str">
        <f aca="false">IFERROR(INDEX(Visitas!$B$2:$B$401,MATCH(A597,Visitas!$A$2:$A$401,0)),"")</f>
        <v>PA Antonio Zanaga</v>
      </c>
      <c r="C597" s="13" t="s">
        <v>88</v>
      </c>
      <c r="D597" s="0" t="str">
        <f aca="false">IFERROR(INDEX(Itens!$C$2:$C$100,MATCH(C597,Itens!$A$2:$A$100,0)),"")</f>
        <v>Utilização de indicadores de gestão</v>
      </c>
      <c r="E597" s="0" t="str">
        <f aca="false">IFERROR(INDEX(Visitas!$C$2:$C$401,MATCH(A597,Visitas!$A$2:$A$401,0)),"")</f>
        <v>2026</v>
      </c>
      <c r="F597" s="0" t="str">
        <f aca="false">IFERROR(INDEX(Itens!$B$2:$B$100,MATCH(C597,Itens!$A$2:$A$100,0)),"")</f>
        <v>II</v>
      </c>
      <c r="G597" s="13" t="n">
        <v>2</v>
      </c>
      <c r="H597" s="13" t="n">
        <v>0</v>
      </c>
    </row>
    <row r="598" customFormat="false" ht="15" hidden="false" customHeight="false" outlineLevel="0" collapsed="false">
      <c r="A598" s="13" t="n">
        <v>43</v>
      </c>
      <c r="B598" s="0" t="str">
        <f aca="false">IFERROR(INDEX(Visitas!$B$2:$B$401,MATCH(A598,Visitas!$A$2:$A$401,0)),"")</f>
        <v>PA Antonio Zanaga</v>
      </c>
      <c r="C598" s="13" t="s">
        <v>92</v>
      </c>
      <c r="D598" s="0" t="str">
        <f aca="false">IFERROR(INDEX(Itens!$C$2:$C$100,MATCH(C598,Itens!$A$2:$A$100,0)),"")</f>
        <v>Dimensionamento de equipe</v>
      </c>
      <c r="E598" s="0" t="str">
        <f aca="false">IFERROR(INDEX(Visitas!$C$2:$C$401,MATCH(A598,Visitas!$A$2:$A$401,0)),"")</f>
        <v>2026</v>
      </c>
      <c r="F598" s="0" t="str">
        <f aca="false">IFERROR(INDEX(Itens!$B$2:$B$100,MATCH(C598,Itens!$A$2:$A$100,0)),"")</f>
        <v>II</v>
      </c>
      <c r="G598" s="13" t="n">
        <v>2</v>
      </c>
      <c r="H598" s="13" t="n">
        <v>0</v>
      </c>
    </row>
    <row r="599" customFormat="false" ht="15" hidden="false" customHeight="false" outlineLevel="0" collapsed="false">
      <c r="A599" s="13" t="n">
        <v>43</v>
      </c>
      <c r="B599" s="0" t="str">
        <f aca="false">IFERROR(INDEX(Visitas!$B$2:$B$401,MATCH(A599,Visitas!$A$2:$A$401,0)),"")</f>
        <v>PA Antonio Zanaga</v>
      </c>
      <c r="C599" s="13" t="s">
        <v>96</v>
      </c>
      <c r="D599" s="0" t="str">
        <f aca="false">IFERROR(INDEX(Itens!$C$2:$C$100,MATCH(C599,Itens!$A$2:$A$100,0)),"")</f>
        <v>Execução do cronograma de capacitação da equipe de trabalho</v>
      </c>
      <c r="E599" s="0" t="str">
        <f aca="false">IFERROR(INDEX(Visitas!$C$2:$C$401,MATCH(A599,Visitas!$A$2:$A$401,0)),"")</f>
        <v>2026</v>
      </c>
      <c r="F599" s="0" t="str">
        <f aca="false">IFERROR(INDEX(Itens!$B$2:$B$100,MATCH(C599,Itens!$A$2:$A$100,0)),"")</f>
        <v>II</v>
      </c>
      <c r="G599" s="13" t="n">
        <v>2</v>
      </c>
      <c r="H599" s="13" t="n">
        <v>0</v>
      </c>
    </row>
    <row r="600" customFormat="false" ht="15" hidden="false" customHeight="false" outlineLevel="0" collapsed="false">
      <c r="A600" s="13" t="n">
        <v>43</v>
      </c>
      <c r="B600" s="0" t="str">
        <f aca="false">IFERROR(INDEX(Visitas!$B$2:$B$401,MATCH(A600,Visitas!$A$2:$A$401,0)),"")</f>
        <v>PA Antonio Zanaga</v>
      </c>
      <c r="C600" s="13" t="s">
        <v>100</v>
      </c>
      <c r="D600" s="0" t="str">
        <f aca="false">IFERROR(INDEX(Itens!$C$2:$C$100,MATCH(C600,Itens!$A$2:$A$100,0)),"")</f>
        <v>Disponibilidade de agendamento de consultas, exames e procedimentos</v>
      </c>
      <c r="E600" s="0" t="str">
        <f aca="false">IFERROR(INDEX(Visitas!$C$2:$C$401,MATCH(A600,Visitas!$A$2:$A$401,0)),"")</f>
        <v>2026</v>
      </c>
      <c r="F600" s="0" t="str">
        <f aca="false">IFERROR(INDEX(Itens!$B$2:$B$100,MATCH(C600,Itens!$A$2:$A$100,0)),"")</f>
        <v>II</v>
      </c>
      <c r="G600" s="13" t="n">
        <v>2</v>
      </c>
      <c r="H600" s="13" t="n">
        <v>0</v>
      </c>
    </row>
    <row r="601" customFormat="false" ht="15" hidden="false" customHeight="false" outlineLevel="0" collapsed="false">
      <c r="A601" s="13" t="n">
        <v>43</v>
      </c>
      <c r="B601" s="0" t="str">
        <f aca="false">IFERROR(INDEX(Visitas!$B$2:$B$401,MATCH(A601,Visitas!$A$2:$A$401,0)),"")</f>
        <v>PA Antonio Zanaga</v>
      </c>
      <c r="C601" s="13" t="s">
        <v>104</v>
      </c>
      <c r="D601" s="0" t="str">
        <f aca="false">IFERROR(INDEX(Itens!$C$2:$C$100,MATCH(C601,Itens!$A$2:$A$100,0)),"")</f>
        <v>Atendimento aos indicadores do PMS</v>
      </c>
      <c r="E601" s="0" t="str">
        <f aca="false">IFERROR(INDEX(Visitas!$C$2:$C$401,MATCH(A601,Visitas!$A$2:$A$401,0)),"")</f>
        <v>2026</v>
      </c>
      <c r="F601" s="0" t="str">
        <f aca="false">IFERROR(INDEX(Itens!$B$2:$B$100,MATCH(C601,Itens!$A$2:$A$100,0)),"")</f>
        <v>III</v>
      </c>
      <c r="G601" s="13" t="n">
        <v>2</v>
      </c>
      <c r="H601" s="13" t="n">
        <v>0</v>
      </c>
    </row>
    <row r="602" customFormat="false" ht="15" hidden="false" customHeight="false" outlineLevel="0" collapsed="false">
      <c r="A602" s="13" t="n">
        <v>43</v>
      </c>
      <c r="B602" s="0" t="str">
        <f aca="false">IFERROR(INDEX(Visitas!$B$2:$B$401,MATCH(A602,Visitas!$A$2:$A$401,0)),"")</f>
        <v>PA Antonio Zanaga</v>
      </c>
      <c r="C602" s="13" t="s">
        <v>109</v>
      </c>
      <c r="D602" s="0" t="str">
        <f aca="false">IFERROR(INDEX(Itens!$C$2:$C$100,MATCH(C602,Itens!$A$2:$A$100,0)),"")</f>
        <v>Registro de reclamações na Ouvidoria do COMSAUDE</v>
      </c>
      <c r="E602" s="0" t="str">
        <f aca="false">IFERROR(INDEX(Visitas!$C$2:$C$401,MATCH(A602,Visitas!$A$2:$A$401,0)),"")</f>
        <v>2026</v>
      </c>
      <c r="F602" s="0" t="str">
        <f aca="false">IFERROR(INDEX(Itens!$B$2:$B$100,MATCH(C602,Itens!$A$2:$A$100,0)),"")</f>
        <v>IV</v>
      </c>
      <c r="G602" s="13" t="n">
        <v>2</v>
      </c>
      <c r="H602" s="13" t="n">
        <v>0</v>
      </c>
    </row>
    <row r="603" customFormat="false" ht="15" hidden="false" customHeight="false" outlineLevel="0" collapsed="false">
      <c r="A603" s="13" t="n">
        <v>43</v>
      </c>
      <c r="B603" s="0" t="str">
        <f aca="false">IFERROR(INDEX(Visitas!$B$2:$B$401,MATCH(A603,Visitas!$A$2:$A$401,0)),"")</f>
        <v>PA Antonio Zanaga</v>
      </c>
      <c r="C603" s="13" t="s">
        <v>113</v>
      </c>
      <c r="D603" s="0" t="str">
        <f aca="false">IFERROR(INDEX(Itens!$C$2:$C$100,MATCH(C603,Itens!$A$2:$A$100,0)),"")</f>
        <v>Satisfação dos usuários</v>
      </c>
      <c r="E603" s="0" t="str">
        <f aca="false">IFERROR(INDEX(Visitas!$C$2:$C$401,MATCH(A603,Visitas!$A$2:$A$401,0)),"")</f>
        <v>2026</v>
      </c>
      <c r="F603" s="0" t="str">
        <f aca="false">IFERROR(INDEX(Itens!$B$2:$B$100,MATCH(C603,Itens!$A$2:$A$100,0)),"")</f>
        <v>IV</v>
      </c>
      <c r="G603" s="13" t="n">
        <v>2</v>
      </c>
      <c r="H603" s="13" t="n">
        <v>0</v>
      </c>
    </row>
    <row r="604" customFormat="false" ht="15" hidden="false" customHeight="false" outlineLevel="0" collapsed="false">
      <c r="A604" s="13" t="n">
        <v>44</v>
      </c>
      <c r="B604" s="0" t="str">
        <f aca="false">IFERROR(INDEX(Visitas!$B$2:$B$401,MATCH(A604,Visitas!$A$2:$A$401,0)),"")</f>
        <v>UBS Jardim Boer</v>
      </c>
      <c r="C604" s="13" t="s">
        <v>65</v>
      </c>
      <c r="D604" s="0" t="str">
        <f aca="false">IFERROR(INDEX(Itens!$C$2:$C$100,MATCH(C604,Itens!$A$2:$A$100,0)),"")</f>
        <v>Infraestrutura civil</v>
      </c>
      <c r="E604" s="0" t="str">
        <f aca="false">IFERROR(INDEX(Visitas!$C$2:$C$401,MATCH(A604,Visitas!$A$2:$A$401,0)),"")</f>
        <v>2026</v>
      </c>
      <c r="F604" s="0" t="str">
        <f aca="false">IFERROR(INDEX(Itens!$B$2:$B$100,MATCH(C604,Itens!$A$2:$A$100,0)),"")</f>
        <v>I</v>
      </c>
      <c r="G604" s="13" t="n">
        <v>1</v>
      </c>
      <c r="H604" s="13" t="n">
        <v>0</v>
      </c>
    </row>
    <row r="605" customFormat="false" ht="15" hidden="false" customHeight="false" outlineLevel="0" collapsed="false">
      <c r="A605" s="13" t="n">
        <v>44</v>
      </c>
      <c r="B605" s="0" t="str">
        <f aca="false">IFERROR(INDEX(Visitas!$B$2:$B$401,MATCH(A605,Visitas!$A$2:$A$401,0)),"")</f>
        <v>UBS Jardim Boer</v>
      </c>
      <c r="C605" s="13" t="s">
        <v>70</v>
      </c>
      <c r="D605" s="0" t="str">
        <f aca="false">IFERROR(INDEX(Itens!$C$2:$C$100,MATCH(C605,Itens!$A$2:$A$100,0)),"")</f>
        <v>Infraestrutura elétrica</v>
      </c>
      <c r="E605" s="0" t="str">
        <f aca="false">IFERROR(INDEX(Visitas!$C$2:$C$401,MATCH(A605,Visitas!$A$2:$A$401,0)),"")</f>
        <v>2026</v>
      </c>
      <c r="F605" s="0" t="str">
        <f aca="false">IFERROR(INDEX(Itens!$B$2:$B$100,MATCH(C605,Itens!$A$2:$A$100,0)),"")</f>
        <v>I</v>
      </c>
      <c r="G605" s="13" t="n">
        <v>1</v>
      </c>
      <c r="H605" s="13" t="n">
        <v>0</v>
      </c>
    </row>
    <row r="606" customFormat="false" ht="15" hidden="false" customHeight="false" outlineLevel="0" collapsed="false">
      <c r="A606" s="13" t="n">
        <v>44</v>
      </c>
      <c r="B606" s="0" t="str">
        <f aca="false">IFERROR(INDEX(Visitas!$B$2:$B$401,MATCH(A606,Visitas!$A$2:$A$401,0)),"")</f>
        <v>UBS Jardim Boer</v>
      </c>
      <c r="C606" s="13" t="s">
        <v>73</v>
      </c>
      <c r="D606" s="0" t="str">
        <f aca="false">IFERROR(INDEX(Itens!$C$2:$C$100,MATCH(C606,Itens!$A$2:$A$100,0)),"")</f>
        <v>Infraestrutura hidráulica</v>
      </c>
      <c r="E606" s="0" t="str">
        <f aca="false">IFERROR(INDEX(Visitas!$C$2:$C$401,MATCH(A606,Visitas!$A$2:$A$401,0)),"")</f>
        <v>2026</v>
      </c>
      <c r="F606" s="0" t="str">
        <f aca="false">IFERROR(INDEX(Itens!$B$2:$B$100,MATCH(C606,Itens!$A$2:$A$100,0)),"")</f>
        <v>I</v>
      </c>
      <c r="G606" s="13" t="n">
        <v>1</v>
      </c>
      <c r="H606" s="13" t="n">
        <v>0</v>
      </c>
    </row>
    <row r="607" customFormat="false" ht="15" hidden="false" customHeight="false" outlineLevel="0" collapsed="false">
      <c r="A607" s="13" t="n">
        <v>44</v>
      </c>
      <c r="B607" s="0" t="str">
        <f aca="false">IFERROR(INDEX(Visitas!$B$2:$B$401,MATCH(A607,Visitas!$A$2:$A$401,0)),"")</f>
        <v>UBS Jardim Boer</v>
      </c>
      <c r="C607" s="13" t="s">
        <v>76</v>
      </c>
      <c r="D607" s="0" t="str">
        <f aca="false">IFERROR(INDEX(Itens!$C$2:$C$100,MATCH(C607,Itens!$A$2:$A$100,0)),"")</f>
        <v>Infraestrutura de comunicação</v>
      </c>
      <c r="E607" s="0" t="str">
        <f aca="false">IFERROR(INDEX(Visitas!$C$2:$C$401,MATCH(A607,Visitas!$A$2:$A$401,0)),"")</f>
        <v>2026</v>
      </c>
      <c r="F607" s="0" t="str">
        <f aca="false">IFERROR(INDEX(Itens!$B$2:$B$100,MATCH(C607,Itens!$A$2:$A$100,0)),"")</f>
        <v>I</v>
      </c>
      <c r="G607" s="13" t="n">
        <v>1</v>
      </c>
      <c r="H607" s="13" t="n">
        <v>0</v>
      </c>
    </row>
    <row r="608" customFormat="false" ht="15" hidden="false" customHeight="false" outlineLevel="0" collapsed="false">
      <c r="A608" s="13" t="n">
        <v>44</v>
      </c>
      <c r="B608" s="0" t="str">
        <f aca="false">IFERROR(INDEX(Visitas!$B$2:$B$401,MATCH(A608,Visitas!$A$2:$A$401,0)),"")</f>
        <v>UBS Jardim Boer</v>
      </c>
      <c r="C608" s="13" t="s">
        <v>79</v>
      </c>
      <c r="D608" s="0" t="str">
        <f aca="false">IFERROR(INDEX(Itens!$C$2:$C$100,MATCH(C608,Itens!$A$2:$A$100,0)),"")</f>
        <v>Equipamentos</v>
      </c>
      <c r="E608" s="0" t="str">
        <f aca="false">IFERROR(INDEX(Visitas!$C$2:$C$401,MATCH(A608,Visitas!$A$2:$A$401,0)),"")</f>
        <v>2026</v>
      </c>
      <c r="F608" s="0" t="str">
        <f aca="false">IFERROR(INDEX(Itens!$B$2:$B$100,MATCH(C608,Itens!$A$2:$A$100,0)),"")</f>
        <v>I</v>
      </c>
      <c r="G608" s="13" t="n">
        <v>1</v>
      </c>
      <c r="H608" s="13" t="n">
        <v>0</v>
      </c>
    </row>
    <row r="609" customFormat="false" ht="15" hidden="false" customHeight="false" outlineLevel="0" collapsed="false">
      <c r="A609" s="13" t="n">
        <v>44</v>
      </c>
      <c r="B609" s="0" t="str">
        <f aca="false">IFERROR(INDEX(Visitas!$B$2:$B$401,MATCH(A609,Visitas!$A$2:$A$401,0)),"")</f>
        <v>UBS Jardim Boer</v>
      </c>
      <c r="C609" s="13" t="s">
        <v>82</v>
      </c>
      <c r="D609" s="0" t="str">
        <f aca="false">IFERROR(INDEX(Itens!$C$2:$C$100,MATCH(C609,Itens!$A$2:$A$100,0)),"")</f>
        <v>Materiais, medicamentos e insumos</v>
      </c>
      <c r="E609" s="0" t="str">
        <f aca="false">IFERROR(INDEX(Visitas!$C$2:$C$401,MATCH(A609,Visitas!$A$2:$A$401,0)),"")</f>
        <v>2026</v>
      </c>
      <c r="F609" s="0" t="str">
        <f aca="false">IFERROR(INDEX(Itens!$B$2:$B$100,MATCH(C609,Itens!$A$2:$A$100,0)),"")</f>
        <v>I</v>
      </c>
      <c r="G609" s="13" t="n">
        <v>1</v>
      </c>
      <c r="H609" s="13" t="n">
        <v>0</v>
      </c>
    </row>
    <row r="610" customFormat="false" ht="15" hidden="false" customHeight="false" outlineLevel="0" collapsed="false">
      <c r="A610" s="13" t="n">
        <v>44</v>
      </c>
      <c r="B610" s="0" t="str">
        <f aca="false">IFERROR(INDEX(Visitas!$B$2:$B$401,MATCH(A610,Visitas!$A$2:$A$401,0)),"")</f>
        <v>UBS Jardim Boer</v>
      </c>
      <c r="C610" s="13" t="s">
        <v>85</v>
      </c>
      <c r="D610" s="0" t="str">
        <f aca="false">IFERROR(INDEX(Itens!$C$2:$C$100,MATCH(C610,Itens!$A$2:$A$100,0)),"")</f>
        <v>Conforto, limpeza e organização</v>
      </c>
      <c r="E610" s="0" t="str">
        <f aca="false">IFERROR(INDEX(Visitas!$C$2:$C$401,MATCH(A610,Visitas!$A$2:$A$401,0)),"")</f>
        <v>2026</v>
      </c>
      <c r="F610" s="0" t="str">
        <f aca="false">IFERROR(INDEX(Itens!$B$2:$B$100,MATCH(C610,Itens!$A$2:$A$100,0)),"")</f>
        <v>I</v>
      </c>
      <c r="G610" s="13" t="n">
        <v>2</v>
      </c>
      <c r="H610" s="13" t="n">
        <v>0</v>
      </c>
    </row>
    <row r="611" customFormat="false" ht="15" hidden="false" customHeight="false" outlineLevel="0" collapsed="false">
      <c r="A611" s="13" t="n">
        <v>44</v>
      </c>
      <c r="B611" s="0" t="str">
        <f aca="false">IFERROR(INDEX(Visitas!$B$2:$B$401,MATCH(A611,Visitas!$A$2:$A$401,0)),"")</f>
        <v>UBS Jardim Boer</v>
      </c>
      <c r="C611" s="13" t="s">
        <v>88</v>
      </c>
      <c r="D611" s="0" t="str">
        <f aca="false">IFERROR(INDEX(Itens!$C$2:$C$100,MATCH(C611,Itens!$A$2:$A$100,0)),"")</f>
        <v>Utilização de indicadores de gestão</v>
      </c>
      <c r="E611" s="0" t="str">
        <f aca="false">IFERROR(INDEX(Visitas!$C$2:$C$401,MATCH(A611,Visitas!$A$2:$A$401,0)),"")</f>
        <v>2026</v>
      </c>
      <c r="F611" s="0" t="str">
        <f aca="false">IFERROR(INDEX(Itens!$B$2:$B$100,MATCH(C611,Itens!$A$2:$A$100,0)),"")</f>
        <v>II</v>
      </c>
      <c r="G611" s="13" t="n">
        <v>2</v>
      </c>
      <c r="H611" s="13" t="n">
        <v>0</v>
      </c>
    </row>
    <row r="612" customFormat="false" ht="15" hidden="false" customHeight="false" outlineLevel="0" collapsed="false">
      <c r="A612" s="13" t="n">
        <v>44</v>
      </c>
      <c r="B612" s="0" t="str">
        <f aca="false">IFERROR(INDEX(Visitas!$B$2:$B$401,MATCH(A612,Visitas!$A$2:$A$401,0)),"")</f>
        <v>UBS Jardim Boer</v>
      </c>
      <c r="C612" s="13" t="s">
        <v>92</v>
      </c>
      <c r="D612" s="0" t="str">
        <f aca="false">IFERROR(INDEX(Itens!$C$2:$C$100,MATCH(C612,Itens!$A$2:$A$100,0)),"")</f>
        <v>Dimensionamento de equipe</v>
      </c>
      <c r="E612" s="0" t="str">
        <f aca="false">IFERROR(INDEX(Visitas!$C$2:$C$401,MATCH(A612,Visitas!$A$2:$A$401,0)),"")</f>
        <v>2026</v>
      </c>
      <c r="F612" s="0" t="str">
        <f aca="false">IFERROR(INDEX(Itens!$B$2:$B$100,MATCH(C612,Itens!$A$2:$A$100,0)),"")</f>
        <v>II</v>
      </c>
      <c r="G612" s="13" t="n">
        <v>2</v>
      </c>
      <c r="H612" s="13" t="n">
        <v>0</v>
      </c>
    </row>
    <row r="613" customFormat="false" ht="15" hidden="false" customHeight="false" outlineLevel="0" collapsed="false">
      <c r="A613" s="13" t="n">
        <v>44</v>
      </c>
      <c r="B613" s="0" t="str">
        <f aca="false">IFERROR(INDEX(Visitas!$B$2:$B$401,MATCH(A613,Visitas!$A$2:$A$401,0)),"")</f>
        <v>UBS Jardim Boer</v>
      </c>
      <c r="C613" s="13" t="s">
        <v>96</v>
      </c>
      <c r="D613" s="0" t="str">
        <f aca="false">IFERROR(INDEX(Itens!$C$2:$C$100,MATCH(C613,Itens!$A$2:$A$100,0)),"")</f>
        <v>Execução do cronograma de capacitação da equipe de trabalho</v>
      </c>
      <c r="E613" s="0" t="str">
        <f aca="false">IFERROR(INDEX(Visitas!$C$2:$C$401,MATCH(A613,Visitas!$A$2:$A$401,0)),"")</f>
        <v>2026</v>
      </c>
      <c r="F613" s="0" t="str">
        <f aca="false">IFERROR(INDEX(Itens!$B$2:$B$100,MATCH(C613,Itens!$A$2:$A$100,0)),"")</f>
        <v>II</v>
      </c>
      <c r="G613" s="13" t="n">
        <v>1</v>
      </c>
      <c r="H613" s="13" t="n">
        <v>0</v>
      </c>
    </row>
    <row r="614" customFormat="false" ht="15" hidden="false" customHeight="false" outlineLevel="0" collapsed="false">
      <c r="A614" s="13" t="n">
        <v>44</v>
      </c>
      <c r="B614" s="0" t="str">
        <f aca="false">IFERROR(INDEX(Visitas!$B$2:$B$401,MATCH(A614,Visitas!$A$2:$A$401,0)),"")</f>
        <v>UBS Jardim Boer</v>
      </c>
      <c r="C614" s="13" t="s">
        <v>100</v>
      </c>
      <c r="D614" s="0" t="str">
        <f aca="false">IFERROR(INDEX(Itens!$C$2:$C$100,MATCH(C614,Itens!$A$2:$A$100,0)),"")</f>
        <v>Disponibilidade de agendamento de consultas, exames e procedimentos</v>
      </c>
      <c r="E614" s="0" t="str">
        <f aca="false">IFERROR(INDEX(Visitas!$C$2:$C$401,MATCH(A614,Visitas!$A$2:$A$401,0)),"")</f>
        <v>2026</v>
      </c>
      <c r="F614" s="0" t="str">
        <f aca="false">IFERROR(INDEX(Itens!$B$2:$B$100,MATCH(C614,Itens!$A$2:$A$100,0)),"")</f>
        <v>II</v>
      </c>
      <c r="G614" s="13" t="n">
        <v>1</v>
      </c>
      <c r="H614" s="13" t="n">
        <v>0</v>
      </c>
    </row>
    <row r="615" customFormat="false" ht="15" hidden="false" customHeight="false" outlineLevel="0" collapsed="false">
      <c r="A615" s="13" t="n">
        <v>44</v>
      </c>
      <c r="B615" s="0" t="str">
        <f aca="false">IFERROR(INDEX(Visitas!$B$2:$B$401,MATCH(A615,Visitas!$A$2:$A$401,0)),"")</f>
        <v>UBS Jardim Boer</v>
      </c>
      <c r="C615" s="13" t="s">
        <v>104</v>
      </c>
      <c r="D615" s="0" t="str">
        <f aca="false">IFERROR(INDEX(Itens!$C$2:$C$100,MATCH(C615,Itens!$A$2:$A$100,0)),"")</f>
        <v>Atendimento aos indicadores do PMS</v>
      </c>
      <c r="E615" s="0" t="str">
        <f aca="false">IFERROR(INDEX(Visitas!$C$2:$C$401,MATCH(A615,Visitas!$A$2:$A$401,0)),"")</f>
        <v>2026</v>
      </c>
      <c r="F615" s="0" t="str">
        <f aca="false">IFERROR(INDEX(Itens!$B$2:$B$100,MATCH(C615,Itens!$A$2:$A$100,0)),"")</f>
        <v>III</v>
      </c>
      <c r="G615" s="13" t="n">
        <v>2</v>
      </c>
      <c r="H615" s="13" t="n">
        <v>0</v>
      </c>
    </row>
    <row r="616" customFormat="false" ht="15" hidden="false" customHeight="false" outlineLevel="0" collapsed="false">
      <c r="A616" s="13" t="n">
        <v>44</v>
      </c>
      <c r="B616" s="0" t="str">
        <f aca="false">IFERROR(INDEX(Visitas!$B$2:$B$401,MATCH(A616,Visitas!$A$2:$A$401,0)),"")</f>
        <v>UBS Jardim Boer</v>
      </c>
      <c r="C616" s="13" t="s">
        <v>109</v>
      </c>
      <c r="D616" s="0" t="str">
        <f aca="false">IFERROR(INDEX(Itens!$C$2:$C$100,MATCH(C616,Itens!$A$2:$A$100,0)),"")</f>
        <v>Registro de reclamações na Ouvidoria do COMSAUDE</v>
      </c>
      <c r="E616" s="0" t="str">
        <f aca="false">IFERROR(INDEX(Visitas!$C$2:$C$401,MATCH(A616,Visitas!$A$2:$A$401,0)),"")</f>
        <v>2026</v>
      </c>
      <c r="F616" s="0" t="str">
        <f aca="false">IFERROR(INDEX(Itens!$B$2:$B$100,MATCH(C616,Itens!$A$2:$A$100,0)),"")</f>
        <v>IV</v>
      </c>
      <c r="G616" s="13" t="n">
        <v>2</v>
      </c>
      <c r="H616" s="13" t="n">
        <v>0</v>
      </c>
    </row>
    <row r="617" customFormat="false" ht="15" hidden="false" customHeight="false" outlineLevel="0" collapsed="false">
      <c r="A617" s="13" t="n">
        <v>44</v>
      </c>
      <c r="B617" s="0" t="str">
        <f aca="false">IFERROR(INDEX(Visitas!$B$2:$B$401,MATCH(A617,Visitas!$A$2:$A$401,0)),"")</f>
        <v>UBS Jardim Boer</v>
      </c>
      <c r="C617" s="13" t="s">
        <v>113</v>
      </c>
      <c r="D617" s="0" t="str">
        <f aca="false">IFERROR(INDEX(Itens!$C$2:$C$100,MATCH(C617,Itens!$A$2:$A$100,0)),"")</f>
        <v>Satisfação dos usuários</v>
      </c>
      <c r="E617" s="0" t="str">
        <f aca="false">IFERROR(INDEX(Visitas!$C$2:$C$401,MATCH(A617,Visitas!$A$2:$A$401,0)),"")</f>
        <v>2026</v>
      </c>
      <c r="F617" s="0" t="str">
        <f aca="false">IFERROR(INDEX(Itens!$B$2:$B$100,MATCH(C617,Itens!$A$2:$A$100,0)),"")</f>
        <v>IV</v>
      </c>
      <c r="G617" s="13" t="n">
        <v>2</v>
      </c>
      <c r="H617" s="13" t="n">
        <v>0</v>
      </c>
    </row>
    <row r="618" customFormat="false" ht="15" hidden="false" customHeight="false" outlineLevel="0" collapsed="false">
      <c r="A618" s="13" t="n">
        <v>45</v>
      </c>
      <c r="B618" s="0" t="str">
        <f aca="false">IFERROR(INDEX(Visitas!$B$2:$B$401,MATCH(A618,Visitas!$A$2:$A$401,0)),"")</f>
        <v>ESF Alvorada</v>
      </c>
      <c r="C618" s="13" t="s">
        <v>65</v>
      </c>
      <c r="D618" s="0" t="str">
        <f aca="false">IFERROR(INDEX(Itens!$C$2:$C$100,MATCH(C618,Itens!$A$2:$A$100,0)),"")</f>
        <v>Infraestrutura civil</v>
      </c>
      <c r="E618" s="0" t="str">
        <f aca="false">IFERROR(INDEX(Visitas!$C$2:$C$401,MATCH(A618,Visitas!$A$2:$A$401,0)),"")</f>
        <v>2026</v>
      </c>
      <c r="F618" s="0" t="str">
        <f aca="false">IFERROR(INDEX(Itens!$B$2:$B$100,MATCH(C618,Itens!$A$2:$A$100,0)),"")</f>
        <v>I</v>
      </c>
      <c r="G618" s="13" t="n">
        <v>1</v>
      </c>
      <c r="H618" s="13" t="n">
        <v>0</v>
      </c>
    </row>
    <row r="619" customFormat="false" ht="15" hidden="false" customHeight="false" outlineLevel="0" collapsed="false">
      <c r="A619" s="13" t="n">
        <v>45</v>
      </c>
      <c r="B619" s="0" t="str">
        <f aca="false">IFERROR(INDEX(Visitas!$B$2:$B$401,MATCH(A619,Visitas!$A$2:$A$401,0)),"")</f>
        <v>ESF Alvorada</v>
      </c>
      <c r="C619" s="13" t="s">
        <v>70</v>
      </c>
      <c r="D619" s="0" t="str">
        <f aca="false">IFERROR(INDEX(Itens!$C$2:$C$100,MATCH(C619,Itens!$A$2:$A$100,0)),"")</f>
        <v>Infraestrutura elétrica</v>
      </c>
      <c r="E619" s="0" t="str">
        <f aca="false">IFERROR(INDEX(Visitas!$C$2:$C$401,MATCH(A619,Visitas!$A$2:$A$401,0)),"")</f>
        <v>2026</v>
      </c>
      <c r="F619" s="0" t="str">
        <f aca="false">IFERROR(INDEX(Itens!$B$2:$B$100,MATCH(C619,Itens!$A$2:$A$100,0)),"")</f>
        <v>I</v>
      </c>
      <c r="G619" s="13" t="n">
        <v>1</v>
      </c>
      <c r="H619" s="13" t="n">
        <v>0</v>
      </c>
    </row>
    <row r="620" customFormat="false" ht="15" hidden="false" customHeight="false" outlineLevel="0" collapsed="false">
      <c r="A620" s="13" t="n">
        <v>45</v>
      </c>
      <c r="B620" s="0" t="str">
        <f aca="false">IFERROR(INDEX(Visitas!$B$2:$B$401,MATCH(A620,Visitas!$A$2:$A$401,0)),"")</f>
        <v>ESF Alvorada</v>
      </c>
      <c r="C620" s="13" t="s">
        <v>73</v>
      </c>
      <c r="D620" s="0" t="str">
        <f aca="false">IFERROR(INDEX(Itens!$C$2:$C$100,MATCH(C620,Itens!$A$2:$A$100,0)),"")</f>
        <v>Infraestrutura hidráulica</v>
      </c>
      <c r="E620" s="0" t="str">
        <f aca="false">IFERROR(INDEX(Visitas!$C$2:$C$401,MATCH(A620,Visitas!$A$2:$A$401,0)),"")</f>
        <v>2026</v>
      </c>
      <c r="F620" s="0" t="str">
        <f aca="false">IFERROR(INDEX(Itens!$B$2:$B$100,MATCH(C620,Itens!$A$2:$A$100,0)),"")</f>
        <v>I</v>
      </c>
      <c r="G620" s="13" t="n">
        <v>2</v>
      </c>
      <c r="H620" s="13" t="n">
        <v>0</v>
      </c>
    </row>
    <row r="621" customFormat="false" ht="15" hidden="false" customHeight="false" outlineLevel="0" collapsed="false">
      <c r="A621" s="13" t="n">
        <v>45</v>
      </c>
      <c r="B621" s="0" t="str">
        <f aca="false">IFERROR(INDEX(Visitas!$B$2:$B$401,MATCH(A621,Visitas!$A$2:$A$401,0)),"")</f>
        <v>ESF Alvorada</v>
      </c>
      <c r="C621" s="13" t="s">
        <v>76</v>
      </c>
      <c r="D621" s="0" t="str">
        <f aca="false">IFERROR(INDEX(Itens!$C$2:$C$100,MATCH(C621,Itens!$A$2:$A$100,0)),"")</f>
        <v>Infraestrutura de comunicação</v>
      </c>
      <c r="E621" s="0" t="str">
        <f aca="false">IFERROR(INDEX(Visitas!$C$2:$C$401,MATCH(A621,Visitas!$A$2:$A$401,0)),"")</f>
        <v>2026</v>
      </c>
      <c r="F621" s="0" t="str">
        <f aca="false">IFERROR(INDEX(Itens!$B$2:$B$100,MATCH(C621,Itens!$A$2:$A$100,0)),"")</f>
        <v>I</v>
      </c>
      <c r="G621" s="13" t="n">
        <v>1</v>
      </c>
      <c r="H621" s="13" t="n">
        <v>0</v>
      </c>
    </row>
    <row r="622" customFormat="false" ht="15" hidden="false" customHeight="false" outlineLevel="0" collapsed="false">
      <c r="A622" s="13" t="n">
        <v>45</v>
      </c>
      <c r="B622" s="0" t="str">
        <f aca="false">IFERROR(INDEX(Visitas!$B$2:$B$401,MATCH(A622,Visitas!$A$2:$A$401,0)),"")</f>
        <v>ESF Alvorada</v>
      </c>
      <c r="C622" s="13" t="s">
        <v>79</v>
      </c>
      <c r="D622" s="0" t="str">
        <f aca="false">IFERROR(INDEX(Itens!$C$2:$C$100,MATCH(C622,Itens!$A$2:$A$100,0)),"")</f>
        <v>Equipamentos</v>
      </c>
      <c r="E622" s="0" t="str">
        <f aca="false">IFERROR(INDEX(Visitas!$C$2:$C$401,MATCH(A622,Visitas!$A$2:$A$401,0)),"")</f>
        <v>2026</v>
      </c>
      <c r="F622" s="0" t="str">
        <f aca="false">IFERROR(INDEX(Itens!$B$2:$B$100,MATCH(C622,Itens!$A$2:$A$100,0)),"")</f>
        <v>I</v>
      </c>
      <c r="G622" s="13" t="n">
        <v>1</v>
      </c>
      <c r="H622" s="13" t="n">
        <v>0</v>
      </c>
    </row>
    <row r="623" customFormat="false" ht="15" hidden="false" customHeight="false" outlineLevel="0" collapsed="false">
      <c r="A623" s="13" t="n">
        <v>45</v>
      </c>
      <c r="B623" s="0" t="str">
        <f aca="false">IFERROR(INDEX(Visitas!$B$2:$B$401,MATCH(A623,Visitas!$A$2:$A$401,0)),"")</f>
        <v>ESF Alvorada</v>
      </c>
      <c r="C623" s="13" t="s">
        <v>82</v>
      </c>
      <c r="D623" s="0" t="str">
        <f aca="false">IFERROR(INDEX(Itens!$C$2:$C$100,MATCH(C623,Itens!$A$2:$A$100,0)),"")</f>
        <v>Materiais, medicamentos e insumos</v>
      </c>
      <c r="E623" s="0" t="str">
        <f aca="false">IFERROR(INDEX(Visitas!$C$2:$C$401,MATCH(A623,Visitas!$A$2:$A$401,0)),"")</f>
        <v>2026</v>
      </c>
      <c r="F623" s="0" t="str">
        <f aca="false">IFERROR(INDEX(Itens!$B$2:$B$100,MATCH(C623,Itens!$A$2:$A$100,0)),"")</f>
        <v>I</v>
      </c>
      <c r="G623" s="13" t="n">
        <v>2</v>
      </c>
      <c r="H623" s="13" t="n">
        <v>0</v>
      </c>
    </row>
    <row r="624" customFormat="false" ht="15" hidden="false" customHeight="false" outlineLevel="0" collapsed="false">
      <c r="A624" s="13" t="n">
        <v>45</v>
      </c>
      <c r="B624" s="0" t="str">
        <f aca="false">IFERROR(INDEX(Visitas!$B$2:$B$401,MATCH(A624,Visitas!$A$2:$A$401,0)),"")</f>
        <v>ESF Alvorada</v>
      </c>
      <c r="C624" s="13" t="s">
        <v>85</v>
      </c>
      <c r="D624" s="0" t="str">
        <f aca="false">IFERROR(INDEX(Itens!$C$2:$C$100,MATCH(C624,Itens!$A$2:$A$100,0)),"")</f>
        <v>Conforto, limpeza e organização</v>
      </c>
      <c r="E624" s="0" t="str">
        <f aca="false">IFERROR(INDEX(Visitas!$C$2:$C$401,MATCH(A624,Visitas!$A$2:$A$401,0)),"")</f>
        <v>2026</v>
      </c>
      <c r="F624" s="0" t="str">
        <f aca="false">IFERROR(INDEX(Itens!$B$2:$B$100,MATCH(C624,Itens!$A$2:$A$100,0)),"")</f>
        <v>I</v>
      </c>
      <c r="G624" s="13" t="n">
        <v>2</v>
      </c>
      <c r="H624" s="13" t="n">
        <v>0</v>
      </c>
    </row>
    <row r="625" customFormat="false" ht="15" hidden="false" customHeight="false" outlineLevel="0" collapsed="false">
      <c r="A625" s="13" t="n">
        <v>45</v>
      </c>
      <c r="B625" s="0" t="str">
        <f aca="false">IFERROR(INDEX(Visitas!$B$2:$B$401,MATCH(A625,Visitas!$A$2:$A$401,0)),"")</f>
        <v>ESF Alvorada</v>
      </c>
      <c r="C625" s="13" t="s">
        <v>88</v>
      </c>
      <c r="D625" s="0" t="str">
        <f aca="false">IFERROR(INDEX(Itens!$C$2:$C$100,MATCH(C625,Itens!$A$2:$A$100,0)),"")</f>
        <v>Utilização de indicadores de gestão</v>
      </c>
      <c r="E625" s="0" t="str">
        <f aca="false">IFERROR(INDEX(Visitas!$C$2:$C$401,MATCH(A625,Visitas!$A$2:$A$401,0)),"")</f>
        <v>2026</v>
      </c>
      <c r="F625" s="0" t="str">
        <f aca="false">IFERROR(INDEX(Itens!$B$2:$B$100,MATCH(C625,Itens!$A$2:$A$100,0)),"")</f>
        <v>II</v>
      </c>
      <c r="G625" s="13" t="n">
        <v>1</v>
      </c>
      <c r="H625" s="13" t="n">
        <v>0</v>
      </c>
    </row>
    <row r="626" customFormat="false" ht="15" hidden="false" customHeight="false" outlineLevel="0" collapsed="false">
      <c r="A626" s="13" t="n">
        <v>45</v>
      </c>
      <c r="B626" s="0" t="str">
        <f aca="false">IFERROR(INDEX(Visitas!$B$2:$B$401,MATCH(A626,Visitas!$A$2:$A$401,0)),"")</f>
        <v>ESF Alvorada</v>
      </c>
      <c r="C626" s="13" t="s">
        <v>92</v>
      </c>
      <c r="D626" s="0" t="str">
        <f aca="false">IFERROR(INDEX(Itens!$C$2:$C$100,MATCH(C626,Itens!$A$2:$A$100,0)),"")</f>
        <v>Dimensionamento de equipe</v>
      </c>
      <c r="E626" s="0" t="str">
        <f aca="false">IFERROR(INDEX(Visitas!$C$2:$C$401,MATCH(A626,Visitas!$A$2:$A$401,0)),"")</f>
        <v>2026</v>
      </c>
      <c r="F626" s="0" t="str">
        <f aca="false">IFERROR(INDEX(Itens!$B$2:$B$100,MATCH(C626,Itens!$A$2:$A$100,0)),"")</f>
        <v>II</v>
      </c>
      <c r="G626" s="13" t="n">
        <v>1</v>
      </c>
      <c r="H626" s="13" t="n">
        <v>0</v>
      </c>
    </row>
    <row r="627" customFormat="false" ht="15" hidden="false" customHeight="false" outlineLevel="0" collapsed="false">
      <c r="A627" s="13" t="n">
        <v>45</v>
      </c>
      <c r="B627" s="0" t="str">
        <f aca="false">IFERROR(INDEX(Visitas!$B$2:$B$401,MATCH(A627,Visitas!$A$2:$A$401,0)),"")</f>
        <v>ESF Alvorada</v>
      </c>
      <c r="C627" s="13" t="s">
        <v>96</v>
      </c>
      <c r="D627" s="0" t="str">
        <f aca="false">IFERROR(INDEX(Itens!$C$2:$C$100,MATCH(C627,Itens!$A$2:$A$100,0)),"")</f>
        <v>Execução do cronograma de capacitação da equipe de trabalho</v>
      </c>
      <c r="E627" s="0" t="str">
        <f aca="false">IFERROR(INDEX(Visitas!$C$2:$C$401,MATCH(A627,Visitas!$A$2:$A$401,0)),"")</f>
        <v>2026</v>
      </c>
      <c r="F627" s="0" t="str">
        <f aca="false">IFERROR(INDEX(Itens!$B$2:$B$100,MATCH(C627,Itens!$A$2:$A$100,0)),"")</f>
        <v>II</v>
      </c>
      <c r="G627" s="13" t="n">
        <v>2</v>
      </c>
      <c r="H627" s="13" t="n">
        <v>0</v>
      </c>
    </row>
    <row r="628" customFormat="false" ht="15" hidden="false" customHeight="false" outlineLevel="0" collapsed="false">
      <c r="A628" s="13" t="n">
        <v>45</v>
      </c>
      <c r="B628" s="0" t="str">
        <f aca="false">IFERROR(INDEX(Visitas!$B$2:$B$401,MATCH(A628,Visitas!$A$2:$A$401,0)),"")</f>
        <v>ESF Alvorada</v>
      </c>
      <c r="C628" s="13" t="s">
        <v>100</v>
      </c>
      <c r="D628" s="0" t="str">
        <f aca="false">IFERROR(INDEX(Itens!$C$2:$C$100,MATCH(C628,Itens!$A$2:$A$100,0)),"")</f>
        <v>Disponibilidade de agendamento de consultas, exames e procedimentos</v>
      </c>
      <c r="E628" s="0" t="str">
        <f aca="false">IFERROR(INDEX(Visitas!$C$2:$C$401,MATCH(A628,Visitas!$A$2:$A$401,0)),"")</f>
        <v>2026</v>
      </c>
      <c r="F628" s="0" t="str">
        <f aca="false">IFERROR(INDEX(Itens!$B$2:$B$100,MATCH(C628,Itens!$A$2:$A$100,0)),"")</f>
        <v>II</v>
      </c>
      <c r="G628" s="13" t="n">
        <v>1</v>
      </c>
      <c r="H628" s="13" t="n">
        <v>0</v>
      </c>
    </row>
    <row r="629" customFormat="false" ht="15" hidden="false" customHeight="false" outlineLevel="0" collapsed="false">
      <c r="A629" s="13" t="n">
        <v>45</v>
      </c>
      <c r="B629" s="0" t="str">
        <f aca="false">IFERROR(INDEX(Visitas!$B$2:$B$401,MATCH(A629,Visitas!$A$2:$A$401,0)),"")</f>
        <v>ESF Alvorada</v>
      </c>
      <c r="C629" s="13" t="s">
        <v>104</v>
      </c>
      <c r="D629" s="0" t="str">
        <f aca="false">IFERROR(INDEX(Itens!$C$2:$C$100,MATCH(C629,Itens!$A$2:$A$100,0)),"")</f>
        <v>Atendimento aos indicadores do PMS</v>
      </c>
      <c r="E629" s="0" t="str">
        <f aca="false">IFERROR(INDEX(Visitas!$C$2:$C$401,MATCH(A629,Visitas!$A$2:$A$401,0)),"")</f>
        <v>2026</v>
      </c>
      <c r="F629" s="0" t="str">
        <f aca="false">IFERROR(INDEX(Itens!$B$2:$B$100,MATCH(C629,Itens!$A$2:$A$100,0)),"")</f>
        <v>III</v>
      </c>
      <c r="G629" s="13" t="n">
        <v>2</v>
      </c>
      <c r="H629" s="13" t="n">
        <v>0</v>
      </c>
    </row>
    <row r="630" customFormat="false" ht="15" hidden="false" customHeight="false" outlineLevel="0" collapsed="false">
      <c r="A630" s="13" t="n">
        <v>45</v>
      </c>
      <c r="B630" s="0" t="str">
        <f aca="false">IFERROR(INDEX(Visitas!$B$2:$B$401,MATCH(A630,Visitas!$A$2:$A$401,0)),"")</f>
        <v>ESF Alvorada</v>
      </c>
      <c r="C630" s="13" t="s">
        <v>109</v>
      </c>
      <c r="D630" s="0" t="str">
        <f aca="false">IFERROR(INDEX(Itens!$C$2:$C$100,MATCH(C630,Itens!$A$2:$A$100,0)),"")</f>
        <v>Registro de reclamações na Ouvidoria do COMSAUDE</v>
      </c>
      <c r="E630" s="0" t="str">
        <f aca="false">IFERROR(INDEX(Visitas!$C$2:$C$401,MATCH(A630,Visitas!$A$2:$A$401,0)),"")</f>
        <v>2026</v>
      </c>
      <c r="F630" s="0" t="str">
        <f aca="false">IFERROR(INDEX(Itens!$B$2:$B$100,MATCH(C630,Itens!$A$2:$A$100,0)),"")</f>
        <v>IV</v>
      </c>
      <c r="G630" s="13" t="n">
        <v>2</v>
      </c>
      <c r="H630" s="13" t="n">
        <v>0</v>
      </c>
    </row>
    <row r="631" customFormat="false" ht="15" hidden="false" customHeight="false" outlineLevel="0" collapsed="false">
      <c r="A631" s="13" t="n">
        <v>45</v>
      </c>
      <c r="B631" s="0" t="str">
        <f aca="false">IFERROR(INDEX(Visitas!$B$2:$B$401,MATCH(A631,Visitas!$A$2:$A$401,0)),"")</f>
        <v>ESF Alvorada</v>
      </c>
      <c r="C631" s="13" t="s">
        <v>113</v>
      </c>
      <c r="D631" s="0" t="str">
        <f aca="false">IFERROR(INDEX(Itens!$C$2:$C$100,MATCH(C631,Itens!$A$2:$A$100,0)),"")</f>
        <v>Satisfação dos usuários</v>
      </c>
      <c r="E631" s="0" t="str">
        <f aca="false">IFERROR(INDEX(Visitas!$C$2:$C$401,MATCH(A631,Visitas!$A$2:$A$401,0)),"")</f>
        <v>2026</v>
      </c>
      <c r="F631" s="0" t="str">
        <f aca="false">IFERROR(INDEX(Itens!$B$2:$B$100,MATCH(C631,Itens!$A$2:$A$100,0)),"")</f>
        <v>IV</v>
      </c>
      <c r="G631" s="13" t="n">
        <v>2</v>
      </c>
      <c r="H631" s="13" t="n">
        <v>0</v>
      </c>
    </row>
    <row r="632" customFormat="false" ht="15" hidden="false" customHeight="false" outlineLevel="0" collapsed="false">
      <c r="A632" s="13" t="n">
        <v>46</v>
      </c>
      <c r="B632" s="0" t="str">
        <f aca="false">IFERROR(INDEX(Visitas!$B$2:$B$401,MATCH(A632,Visitas!$A$2:$A$401,0)),"")</f>
        <v>ESF Mário Covas</v>
      </c>
      <c r="C632" s="13" t="s">
        <v>65</v>
      </c>
      <c r="D632" s="0" t="str">
        <f aca="false">IFERROR(INDEX(Itens!$C$2:$C$100,MATCH(C632,Itens!$A$2:$A$100,0)),"")</f>
        <v>Infraestrutura civil</v>
      </c>
      <c r="E632" s="0" t="str">
        <f aca="false">IFERROR(INDEX(Visitas!$C$2:$C$401,MATCH(A632,Visitas!$A$2:$A$401,0)),"")</f>
        <v>2026</v>
      </c>
      <c r="F632" s="0" t="str">
        <f aca="false">IFERROR(INDEX(Itens!$B$2:$B$100,MATCH(C632,Itens!$A$2:$A$100,0)),"")</f>
        <v>I</v>
      </c>
      <c r="G632" s="13" t="n">
        <v>1</v>
      </c>
      <c r="H632" s="13" t="n">
        <v>0</v>
      </c>
    </row>
    <row r="633" customFormat="false" ht="15" hidden="false" customHeight="false" outlineLevel="0" collapsed="false">
      <c r="A633" s="13" t="n">
        <v>46</v>
      </c>
      <c r="B633" s="0" t="str">
        <f aca="false">IFERROR(INDEX(Visitas!$B$2:$B$401,MATCH(A633,Visitas!$A$2:$A$401,0)),"")</f>
        <v>ESF Mário Covas</v>
      </c>
      <c r="C633" s="13" t="s">
        <v>70</v>
      </c>
      <c r="D633" s="0" t="str">
        <f aca="false">IFERROR(INDEX(Itens!$C$2:$C$100,MATCH(C633,Itens!$A$2:$A$100,0)),"")</f>
        <v>Infraestrutura elétrica</v>
      </c>
      <c r="E633" s="0" t="str">
        <f aca="false">IFERROR(INDEX(Visitas!$C$2:$C$401,MATCH(A633,Visitas!$A$2:$A$401,0)),"")</f>
        <v>2026</v>
      </c>
      <c r="F633" s="0" t="str">
        <f aca="false">IFERROR(INDEX(Itens!$B$2:$B$100,MATCH(C633,Itens!$A$2:$A$100,0)),"")</f>
        <v>I</v>
      </c>
      <c r="G633" s="13" t="n">
        <v>1</v>
      </c>
      <c r="H633" s="13" t="n">
        <v>0</v>
      </c>
    </row>
    <row r="634" customFormat="false" ht="15" hidden="false" customHeight="false" outlineLevel="0" collapsed="false">
      <c r="A634" s="13" t="n">
        <v>46</v>
      </c>
      <c r="B634" s="0" t="str">
        <f aca="false">IFERROR(INDEX(Visitas!$B$2:$B$401,MATCH(A634,Visitas!$A$2:$A$401,0)),"")</f>
        <v>ESF Mário Covas</v>
      </c>
      <c r="C634" s="13" t="s">
        <v>73</v>
      </c>
      <c r="D634" s="0" t="str">
        <f aca="false">IFERROR(INDEX(Itens!$C$2:$C$100,MATCH(C634,Itens!$A$2:$A$100,0)),"")</f>
        <v>Infraestrutura hidráulica</v>
      </c>
      <c r="E634" s="0" t="str">
        <f aca="false">IFERROR(INDEX(Visitas!$C$2:$C$401,MATCH(A634,Visitas!$A$2:$A$401,0)),"")</f>
        <v>2026</v>
      </c>
      <c r="F634" s="0" t="str">
        <f aca="false">IFERROR(INDEX(Itens!$B$2:$B$100,MATCH(C634,Itens!$A$2:$A$100,0)),"")</f>
        <v>I</v>
      </c>
      <c r="G634" s="13" t="n">
        <v>2</v>
      </c>
      <c r="H634" s="13" t="n">
        <v>0</v>
      </c>
    </row>
    <row r="635" customFormat="false" ht="15" hidden="false" customHeight="false" outlineLevel="0" collapsed="false">
      <c r="A635" s="13" t="n">
        <v>46</v>
      </c>
      <c r="B635" s="0" t="str">
        <f aca="false">IFERROR(INDEX(Visitas!$B$2:$B$401,MATCH(A635,Visitas!$A$2:$A$401,0)),"")</f>
        <v>ESF Mário Covas</v>
      </c>
      <c r="C635" s="13" t="s">
        <v>76</v>
      </c>
      <c r="D635" s="0" t="str">
        <f aca="false">IFERROR(INDEX(Itens!$C$2:$C$100,MATCH(C635,Itens!$A$2:$A$100,0)),"")</f>
        <v>Infraestrutura de comunicação</v>
      </c>
      <c r="E635" s="0" t="str">
        <f aca="false">IFERROR(INDEX(Visitas!$C$2:$C$401,MATCH(A635,Visitas!$A$2:$A$401,0)),"")</f>
        <v>2026</v>
      </c>
      <c r="F635" s="0" t="str">
        <f aca="false">IFERROR(INDEX(Itens!$B$2:$B$100,MATCH(C635,Itens!$A$2:$A$100,0)),"")</f>
        <v>I</v>
      </c>
      <c r="G635" s="13" t="n">
        <v>1</v>
      </c>
      <c r="H635" s="13" t="n">
        <v>0</v>
      </c>
    </row>
    <row r="636" customFormat="false" ht="15" hidden="false" customHeight="false" outlineLevel="0" collapsed="false">
      <c r="A636" s="13" t="n">
        <v>46</v>
      </c>
      <c r="B636" s="0" t="str">
        <f aca="false">IFERROR(INDEX(Visitas!$B$2:$B$401,MATCH(A636,Visitas!$A$2:$A$401,0)),"")</f>
        <v>ESF Mário Covas</v>
      </c>
      <c r="C636" s="13" t="s">
        <v>79</v>
      </c>
      <c r="D636" s="0" t="str">
        <f aca="false">IFERROR(INDEX(Itens!$C$2:$C$100,MATCH(C636,Itens!$A$2:$A$100,0)),"")</f>
        <v>Equipamentos</v>
      </c>
      <c r="E636" s="0" t="str">
        <f aca="false">IFERROR(INDEX(Visitas!$C$2:$C$401,MATCH(A636,Visitas!$A$2:$A$401,0)),"")</f>
        <v>2026</v>
      </c>
      <c r="F636" s="0" t="str">
        <f aca="false">IFERROR(INDEX(Itens!$B$2:$B$100,MATCH(C636,Itens!$A$2:$A$100,0)),"")</f>
        <v>I</v>
      </c>
      <c r="G636" s="13" t="n">
        <v>1</v>
      </c>
      <c r="H636" s="13" t="n">
        <v>0</v>
      </c>
    </row>
    <row r="637" customFormat="false" ht="15" hidden="false" customHeight="false" outlineLevel="0" collapsed="false">
      <c r="A637" s="13" t="n">
        <v>46</v>
      </c>
      <c r="B637" s="0" t="str">
        <f aca="false">IFERROR(INDEX(Visitas!$B$2:$B$401,MATCH(A637,Visitas!$A$2:$A$401,0)),"")</f>
        <v>ESF Mário Covas</v>
      </c>
      <c r="C637" s="13" t="s">
        <v>82</v>
      </c>
      <c r="D637" s="0" t="str">
        <f aca="false">IFERROR(INDEX(Itens!$C$2:$C$100,MATCH(C637,Itens!$A$2:$A$100,0)),"")</f>
        <v>Materiais, medicamentos e insumos</v>
      </c>
      <c r="E637" s="0" t="str">
        <f aca="false">IFERROR(INDEX(Visitas!$C$2:$C$401,MATCH(A637,Visitas!$A$2:$A$401,0)),"")</f>
        <v>2026</v>
      </c>
      <c r="F637" s="0" t="str">
        <f aca="false">IFERROR(INDEX(Itens!$B$2:$B$100,MATCH(C637,Itens!$A$2:$A$100,0)),"")</f>
        <v>I</v>
      </c>
      <c r="G637" s="13" t="n">
        <v>2</v>
      </c>
      <c r="H637" s="13" t="n">
        <v>0</v>
      </c>
    </row>
    <row r="638" customFormat="false" ht="15" hidden="false" customHeight="false" outlineLevel="0" collapsed="false">
      <c r="A638" s="13" t="n">
        <v>46</v>
      </c>
      <c r="B638" s="0" t="str">
        <f aca="false">IFERROR(INDEX(Visitas!$B$2:$B$401,MATCH(A638,Visitas!$A$2:$A$401,0)),"")</f>
        <v>ESF Mário Covas</v>
      </c>
      <c r="C638" s="13" t="s">
        <v>85</v>
      </c>
      <c r="D638" s="0" t="str">
        <f aca="false">IFERROR(INDEX(Itens!$C$2:$C$100,MATCH(C638,Itens!$A$2:$A$100,0)),"")</f>
        <v>Conforto, limpeza e organização</v>
      </c>
      <c r="E638" s="0" t="str">
        <f aca="false">IFERROR(INDEX(Visitas!$C$2:$C$401,MATCH(A638,Visitas!$A$2:$A$401,0)),"")</f>
        <v>2026</v>
      </c>
      <c r="F638" s="0" t="str">
        <f aca="false">IFERROR(INDEX(Itens!$B$2:$B$100,MATCH(C638,Itens!$A$2:$A$100,0)),"")</f>
        <v>I</v>
      </c>
      <c r="G638" s="13" t="n">
        <v>2</v>
      </c>
      <c r="H638" s="13" t="n">
        <v>0</v>
      </c>
    </row>
    <row r="639" customFormat="false" ht="15" hidden="false" customHeight="false" outlineLevel="0" collapsed="false">
      <c r="A639" s="13" t="n">
        <v>46</v>
      </c>
      <c r="B639" s="0" t="str">
        <f aca="false">IFERROR(INDEX(Visitas!$B$2:$B$401,MATCH(A639,Visitas!$A$2:$A$401,0)),"")</f>
        <v>ESF Mário Covas</v>
      </c>
      <c r="C639" s="13" t="s">
        <v>88</v>
      </c>
      <c r="D639" s="0" t="str">
        <f aca="false">IFERROR(INDEX(Itens!$C$2:$C$100,MATCH(C639,Itens!$A$2:$A$100,0)),"")</f>
        <v>Utilização de indicadores de gestão</v>
      </c>
      <c r="E639" s="0" t="str">
        <f aca="false">IFERROR(INDEX(Visitas!$C$2:$C$401,MATCH(A639,Visitas!$A$2:$A$401,0)),"")</f>
        <v>2026</v>
      </c>
      <c r="F639" s="0" t="str">
        <f aca="false">IFERROR(INDEX(Itens!$B$2:$B$100,MATCH(C639,Itens!$A$2:$A$100,0)),"")</f>
        <v>II</v>
      </c>
      <c r="G639" s="13" t="n">
        <v>1</v>
      </c>
      <c r="H639" s="13" t="n">
        <v>0</v>
      </c>
    </row>
    <row r="640" customFormat="false" ht="15" hidden="false" customHeight="false" outlineLevel="0" collapsed="false">
      <c r="A640" s="13" t="n">
        <v>46</v>
      </c>
      <c r="B640" s="0" t="str">
        <f aca="false">IFERROR(INDEX(Visitas!$B$2:$B$401,MATCH(A640,Visitas!$A$2:$A$401,0)),"")</f>
        <v>ESF Mário Covas</v>
      </c>
      <c r="C640" s="13" t="s">
        <v>92</v>
      </c>
      <c r="D640" s="0" t="str">
        <f aca="false">IFERROR(INDEX(Itens!$C$2:$C$100,MATCH(C640,Itens!$A$2:$A$100,0)),"")</f>
        <v>Dimensionamento de equipe</v>
      </c>
      <c r="E640" s="0" t="str">
        <f aca="false">IFERROR(INDEX(Visitas!$C$2:$C$401,MATCH(A640,Visitas!$A$2:$A$401,0)),"")</f>
        <v>2026</v>
      </c>
      <c r="F640" s="0" t="str">
        <f aca="false">IFERROR(INDEX(Itens!$B$2:$B$100,MATCH(C640,Itens!$A$2:$A$100,0)),"")</f>
        <v>II</v>
      </c>
      <c r="G640" s="13" t="n">
        <v>1</v>
      </c>
      <c r="H640" s="13" t="n">
        <v>0</v>
      </c>
    </row>
    <row r="641" customFormat="false" ht="15" hidden="false" customHeight="false" outlineLevel="0" collapsed="false">
      <c r="A641" s="13" t="n">
        <v>46</v>
      </c>
      <c r="B641" s="0" t="str">
        <f aca="false">IFERROR(INDEX(Visitas!$B$2:$B$401,MATCH(A641,Visitas!$A$2:$A$401,0)),"")</f>
        <v>ESF Mário Covas</v>
      </c>
      <c r="C641" s="13" t="s">
        <v>96</v>
      </c>
      <c r="D641" s="0" t="str">
        <f aca="false">IFERROR(INDEX(Itens!$C$2:$C$100,MATCH(C641,Itens!$A$2:$A$100,0)),"")</f>
        <v>Execução do cronograma de capacitação da equipe de trabalho</v>
      </c>
      <c r="E641" s="0" t="str">
        <f aca="false">IFERROR(INDEX(Visitas!$C$2:$C$401,MATCH(A641,Visitas!$A$2:$A$401,0)),"")</f>
        <v>2026</v>
      </c>
      <c r="F641" s="0" t="str">
        <f aca="false">IFERROR(INDEX(Itens!$B$2:$B$100,MATCH(C641,Itens!$A$2:$A$100,0)),"")</f>
        <v>II</v>
      </c>
      <c r="G641" s="13" t="n">
        <v>1</v>
      </c>
      <c r="H641" s="13" t="n">
        <v>0</v>
      </c>
    </row>
    <row r="642" customFormat="false" ht="15" hidden="false" customHeight="false" outlineLevel="0" collapsed="false">
      <c r="A642" s="13" t="n">
        <v>46</v>
      </c>
      <c r="B642" s="0" t="str">
        <f aca="false">IFERROR(INDEX(Visitas!$B$2:$B$401,MATCH(A642,Visitas!$A$2:$A$401,0)),"")</f>
        <v>ESF Mário Covas</v>
      </c>
      <c r="C642" s="13" t="s">
        <v>100</v>
      </c>
      <c r="D642" s="0" t="str">
        <f aca="false">IFERROR(INDEX(Itens!$C$2:$C$100,MATCH(C642,Itens!$A$2:$A$100,0)),"")</f>
        <v>Disponibilidade de agendamento de consultas, exames e procedimentos</v>
      </c>
      <c r="E642" s="0" t="str">
        <f aca="false">IFERROR(INDEX(Visitas!$C$2:$C$401,MATCH(A642,Visitas!$A$2:$A$401,0)),"")</f>
        <v>2026</v>
      </c>
      <c r="F642" s="0" t="str">
        <f aca="false">IFERROR(INDEX(Itens!$B$2:$B$100,MATCH(C642,Itens!$A$2:$A$100,0)),"")</f>
        <v>II</v>
      </c>
      <c r="G642" s="13" t="n">
        <v>1</v>
      </c>
      <c r="H642" s="13" t="n">
        <v>0</v>
      </c>
    </row>
    <row r="643" customFormat="false" ht="15" hidden="false" customHeight="false" outlineLevel="0" collapsed="false">
      <c r="A643" s="13" t="n">
        <v>46</v>
      </c>
      <c r="B643" s="0" t="str">
        <f aca="false">IFERROR(INDEX(Visitas!$B$2:$B$401,MATCH(A643,Visitas!$A$2:$A$401,0)),"")</f>
        <v>ESF Mário Covas</v>
      </c>
      <c r="C643" s="13" t="s">
        <v>104</v>
      </c>
      <c r="D643" s="0" t="str">
        <f aca="false">IFERROR(INDEX(Itens!$C$2:$C$100,MATCH(C643,Itens!$A$2:$A$100,0)),"")</f>
        <v>Atendimento aos indicadores do PMS</v>
      </c>
      <c r="E643" s="0" t="str">
        <f aca="false">IFERROR(INDEX(Visitas!$C$2:$C$401,MATCH(A643,Visitas!$A$2:$A$401,0)),"")</f>
        <v>2026</v>
      </c>
      <c r="F643" s="0" t="str">
        <f aca="false">IFERROR(INDEX(Itens!$B$2:$B$100,MATCH(C643,Itens!$A$2:$A$100,0)),"")</f>
        <v>III</v>
      </c>
      <c r="G643" s="13" t="n">
        <v>1</v>
      </c>
      <c r="H643" s="13" t="n">
        <v>0</v>
      </c>
    </row>
    <row r="644" customFormat="false" ht="15" hidden="false" customHeight="false" outlineLevel="0" collapsed="false">
      <c r="A644" s="13" t="n">
        <v>46</v>
      </c>
      <c r="B644" s="0" t="str">
        <f aca="false">IFERROR(INDEX(Visitas!$B$2:$B$401,MATCH(A644,Visitas!$A$2:$A$401,0)),"")</f>
        <v>ESF Mário Covas</v>
      </c>
      <c r="C644" s="13" t="s">
        <v>109</v>
      </c>
      <c r="D644" s="0" t="str">
        <f aca="false">IFERROR(INDEX(Itens!$C$2:$C$100,MATCH(C644,Itens!$A$2:$A$100,0)),"")</f>
        <v>Registro de reclamações na Ouvidoria do COMSAUDE</v>
      </c>
      <c r="E644" s="0" t="str">
        <f aca="false">IFERROR(INDEX(Visitas!$C$2:$C$401,MATCH(A644,Visitas!$A$2:$A$401,0)),"")</f>
        <v>2026</v>
      </c>
      <c r="F644" s="0" t="str">
        <f aca="false">IFERROR(INDEX(Itens!$B$2:$B$100,MATCH(C644,Itens!$A$2:$A$100,0)),"")</f>
        <v>IV</v>
      </c>
      <c r="G644" s="13" t="n">
        <v>2</v>
      </c>
      <c r="H644" s="13" t="n">
        <v>0</v>
      </c>
    </row>
    <row r="645" customFormat="false" ht="15" hidden="false" customHeight="false" outlineLevel="0" collapsed="false">
      <c r="A645" s="13" t="n">
        <v>46</v>
      </c>
      <c r="B645" s="0" t="str">
        <f aca="false">IFERROR(INDEX(Visitas!$B$2:$B$401,MATCH(A645,Visitas!$A$2:$A$401,0)),"")</f>
        <v>ESF Mário Covas</v>
      </c>
      <c r="C645" s="13" t="s">
        <v>113</v>
      </c>
      <c r="D645" s="0" t="str">
        <f aca="false">IFERROR(INDEX(Itens!$C$2:$C$100,MATCH(C645,Itens!$A$2:$A$100,0)),"")</f>
        <v>Satisfação dos usuários</v>
      </c>
      <c r="E645" s="0" t="str">
        <f aca="false">IFERROR(INDEX(Visitas!$C$2:$C$401,MATCH(A645,Visitas!$A$2:$A$401,0)),"")</f>
        <v>2026</v>
      </c>
      <c r="F645" s="0" t="str">
        <f aca="false">IFERROR(INDEX(Itens!$B$2:$B$100,MATCH(C645,Itens!$A$2:$A$100,0)),"")</f>
        <v>IV</v>
      </c>
      <c r="G645" s="13" t="n">
        <v>1</v>
      </c>
      <c r="H645" s="13" t="n">
        <v>0</v>
      </c>
    </row>
    <row r="646" customFormat="false" ht="15" hidden="false" customHeight="false" outlineLevel="0" collapsed="false">
      <c r="A646" s="13" t="n">
        <v>47</v>
      </c>
      <c r="B646" s="0" t="str">
        <f aca="false">IFERROR(INDEX(Visitas!$B$2:$B$401,MATCH(A646,Visitas!$A$2:$A$401,0)),"")</f>
        <v>Núcleo de Especialidades de Americana</v>
      </c>
      <c r="C646" s="13" t="s">
        <v>65</v>
      </c>
      <c r="D646" s="0" t="str">
        <f aca="false">IFERROR(INDEX(Itens!$C$2:$C$100,MATCH(C646,Itens!$A$2:$A$100,0)),"")</f>
        <v>Infraestrutura civil</v>
      </c>
      <c r="E646" s="0" t="str">
        <f aca="false">IFERROR(INDEX(Visitas!$C$2:$C$401,MATCH(A646,Visitas!$A$2:$A$401,0)),"")</f>
        <v>2026</v>
      </c>
      <c r="F646" s="0" t="str">
        <f aca="false">IFERROR(INDEX(Itens!$B$2:$B$100,MATCH(C646,Itens!$A$2:$A$100,0)),"")</f>
        <v>I</v>
      </c>
      <c r="G646" s="13" t="n">
        <v>2</v>
      </c>
      <c r="H646" s="13" t="n">
        <v>0</v>
      </c>
    </row>
    <row r="647" customFormat="false" ht="15" hidden="false" customHeight="false" outlineLevel="0" collapsed="false">
      <c r="A647" s="13" t="n">
        <v>47</v>
      </c>
      <c r="B647" s="0" t="str">
        <f aca="false">IFERROR(INDEX(Visitas!$B$2:$B$401,MATCH(A647,Visitas!$A$2:$A$401,0)),"")</f>
        <v>Núcleo de Especialidades de Americana</v>
      </c>
      <c r="C647" s="13" t="s">
        <v>70</v>
      </c>
      <c r="D647" s="0" t="str">
        <f aca="false">IFERROR(INDEX(Itens!$C$2:$C$100,MATCH(C647,Itens!$A$2:$A$100,0)),"")</f>
        <v>Infraestrutura elétrica</v>
      </c>
      <c r="E647" s="0" t="str">
        <f aca="false">IFERROR(INDEX(Visitas!$C$2:$C$401,MATCH(A647,Visitas!$A$2:$A$401,0)),"")</f>
        <v>2026</v>
      </c>
      <c r="F647" s="0" t="str">
        <f aca="false">IFERROR(INDEX(Itens!$B$2:$B$100,MATCH(C647,Itens!$A$2:$A$100,0)),"")</f>
        <v>I</v>
      </c>
      <c r="G647" s="13" t="n">
        <v>2</v>
      </c>
      <c r="H647" s="13" t="n">
        <v>0</v>
      </c>
    </row>
    <row r="648" customFormat="false" ht="15" hidden="false" customHeight="false" outlineLevel="0" collapsed="false">
      <c r="A648" s="13" t="n">
        <v>47</v>
      </c>
      <c r="B648" s="0" t="str">
        <f aca="false">IFERROR(INDEX(Visitas!$B$2:$B$401,MATCH(A648,Visitas!$A$2:$A$401,0)),"")</f>
        <v>Núcleo de Especialidades de Americana</v>
      </c>
      <c r="C648" s="13" t="s">
        <v>73</v>
      </c>
      <c r="D648" s="0" t="str">
        <f aca="false">IFERROR(INDEX(Itens!$C$2:$C$100,MATCH(C648,Itens!$A$2:$A$100,0)),"")</f>
        <v>Infraestrutura hidráulica</v>
      </c>
      <c r="E648" s="0" t="str">
        <f aca="false">IFERROR(INDEX(Visitas!$C$2:$C$401,MATCH(A648,Visitas!$A$2:$A$401,0)),"")</f>
        <v>2026</v>
      </c>
      <c r="F648" s="0" t="str">
        <f aca="false">IFERROR(INDEX(Itens!$B$2:$B$100,MATCH(C648,Itens!$A$2:$A$100,0)),"")</f>
        <v>I</v>
      </c>
      <c r="G648" s="13" t="n">
        <v>2</v>
      </c>
      <c r="H648" s="13" t="n">
        <v>0</v>
      </c>
    </row>
    <row r="649" customFormat="false" ht="15" hidden="false" customHeight="false" outlineLevel="0" collapsed="false">
      <c r="A649" s="13" t="n">
        <v>47</v>
      </c>
      <c r="B649" s="0" t="str">
        <f aca="false">IFERROR(INDEX(Visitas!$B$2:$B$401,MATCH(A649,Visitas!$A$2:$A$401,0)),"")</f>
        <v>Núcleo de Especialidades de Americana</v>
      </c>
      <c r="C649" s="13" t="s">
        <v>76</v>
      </c>
      <c r="D649" s="0" t="str">
        <f aca="false">IFERROR(INDEX(Itens!$C$2:$C$100,MATCH(C649,Itens!$A$2:$A$100,0)),"")</f>
        <v>Infraestrutura de comunicação</v>
      </c>
      <c r="E649" s="0" t="str">
        <f aca="false">IFERROR(INDEX(Visitas!$C$2:$C$401,MATCH(A649,Visitas!$A$2:$A$401,0)),"")</f>
        <v>2026</v>
      </c>
      <c r="F649" s="0" t="str">
        <f aca="false">IFERROR(INDEX(Itens!$B$2:$B$100,MATCH(C649,Itens!$A$2:$A$100,0)),"")</f>
        <v>I</v>
      </c>
      <c r="G649" s="13" t="n">
        <v>2</v>
      </c>
      <c r="H649" s="13" t="n">
        <v>0</v>
      </c>
    </row>
    <row r="650" customFormat="false" ht="15" hidden="false" customHeight="false" outlineLevel="0" collapsed="false">
      <c r="A650" s="13" t="n">
        <v>47</v>
      </c>
      <c r="B650" s="0" t="str">
        <f aca="false">IFERROR(INDEX(Visitas!$B$2:$B$401,MATCH(A650,Visitas!$A$2:$A$401,0)),"")</f>
        <v>Núcleo de Especialidades de Americana</v>
      </c>
      <c r="C650" s="13" t="s">
        <v>79</v>
      </c>
      <c r="D650" s="0" t="str">
        <f aca="false">IFERROR(INDEX(Itens!$C$2:$C$100,MATCH(C650,Itens!$A$2:$A$100,0)),"")</f>
        <v>Equipamentos</v>
      </c>
      <c r="E650" s="0" t="str">
        <f aca="false">IFERROR(INDEX(Visitas!$C$2:$C$401,MATCH(A650,Visitas!$A$2:$A$401,0)),"")</f>
        <v>2026</v>
      </c>
      <c r="F650" s="0" t="str">
        <f aca="false">IFERROR(INDEX(Itens!$B$2:$B$100,MATCH(C650,Itens!$A$2:$A$100,0)),"")</f>
        <v>I</v>
      </c>
      <c r="G650" s="13" t="n">
        <v>2</v>
      </c>
      <c r="H650" s="13" t="n">
        <v>0</v>
      </c>
    </row>
    <row r="651" customFormat="false" ht="15" hidden="false" customHeight="false" outlineLevel="0" collapsed="false">
      <c r="A651" s="13" t="n">
        <v>47</v>
      </c>
      <c r="B651" s="0" t="str">
        <f aca="false">IFERROR(INDEX(Visitas!$B$2:$B$401,MATCH(A651,Visitas!$A$2:$A$401,0)),"")</f>
        <v>Núcleo de Especialidades de Americana</v>
      </c>
      <c r="C651" s="13" t="s">
        <v>82</v>
      </c>
      <c r="D651" s="0" t="str">
        <f aca="false">IFERROR(INDEX(Itens!$C$2:$C$100,MATCH(C651,Itens!$A$2:$A$100,0)),"")</f>
        <v>Materiais, medicamentos e insumos</v>
      </c>
      <c r="E651" s="0" t="str">
        <f aca="false">IFERROR(INDEX(Visitas!$C$2:$C$401,MATCH(A651,Visitas!$A$2:$A$401,0)),"")</f>
        <v>2026</v>
      </c>
      <c r="F651" s="0" t="str">
        <f aca="false">IFERROR(INDEX(Itens!$B$2:$B$100,MATCH(C651,Itens!$A$2:$A$100,0)),"")</f>
        <v>I</v>
      </c>
      <c r="G651" s="13" t="n">
        <v>2</v>
      </c>
      <c r="H651" s="13" t="n">
        <v>0</v>
      </c>
    </row>
    <row r="652" customFormat="false" ht="15" hidden="false" customHeight="false" outlineLevel="0" collapsed="false">
      <c r="A652" s="13" t="n">
        <v>47</v>
      </c>
      <c r="B652" s="0" t="str">
        <f aca="false">IFERROR(INDEX(Visitas!$B$2:$B$401,MATCH(A652,Visitas!$A$2:$A$401,0)),"")</f>
        <v>Núcleo de Especialidades de Americana</v>
      </c>
      <c r="C652" s="13" t="s">
        <v>85</v>
      </c>
      <c r="D652" s="0" t="str">
        <f aca="false">IFERROR(INDEX(Itens!$C$2:$C$100,MATCH(C652,Itens!$A$2:$A$100,0)),"")</f>
        <v>Conforto, limpeza e organização</v>
      </c>
      <c r="E652" s="0" t="str">
        <f aca="false">IFERROR(INDEX(Visitas!$C$2:$C$401,MATCH(A652,Visitas!$A$2:$A$401,0)),"")</f>
        <v>2026</v>
      </c>
      <c r="F652" s="0" t="str">
        <f aca="false">IFERROR(INDEX(Itens!$B$2:$B$100,MATCH(C652,Itens!$A$2:$A$100,0)),"")</f>
        <v>I</v>
      </c>
      <c r="G652" s="13" t="n">
        <v>2</v>
      </c>
      <c r="H652" s="13" t="n">
        <v>0</v>
      </c>
    </row>
    <row r="653" customFormat="false" ht="15" hidden="false" customHeight="false" outlineLevel="0" collapsed="false">
      <c r="A653" s="13" t="n">
        <v>47</v>
      </c>
      <c r="B653" s="0" t="str">
        <f aca="false">IFERROR(INDEX(Visitas!$B$2:$B$401,MATCH(A653,Visitas!$A$2:$A$401,0)),"")</f>
        <v>Núcleo de Especialidades de Americana</v>
      </c>
      <c r="C653" s="13" t="s">
        <v>88</v>
      </c>
      <c r="D653" s="0" t="str">
        <f aca="false">IFERROR(INDEX(Itens!$C$2:$C$100,MATCH(C653,Itens!$A$2:$A$100,0)),"")</f>
        <v>Utilização de indicadores de gestão</v>
      </c>
      <c r="E653" s="0" t="str">
        <f aca="false">IFERROR(INDEX(Visitas!$C$2:$C$401,MATCH(A653,Visitas!$A$2:$A$401,0)),"")</f>
        <v>2026</v>
      </c>
      <c r="F653" s="0" t="str">
        <f aca="false">IFERROR(INDEX(Itens!$B$2:$B$100,MATCH(C653,Itens!$A$2:$A$100,0)),"")</f>
        <v>II</v>
      </c>
      <c r="G653" s="13" t="n">
        <v>1</v>
      </c>
      <c r="H653" s="13" t="n">
        <v>0</v>
      </c>
    </row>
    <row r="654" customFormat="false" ht="15" hidden="false" customHeight="false" outlineLevel="0" collapsed="false">
      <c r="A654" s="13" t="n">
        <v>47</v>
      </c>
      <c r="B654" s="0" t="str">
        <f aca="false">IFERROR(INDEX(Visitas!$B$2:$B$401,MATCH(A654,Visitas!$A$2:$A$401,0)),"")</f>
        <v>Núcleo de Especialidades de Americana</v>
      </c>
      <c r="C654" s="13" t="s">
        <v>92</v>
      </c>
      <c r="D654" s="0" t="str">
        <f aca="false">IFERROR(INDEX(Itens!$C$2:$C$100,MATCH(C654,Itens!$A$2:$A$100,0)),"")</f>
        <v>Dimensionamento de equipe</v>
      </c>
      <c r="E654" s="0" t="str">
        <f aca="false">IFERROR(INDEX(Visitas!$C$2:$C$401,MATCH(A654,Visitas!$A$2:$A$401,0)),"")</f>
        <v>2026</v>
      </c>
      <c r="F654" s="0" t="str">
        <f aca="false">IFERROR(INDEX(Itens!$B$2:$B$100,MATCH(C654,Itens!$A$2:$A$100,0)),"")</f>
        <v>II</v>
      </c>
      <c r="G654" s="13" t="n">
        <v>1</v>
      </c>
      <c r="H654" s="13" t="n">
        <v>0</v>
      </c>
    </row>
    <row r="655" customFormat="false" ht="15" hidden="false" customHeight="false" outlineLevel="0" collapsed="false">
      <c r="A655" s="13" t="n">
        <v>47</v>
      </c>
      <c r="B655" s="0" t="str">
        <f aca="false">IFERROR(INDEX(Visitas!$B$2:$B$401,MATCH(A655,Visitas!$A$2:$A$401,0)),"")</f>
        <v>Núcleo de Especialidades de Americana</v>
      </c>
      <c r="C655" s="13" t="s">
        <v>96</v>
      </c>
      <c r="D655" s="0" t="str">
        <f aca="false">IFERROR(INDEX(Itens!$C$2:$C$100,MATCH(C655,Itens!$A$2:$A$100,0)),"")</f>
        <v>Execução do cronograma de capacitação da equipe de trabalho</v>
      </c>
      <c r="E655" s="0" t="str">
        <f aca="false">IFERROR(INDEX(Visitas!$C$2:$C$401,MATCH(A655,Visitas!$A$2:$A$401,0)),"")</f>
        <v>2026</v>
      </c>
      <c r="F655" s="0" t="str">
        <f aca="false">IFERROR(INDEX(Itens!$B$2:$B$100,MATCH(C655,Itens!$A$2:$A$100,0)),"")</f>
        <v>II</v>
      </c>
      <c r="G655" s="13" t="n">
        <v>2</v>
      </c>
      <c r="H655" s="13" t="n">
        <v>0</v>
      </c>
    </row>
    <row r="656" customFormat="false" ht="15" hidden="false" customHeight="false" outlineLevel="0" collapsed="false">
      <c r="A656" s="13" t="n">
        <v>47</v>
      </c>
      <c r="B656" s="0" t="str">
        <f aca="false">IFERROR(INDEX(Visitas!$B$2:$B$401,MATCH(A656,Visitas!$A$2:$A$401,0)),"")</f>
        <v>Núcleo de Especialidades de Americana</v>
      </c>
      <c r="C656" s="13" t="s">
        <v>100</v>
      </c>
      <c r="D656" s="0" t="str">
        <f aca="false">IFERROR(INDEX(Itens!$C$2:$C$100,MATCH(C656,Itens!$A$2:$A$100,0)),"")</f>
        <v>Disponibilidade de agendamento de consultas, exames e procedimentos</v>
      </c>
      <c r="E656" s="0" t="str">
        <f aca="false">IFERROR(INDEX(Visitas!$C$2:$C$401,MATCH(A656,Visitas!$A$2:$A$401,0)),"")</f>
        <v>2026</v>
      </c>
      <c r="F656" s="0" t="str">
        <f aca="false">IFERROR(INDEX(Itens!$B$2:$B$100,MATCH(C656,Itens!$A$2:$A$100,0)),"")</f>
        <v>II</v>
      </c>
      <c r="G656" s="13" t="n">
        <v>2</v>
      </c>
      <c r="H656" s="13" t="n">
        <v>0</v>
      </c>
    </row>
    <row r="657" customFormat="false" ht="15" hidden="false" customHeight="false" outlineLevel="0" collapsed="false">
      <c r="A657" s="13" t="n">
        <v>47</v>
      </c>
      <c r="B657" s="0" t="str">
        <f aca="false">IFERROR(INDEX(Visitas!$B$2:$B$401,MATCH(A657,Visitas!$A$2:$A$401,0)),"")</f>
        <v>Núcleo de Especialidades de Americana</v>
      </c>
      <c r="C657" s="13" t="s">
        <v>104</v>
      </c>
      <c r="D657" s="0" t="str">
        <f aca="false">IFERROR(INDEX(Itens!$C$2:$C$100,MATCH(C657,Itens!$A$2:$A$100,0)),"")</f>
        <v>Atendimento aos indicadores do PMS</v>
      </c>
      <c r="E657" s="0" t="str">
        <f aca="false">IFERROR(INDEX(Visitas!$C$2:$C$401,MATCH(A657,Visitas!$A$2:$A$401,0)),"")</f>
        <v>2026</v>
      </c>
      <c r="F657" s="0" t="str">
        <f aca="false">IFERROR(INDEX(Itens!$B$2:$B$100,MATCH(C657,Itens!$A$2:$A$100,0)),"")</f>
        <v>III</v>
      </c>
      <c r="G657" s="13" t="n">
        <v>2</v>
      </c>
      <c r="H657" s="13" t="n">
        <v>0</v>
      </c>
    </row>
    <row r="658" customFormat="false" ht="15" hidden="false" customHeight="false" outlineLevel="0" collapsed="false">
      <c r="A658" s="13" t="n">
        <v>47</v>
      </c>
      <c r="B658" s="0" t="str">
        <f aca="false">IFERROR(INDEX(Visitas!$B$2:$B$401,MATCH(A658,Visitas!$A$2:$A$401,0)),"")</f>
        <v>Núcleo de Especialidades de Americana</v>
      </c>
      <c r="C658" s="13" t="s">
        <v>109</v>
      </c>
      <c r="D658" s="0" t="str">
        <f aca="false">IFERROR(INDEX(Itens!$C$2:$C$100,MATCH(C658,Itens!$A$2:$A$100,0)),"")</f>
        <v>Registro de reclamações na Ouvidoria do COMSAUDE</v>
      </c>
      <c r="E658" s="0" t="str">
        <f aca="false">IFERROR(INDEX(Visitas!$C$2:$C$401,MATCH(A658,Visitas!$A$2:$A$401,0)),"")</f>
        <v>2026</v>
      </c>
      <c r="F658" s="0" t="str">
        <f aca="false">IFERROR(INDEX(Itens!$B$2:$B$100,MATCH(C658,Itens!$A$2:$A$100,0)),"")</f>
        <v>IV</v>
      </c>
      <c r="G658" s="13" t="n">
        <v>1</v>
      </c>
      <c r="H658" s="13" t="n">
        <v>0</v>
      </c>
    </row>
    <row r="659" customFormat="false" ht="15" hidden="false" customHeight="false" outlineLevel="0" collapsed="false">
      <c r="A659" s="13" t="n">
        <v>47</v>
      </c>
      <c r="B659" s="0" t="str">
        <f aca="false">IFERROR(INDEX(Visitas!$B$2:$B$401,MATCH(A659,Visitas!$A$2:$A$401,0)),"")</f>
        <v>Núcleo de Especialidades de Americana</v>
      </c>
      <c r="C659" s="13" t="s">
        <v>113</v>
      </c>
      <c r="D659" s="0" t="str">
        <f aca="false">IFERROR(INDEX(Itens!$C$2:$C$100,MATCH(C659,Itens!$A$2:$A$100,0)),"")</f>
        <v>Satisfação dos usuários</v>
      </c>
      <c r="E659" s="0" t="str">
        <f aca="false">IFERROR(INDEX(Visitas!$C$2:$C$401,MATCH(A659,Visitas!$A$2:$A$401,0)),"")</f>
        <v>2026</v>
      </c>
      <c r="F659" s="0" t="str">
        <f aca="false">IFERROR(INDEX(Itens!$B$2:$B$100,MATCH(C659,Itens!$A$2:$A$100,0)),"")</f>
        <v>IV</v>
      </c>
      <c r="G659" s="13" t="n">
        <v>2</v>
      </c>
      <c r="H659" s="13" t="n">
        <v>0</v>
      </c>
    </row>
    <row r="660" customFormat="false" ht="15" hidden="false" customHeight="false" outlineLevel="0" collapsed="false">
      <c r="A660" s="13" t="n">
        <v>48</v>
      </c>
      <c r="B660" s="0" t="str">
        <f aca="false">IFERROR(INDEX(Visitas!$B$2:$B$401,MATCH(A660,Visitas!$A$2:$A$401,0)),"")</f>
        <v>UBS São Domingos</v>
      </c>
      <c r="C660" s="13" t="s">
        <v>65</v>
      </c>
      <c r="D660" s="0" t="str">
        <f aca="false">IFERROR(INDEX(Itens!$C$2:$C$100,MATCH(C660,Itens!$A$2:$A$100,0)),"")</f>
        <v>Infraestrutura civil</v>
      </c>
      <c r="E660" s="0" t="str">
        <f aca="false">IFERROR(INDEX(Visitas!$C$2:$C$401,MATCH(A660,Visitas!$A$2:$A$401,0)),"")</f>
        <v>2026</v>
      </c>
      <c r="F660" s="0" t="str">
        <f aca="false">IFERROR(INDEX(Itens!$B$2:$B$100,MATCH(C660,Itens!$A$2:$A$100,0)),"")</f>
        <v>I</v>
      </c>
      <c r="G660" s="13" t="n">
        <v>2</v>
      </c>
      <c r="H660" s="13" t="n">
        <v>0</v>
      </c>
    </row>
    <row r="661" customFormat="false" ht="15" hidden="false" customHeight="false" outlineLevel="0" collapsed="false">
      <c r="A661" s="13" t="n">
        <v>48</v>
      </c>
      <c r="B661" s="0" t="str">
        <f aca="false">IFERROR(INDEX(Visitas!$B$2:$B$401,MATCH(A661,Visitas!$A$2:$A$401,0)),"")</f>
        <v>UBS São Domingos</v>
      </c>
      <c r="C661" s="13" t="s">
        <v>70</v>
      </c>
      <c r="D661" s="0" t="str">
        <f aca="false">IFERROR(INDEX(Itens!$C$2:$C$100,MATCH(C661,Itens!$A$2:$A$100,0)),"")</f>
        <v>Infraestrutura elétrica</v>
      </c>
      <c r="E661" s="0" t="str">
        <f aca="false">IFERROR(INDEX(Visitas!$C$2:$C$401,MATCH(A661,Visitas!$A$2:$A$401,0)),"")</f>
        <v>2026</v>
      </c>
      <c r="F661" s="0" t="str">
        <f aca="false">IFERROR(INDEX(Itens!$B$2:$B$100,MATCH(C661,Itens!$A$2:$A$100,0)),"")</f>
        <v>I</v>
      </c>
      <c r="G661" s="13" t="n">
        <v>2</v>
      </c>
      <c r="H661" s="13" t="n">
        <v>0</v>
      </c>
    </row>
    <row r="662" customFormat="false" ht="15" hidden="false" customHeight="false" outlineLevel="0" collapsed="false">
      <c r="A662" s="13" t="n">
        <v>48</v>
      </c>
      <c r="B662" s="0" t="str">
        <f aca="false">IFERROR(INDEX(Visitas!$B$2:$B$401,MATCH(A662,Visitas!$A$2:$A$401,0)),"")</f>
        <v>UBS São Domingos</v>
      </c>
      <c r="C662" s="13" t="s">
        <v>73</v>
      </c>
      <c r="D662" s="0" t="str">
        <f aca="false">IFERROR(INDEX(Itens!$C$2:$C$100,MATCH(C662,Itens!$A$2:$A$100,0)),"")</f>
        <v>Infraestrutura hidráulica</v>
      </c>
      <c r="E662" s="0" t="str">
        <f aca="false">IFERROR(INDEX(Visitas!$C$2:$C$401,MATCH(A662,Visitas!$A$2:$A$401,0)),"")</f>
        <v>2026</v>
      </c>
      <c r="F662" s="0" t="str">
        <f aca="false">IFERROR(INDEX(Itens!$B$2:$B$100,MATCH(C662,Itens!$A$2:$A$100,0)),"")</f>
        <v>I</v>
      </c>
      <c r="G662" s="13" t="n">
        <v>2</v>
      </c>
      <c r="H662" s="13" t="n">
        <v>0</v>
      </c>
    </row>
    <row r="663" customFormat="false" ht="15" hidden="false" customHeight="false" outlineLevel="0" collapsed="false">
      <c r="A663" s="13" t="n">
        <v>48</v>
      </c>
      <c r="B663" s="0" t="str">
        <f aca="false">IFERROR(INDEX(Visitas!$B$2:$B$401,MATCH(A663,Visitas!$A$2:$A$401,0)),"")</f>
        <v>UBS São Domingos</v>
      </c>
      <c r="C663" s="13" t="s">
        <v>76</v>
      </c>
      <c r="D663" s="0" t="str">
        <f aca="false">IFERROR(INDEX(Itens!$C$2:$C$100,MATCH(C663,Itens!$A$2:$A$100,0)),"")</f>
        <v>Infraestrutura de comunicação</v>
      </c>
      <c r="E663" s="0" t="str">
        <f aca="false">IFERROR(INDEX(Visitas!$C$2:$C$401,MATCH(A663,Visitas!$A$2:$A$401,0)),"")</f>
        <v>2026</v>
      </c>
      <c r="F663" s="0" t="str">
        <f aca="false">IFERROR(INDEX(Itens!$B$2:$B$100,MATCH(C663,Itens!$A$2:$A$100,0)),"")</f>
        <v>I</v>
      </c>
      <c r="G663" s="13" t="n">
        <v>1</v>
      </c>
      <c r="H663" s="13" t="n">
        <v>0</v>
      </c>
    </row>
    <row r="664" customFormat="false" ht="15" hidden="false" customHeight="false" outlineLevel="0" collapsed="false">
      <c r="A664" s="13" t="n">
        <v>48</v>
      </c>
      <c r="B664" s="0" t="str">
        <f aca="false">IFERROR(INDEX(Visitas!$B$2:$B$401,MATCH(A664,Visitas!$A$2:$A$401,0)),"")</f>
        <v>UBS São Domingos</v>
      </c>
      <c r="C664" s="13" t="s">
        <v>79</v>
      </c>
      <c r="D664" s="0" t="str">
        <f aca="false">IFERROR(INDEX(Itens!$C$2:$C$100,MATCH(C664,Itens!$A$2:$A$100,0)),"")</f>
        <v>Equipamentos</v>
      </c>
      <c r="E664" s="0" t="str">
        <f aca="false">IFERROR(INDEX(Visitas!$C$2:$C$401,MATCH(A664,Visitas!$A$2:$A$401,0)),"")</f>
        <v>2026</v>
      </c>
      <c r="F664" s="0" t="str">
        <f aca="false">IFERROR(INDEX(Itens!$B$2:$B$100,MATCH(C664,Itens!$A$2:$A$100,0)),"")</f>
        <v>I</v>
      </c>
      <c r="G664" s="13" t="n">
        <v>1</v>
      </c>
      <c r="H664" s="13" t="n">
        <v>0</v>
      </c>
    </row>
    <row r="665" customFormat="false" ht="15" hidden="false" customHeight="false" outlineLevel="0" collapsed="false">
      <c r="A665" s="13" t="n">
        <v>48</v>
      </c>
      <c r="B665" s="0" t="str">
        <f aca="false">IFERROR(INDEX(Visitas!$B$2:$B$401,MATCH(A665,Visitas!$A$2:$A$401,0)),"")</f>
        <v>UBS São Domingos</v>
      </c>
      <c r="C665" s="13" t="s">
        <v>82</v>
      </c>
      <c r="D665" s="0" t="str">
        <f aca="false">IFERROR(INDEX(Itens!$C$2:$C$100,MATCH(C665,Itens!$A$2:$A$100,0)),"")</f>
        <v>Materiais, medicamentos e insumos</v>
      </c>
      <c r="E665" s="0" t="str">
        <f aca="false">IFERROR(INDEX(Visitas!$C$2:$C$401,MATCH(A665,Visitas!$A$2:$A$401,0)),"")</f>
        <v>2026</v>
      </c>
      <c r="F665" s="0" t="str">
        <f aca="false">IFERROR(INDEX(Itens!$B$2:$B$100,MATCH(C665,Itens!$A$2:$A$100,0)),"")</f>
        <v>I</v>
      </c>
      <c r="G665" s="13" t="n">
        <v>2</v>
      </c>
      <c r="H665" s="13" t="n">
        <v>0</v>
      </c>
    </row>
    <row r="666" customFormat="false" ht="15" hidden="false" customHeight="false" outlineLevel="0" collapsed="false">
      <c r="A666" s="13" t="n">
        <v>48</v>
      </c>
      <c r="B666" s="0" t="str">
        <f aca="false">IFERROR(INDEX(Visitas!$B$2:$B$401,MATCH(A666,Visitas!$A$2:$A$401,0)),"")</f>
        <v>UBS São Domingos</v>
      </c>
      <c r="C666" s="13" t="s">
        <v>85</v>
      </c>
      <c r="D666" s="0" t="str">
        <f aca="false">IFERROR(INDEX(Itens!$C$2:$C$100,MATCH(C666,Itens!$A$2:$A$100,0)),"")</f>
        <v>Conforto, limpeza e organização</v>
      </c>
      <c r="E666" s="0" t="str">
        <f aca="false">IFERROR(INDEX(Visitas!$C$2:$C$401,MATCH(A666,Visitas!$A$2:$A$401,0)),"")</f>
        <v>2026</v>
      </c>
      <c r="F666" s="0" t="str">
        <f aca="false">IFERROR(INDEX(Itens!$B$2:$B$100,MATCH(C666,Itens!$A$2:$A$100,0)),"")</f>
        <v>I</v>
      </c>
      <c r="G666" s="13" t="n">
        <v>2</v>
      </c>
      <c r="H666" s="13" t="n">
        <v>0</v>
      </c>
    </row>
    <row r="667" customFormat="false" ht="15" hidden="false" customHeight="false" outlineLevel="0" collapsed="false">
      <c r="A667" s="13" t="n">
        <v>48</v>
      </c>
      <c r="B667" s="0" t="str">
        <f aca="false">IFERROR(INDEX(Visitas!$B$2:$B$401,MATCH(A667,Visitas!$A$2:$A$401,0)),"")</f>
        <v>UBS São Domingos</v>
      </c>
      <c r="C667" s="13" t="s">
        <v>88</v>
      </c>
      <c r="D667" s="0" t="str">
        <f aca="false">IFERROR(INDEX(Itens!$C$2:$C$100,MATCH(C667,Itens!$A$2:$A$100,0)),"")</f>
        <v>Utilização de indicadores de gestão</v>
      </c>
      <c r="E667" s="0" t="str">
        <f aca="false">IFERROR(INDEX(Visitas!$C$2:$C$401,MATCH(A667,Visitas!$A$2:$A$401,0)),"")</f>
        <v>2026</v>
      </c>
      <c r="F667" s="0" t="str">
        <f aca="false">IFERROR(INDEX(Itens!$B$2:$B$100,MATCH(C667,Itens!$A$2:$A$100,0)),"")</f>
        <v>II</v>
      </c>
      <c r="G667" s="13" t="n">
        <v>2</v>
      </c>
      <c r="H667" s="13" t="n">
        <v>0</v>
      </c>
    </row>
    <row r="668" customFormat="false" ht="15" hidden="false" customHeight="false" outlineLevel="0" collapsed="false">
      <c r="A668" s="13" t="n">
        <v>48</v>
      </c>
      <c r="B668" s="0" t="str">
        <f aca="false">IFERROR(INDEX(Visitas!$B$2:$B$401,MATCH(A668,Visitas!$A$2:$A$401,0)),"")</f>
        <v>UBS São Domingos</v>
      </c>
      <c r="C668" s="13" t="s">
        <v>92</v>
      </c>
      <c r="D668" s="0" t="str">
        <f aca="false">IFERROR(INDEX(Itens!$C$2:$C$100,MATCH(C668,Itens!$A$2:$A$100,0)),"")</f>
        <v>Dimensionamento de equipe</v>
      </c>
      <c r="E668" s="0" t="str">
        <f aca="false">IFERROR(INDEX(Visitas!$C$2:$C$401,MATCH(A668,Visitas!$A$2:$A$401,0)),"")</f>
        <v>2026</v>
      </c>
      <c r="F668" s="0" t="str">
        <f aca="false">IFERROR(INDEX(Itens!$B$2:$B$100,MATCH(C668,Itens!$A$2:$A$100,0)),"")</f>
        <v>II</v>
      </c>
      <c r="G668" s="13" t="n">
        <v>2</v>
      </c>
      <c r="H668" s="13" t="n">
        <v>0</v>
      </c>
    </row>
    <row r="669" customFormat="false" ht="15" hidden="false" customHeight="false" outlineLevel="0" collapsed="false">
      <c r="A669" s="13" t="n">
        <v>48</v>
      </c>
      <c r="B669" s="0" t="str">
        <f aca="false">IFERROR(INDEX(Visitas!$B$2:$B$401,MATCH(A669,Visitas!$A$2:$A$401,0)),"")</f>
        <v>UBS São Domingos</v>
      </c>
      <c r="C669" s="13" t="s">
        <v>96</v>
      </c>
      <c r="D669" s="0" t="str">
        <f aca="false">IFERROR(INDEX(Itens!$C$2:$C$100,MATCH(C669,Itens!$A$2:$A$100,0)),"")</f>
        <v>Execução do cronograma de capacitação da equipe de trabalho</v>
      </c>
      <c r="E669" s="0" t="str">
        <f aca="false">IFERROR(INDEX(Visitas!$C$2:$C$401,MATCH(A669,Visitas!$A$2:$A$401,0)),"")</f>
        <v>2026</v>
      </c>
      <c r="F669" s="0" t="str">
        <f aca="false">IFERROR(INDEX(Itens!$B$2:$B$100,MATCH(C669,Itens!$A$2:$A$100,0)),"")</f>
        <v>II</v>
      </c>
      <c r="G669" s="13" t="n">
        <v>1</v>
      </c>
      <c r="H669" s="13" t="n">
        <v>0</v>
      </c>
    </row>
    <row r="670" customFormat="false" ht="15" hidden="false" customHeight="false" outlineLevel="0" collapsed="false">
      <c r="A670" s="13" t="n">
        <v>48</v>
      </c>
      <c r="B670" s="0" t="str">
        <f aca="false">IFERROR(INDEX(Visitas!$B$2:$B$401,MATCH(A670,Visitas!$A$2:$A$401,0)),"")</f>
        <v>UBS São Domingos</v>
      </c>
      <c r="C670" s="13" t="s">
        <v>100</v>
      </c>
      <c r="D670" s="0" t="str">
        <f aca="false">IFERROR(INDEX(Itens!$C$2:$C$100,MATCH(C670,Itens!$A$2:$A$100,0)),"")</f>
        <v>Disponibilidade de agendamento de consultas, exames e procedimentos</v>
      </c>
      <c r="E670" s="0" t="str">
        <f aca="false">IFERROR(INDEX(Visitas!$C$2:$C$401,MATCH(A670,Visitas!$A$2:$A$401,0)),"")</f>
        <v>2026</v>
      </c>
      <c r="F670" s="0" t="str">
        <f aca="false">IFERROR(INDEX(Itens!$B$2:$B$100,MATCH(C670,Itens!$A$2:$A$100,0)),"")</f>
        <v>II</v>
      </c>
      <c r="G670" s="13" t="n">
        <v>1</v>
      </c>
      <c r="H670" s="13" t="n">
        <v>0</v>
      </c>
    </row>
    <row r="671" customFormat="false" ht="15" hidden="false" customHeight="false" outlineLevel="0" collapsed="false">
      <c r="A671" s="13" t="n">
        <v>48</v>
      </c>
      <c r="B671" s="0" t="str">
        <f aca="false">IFERROR(INDEX(Visitas!$B$2:$B$401,MATCH(A671,Visitas!$A$2:$A$401,0)),"")</f>
        <v>UBS São Domingos</v>
      </c>
      <c r="C671" s="13" t="s">
        <v>104</v>
      </c>
      <c r="D671" s="0" t="str">
        <f aca="false">IFERROR(INDEX(Itens!$C$2:$C$100,MATCH(C671,Itens!$A$2:$A$100,0)),"")</f>
        <v>Atendimento aos indicadores do PMS</v>
      </c>
      <c r="E671" s="0" t="str">
        <f aca="false">IFERROR(INDEX(Visitas!$C$2:$C$401,MATCH(A671,Visitas!$A$2:$A$401,0)),"")</f>
        <v>2026</v>
      </c>
      <c r="F671" s="0" t="str">
        <f aca="false">IFERROR(INDEX(Itens!$B$2:$B$100,MATCH(C671,Itens!$A$2:$A$100,0)),"")</f>
        <v>III</v>
      </c>
      <c r="G671" s="13" t="n">
        <v>2</v>
      </c>
      <c r="H671" s="13" t="n">
        <v>0</v>
      </c>
    </row>
    <row r="672" customFormat="false" ht="15" hidden="false" customHeight="false" outlineLevel="0" collapsed="false">
      <c r="A672" s="13" t="n">
        <v>48</v>
      </c>
      <c r="B672" s="0" t="str">
        <f aca="false">IFERROR(INDEX(Visitas!$B$2:$B$401,MATCH(A672,Visitas!$A$2:$A$401,0)),"")</f>
        <v>UBS São Domingos</v>
      </c>
      <c r="C672" s="13" t="s">
        <v>109</v>
      </c>
      <c r="D672" s="0" t="str">
        <f aca="false">IFERROR(INDEX(Itens!$C$2:$C$100,MATCH(C672,Itens!$A$2:$A$100,0)),"")</f>
        <v>Registro de reclamações na Ouvidoria do COMSAUDE</v>
      </c>
      <c r="E672" s="0" t="str">
        <f aca="false">IFERROR(INDEX(Visitas!$C$2:$C$401,MATCH(A672,Visitas!$A$2:$A$401,0)),"")</f>
        <v>2026</v>
      </c>
      <c r="F672" s="0" t="str">
        <f aca="false">IFERROR(INDEX(Itens!$B$2:$B$100,MATCH(C672,Itens!$A$2:$A$100,0)),"")</f>
        <v>IV</v>
      </c>
      <c r="G672" s="13" t="n">
        <v>2</v>
      </c>
      <c r="H672" s="13" t="n">
        <v>0</v>
      </c>
    </row>
    <row r="673" customFormat="false" ht="15" hidden="false" customHeight="false" outlineLevel="0" collapsed="false">
      <c r="A673" s="13" t="n">
        <v>48</v>
      </c>
      <c r="B673" s="0" t="str">
        <f aca="false">IFERROR(INDEX(Visitas!$B$2:$B$401,MATCH(A673,Visitas!$A$2:$A$401,0)),"")</f>
        <v>UBS São Domingos</v>
      </c>
      <c r="C673" s="13" t="s">
        <v>113</v>
      </c>
      <c r="D673" s="0" t="str">
        <f aca="false">IFERROR(INDEX(Itens!$C$2:$C$100,MATCH(C673,Itens!$A$2:$A$100,0)),"")</f>
        <v>Satisfação dos usuários</v>
      </c>
      <c r="E673" s="0" t="str">
        <f aca="false">IFERROR(INDEX(Visitas!$C$2:$C$401,MATCH(A673,Visitas!$A$2:$A$401,0)),"")</f>
        <v>2026</v>
      </c>
      <c r="F673" s="0" t="str">
        <f aca="false">IFERROR(INDEX(Itens!$B$2:$B$100,MATCH(C673,Itens!$A$2:$A$100,0)),"")</f>
        <v>IV</v>
      </c>
      <c r="G673" s="13" t="n">
        <v>2</v>
      </c>
      <c r="H673" s="13" t="n">
        <v>0</v>
      </c>
    </row>
    <row r="674" customFormat="false" ht="15" hidden="false" customHeight="false" outlineLevel="0" collapsed="false">
      <c r="A674" s="13" t="n">
        <v>49</v>
      </c>
      <c r="B674" s="0" t="str">
        <f aca="false">IFERROR(INDEX(Visitas!$B$2:$B$401,MATCH(A674,Visitas!$A$2:$A$401,0)),"")</f>
        <v>UBS Guanabara</v>
      </c>
      <c r="C674" s="13" t="s">
        <v>65</v>
      </c>
      <c r="D674" s="0" t="str">
        <f aca="false">IFERROR(INDEX(Itens!$C$2:$C$100,MATCH(C674,Itens!$A$2:$A$100,0)),"")</f>
        <v>Infraestrutura civil</v>
      </c>
      <c r="E674" s="0" t="str">
        <f aca="false">IFERROR(INDEX(Visitas!$C$2:$C$401,MATCH(A674,Visitas!$A$2:$A$401,0)),"")</f>
        <v>2026</v>
      </c>
      <c r="F674" s="0" t="str">
        <f aca="false">IFERROR(INDEX(Itens!$B$2:$B$100,MATCH(C674,Itens!$A$2:$A$100,0)),"")</f>
        <v>I</v>
      </c>
      <c r="G674" s="13" t="n">
        <v>0</v>
      </c>
      <c r="H674" s="13" t="n">
        <v>0</v>
      </c>
    </row>
    <row r="675" customFormat="false" ht="15" hidden="false" customHeight="false" outlineLevel="0" collapsed="false">
      <c r="A675" s="13" t="n">
        <v>49</v>
      </c>
      <c r="B675" s="0" t="str">
        <f aca="false">IFERROR(INDEX(Visitas!$B$2:$B$401,MATCH(A675,Visitas!$A$2:$A$401,0)),"")</f>
        <v>UBS Guanabara</v>
      </c>
      <c r="C675" s="13" t="s">
        <v>70</v>
      </c>
      <c r="D675" s="0" t="str">
        <f aca="false">IFERROR(INDEX(Itens!$C$2:$C$100,MATCH(C675,Itens!$A$2:$A$100,0)),"")</f>
        <v>Infraestrutura elétrica</v>
      </c>
      <c r="E675" s="0" t="str">
        <f aca="false">IFERROR(INDEX(Visitas!$C$2:$C$401,MATCH(A675,Visitas!$A$2:$A$401,0)),"")</f>
        <v>2026</v>
      </c>
      <c r="F675" s="0" t="str">
        <f aca="false">IFERROR(INDEX(Itens!$B$2:$B$100,MATCH(C675,Itens!$A$2:$A$100,0)),"")</f>
        <v>I</v>
      </c>
      <c r="G675" s="13" t="n">
        <v>0</v>
      </c>
      <c r="H675" s="13" t="n">
        <v>0</v>
      </c>
    </row>
    <row r="676" customFormat="false" ht="15" hidden="false" customHeight="false" outlineLevel="0" collapsed="false">
      <c r="A676" s="13" t="n">
        <v>49</v>
      </c>
      <c r="B676" s="0" t="str">
        <f aca="false">IFERROR(INDEX(Visitas!$B$2:$B$401,MATCH(A676,Visitas!$A$2:$A$401,0)),"")</f>
        <v>UBS Guanabara</v>
      </c>
      <c r="C676" s="13" t="s">
        <v>73</v>
      </c>
      <c r="D676" s="0" t="str">
        <f aca="false">IFERROR(INDEX(Itens!$C$2:$C$100,MATCH(C676,Itens!$A$2:$A$100,0)),"")</f>
        <v>Infraestrutura hidráulica</v>
      </c>
      <c r="E676" s="0" t="str">
        <f aca="false">IFERROR(INDEX(Visitas!$C$2:$C$401,MATCH(A676,Visitas!$A$2:$A$401,0)),"")</f>
        <v>2026</v>
      </c>
      <c r="F676" s="0" t="str">
        <f aca="false">IFERROR(INDEX(Itens!$B$2:$B$100,MATCH(C676,Itens!$A$2:$A$100,0)),"")</f>
        <v>I</v>
      </c>
      <c r="G676" s="13" t="n">
        <v>0</v>
      </c>
      <c r="H676" s="13" t="n">
        <v>0</v>
      </c>
    </row>
    <row r="677" customFormat="false" ht="15" hidden="false" customHeight="false" outlineLevel="0" collapsed="false">
      <c r="A677" s="13" t="n">
        <v>49</v>
      </c>
      <c r="B677" s="0" t="str">
        <f aca="false">IFERROR(INDEX(Visitas!$B$2:$B$401,MATCH(A677,Visitas!$A$2:$A$401,0)),"")</f>
        <v>UBS Guanabara</v>
      </c>
      <c r="C677" s="13" t="s">
        <v>76</v>
      </c>
      <c r="D677" s="0" t="str">
        <f aca="false">IFERROR(INDEX(Itens!$C$2:$C$100,MATCH(C677,Itens!$A$2:$A$100,0)),"")</f>
        <v>Infraestrutura de comunicação</v>
      </c>
      <c r="E677" s="0" t="str">
        <f aca="false">IFERROR(INDEX(Visitas!$C$2:$C$401,MATCH(A677,Visitas!$A$2:$A$401,0)),"")</f>
        <v>2026</v>
      </c>
      <c r="F677" s="0" t="str">
        <f aca="false">IFERROR(INDEX(Itens!$B$2:$B$100,MATCH(C677,Itens!$A$2:$A$100,0)),"")</f>
        <v>I</v>
      </c>
      <c r="G677" s="13" t="n">
        <v>2</v>
      </c>
      <c r="H677" s="13" t="n">
        <v>0</v>
      </c>
    </row>
    <row r="678" customFormat="false" ht="15" hidden="false" customHeight="false" outlineLevel="0" collapsed="false">
      <c r="A678" s="13" t="n">
        <v>49</v>
      </c>
      <c r="B678" s="0" t="str">
        <f aca="false">IFERROR(INDEX(Visitas!$B$2:$B$401,MATCH(A678,Visitas!$A$2:$A$401,0)),"")</f>
        <v>UBS Guanabara</v>
      </c>
      <c r="C678" s="13" t="s">
        <v>79</v>
      </c>
      <c r="D678" s="0" t="str">
        <f aca="false">IFERROR(INDEX(Itens!$C$2:$C$100,MATCH(C678,Itens!$A$2:$A$100,0)),"")</f>
        <v>Equipamentos</v>
      </c>
      <c r="E678" s="0" t="str">
        <f aca="false">IFERROR(INDEX(Visitas!$C$2:$C$401,MATCH(A678,Visitas!$A$2:$A$401,0)),"")</f>
        <v>2026</v>
      </c>
      <c r="F678" s="0" t="str">
        <f aca="false">IFERROR(INDEX(Itens!$B$2:$B$100,MATCH(C678,Itens!$A$2:$A$100,0)),"")</f>
        <v>I</v>
      </c>
      <c r="G678" s="13" t="n">
        <v>2</v>
      </c>
      <c r="H678" s="13" t="n">
        <v>0</v>
      </c>
    </row>
    <row r="679" customFormat="false" ht="15" hidden="false" customHeight="false" outlineLevel="0" collapsed="false">
      <c r="A679" s="13" t="n">
        <v>49</v>
      </c>
      <c r="B679" s="0" t="str">
        <f aca="false">IFERROR(INDEX(Visitas!$B$2:$B$401,MATCH(A679,Visitas!$A$2:$A$401,0)),"")</f>
        <v>UBS Guanabara</v>
      </c>
      <c r="C679" s="13" t="s">
        <v>82</v>
      </c>
      <c r="D679" s="0" t="str">
        <f aca="false">IFERROR(INDEX(Itens!$C$2:$C$100,MATCH(C679,Itens!$A$2:$A$100,0)),"")</f>
        <v>Materiais, medicamentos e insumos</v>
      </c>
      <c r="E679" s="0" t="str">
        <f aca="false">IFERROR(INDEX(Visitas!$C$2:$C$401,MATCH(A679,Visitas!$A$2:$A$401,0)),"")</f>
        <v>2026</v>
      </c>
      <c r="F679" s="0" t="str">
        <f aca="false">IFERROR(INDEX(Itens!$B$2:$B$100,MATCH(C679,Itens!$A$2:$A$100,0)),"")</f>
        <v>I</v>
      </c>
      <c r="G679" s="13" t="n">
        <v>2</v>
      </c>
      <c r="H679" s="13" t="n">
        <v>0</v>
      </c>
    </row>
    <row r="680" customFormat="false" ht="15" hidden="false" customHeight="false" outlineLevel="0" collapsed="false">
      <c r="A680" s="13" t="n">
        <v>49</v>
      </c>
      <c r="B680" s="0" t="str">
        <f aca="false">IFERROR(INDEX(Visitas!$B$2:$B$401,MATCH(A680,Visitas!$A$2:$A$401,0)),"")</f>
        <v>UBS Guanabara</v>
      </c>
      <c r="C680" s="13" t="s">
        <v>85</v>
      </c>
      <c r="D680" s="0" t="str">
        <f aca="false">IFERROR(INDEX(Itens!$C$2:$C$100,MATCH(C680,Itens!$A$2:$A$100,0)),"")</f>
        <v>Conforto, limpeza e organização</v>
      </c>
      <c r="E680" s="0" t="str">
        <f aca="false">IFERROR(INDEX(Visitas!$C$2:$C$401,MATCH(A680,Visitas!$A$2:$A$401,0)),"")</f>
        <v>2026</v>
      </c>
      <c r="F680" s="0" t="str">
        <f aca="false">IFERROR(INDEX(Itens!$B$2:$B$100,MATCH(C680,Itens!$A$2:$A$100,0)),"")</f>
        <v>I</v>
      </c>
      <c r="G680" s="13" t="n">
        <v>1</v>
      </c>
      <c r="H680" s="13" t="n">
        <v>0</v>
      </c>
    </row>
    <row r="681" customFormat="false" ht="15" hidden="false" customHeight="false" outlineLevel="0" collapsed="false">
      <c r="A681" s="13" t="n">
        <v>49</v>
      </c>
      <c r="B681" s="0" t="str">
        <f aca="false">IFERROR(INDEX(Visitas!$B$2:$B$401,MATCH(A681,Visitas!$A$2:$A$401,0)),"")</f>
        <v>UBS Guanabara</v>
      </c>
      <c r="C681" s="13" t="s">
        <v>88</v>
      </c>
      <c r="D681" s="0" t="str">
        <f aca="false">IFERROR(INDEX(Itens!$C$2:$C$100,MATCH(C681,Itens!$A$2:$A$100,0)),"")</f>
        <v>Utilização de indicadores de gestão</v>
      </c>
      <c r="E681" s="0" t="str">
        <f aca="false">IFERROR(INDEX(Visitas!$C$2:$C$401,MATCH(A681,Visitas!$A$2:$A$401,0)),"")</f>
        <v>2026</v>
      </c>
      <c r="F681" s="0" t="str">
        <f aca="false">IFERROR(INDEX(Itens!$B$2:$B$100,MATCH(C681,Itens!$A$2:$A$100,0)),"")</f>
        <v>II</v>
      </c>
      <c r="G681" s="13" t="n">
        <v>2</v>
      </c>
      <c r="H681" s="13" t="n">
        <v>0</v>
      </c>
    </row>
    <row r="682" customFormat="false" ht="15" hidden="false" customHeight="false" outlineLevel="0" collapsed="false">
      <c r="A682" s="13" t="n">
        <v>49</v>
      </c>
      <c r="B682" s="0" t="str">
        <f aca="false">IFERROR(INDEX(Visitas!$B$2:$B$401,MATCH(A682,Visitas!$A$2:$A$401,0)),"")</f>
        <v>UBS Guanabara</v>
      </c>
      <c r="C682" s="13" t="s">
        <v>92</v>
      </c>
      <c r="D682" s="0" t="str">
        <f aca="false">IFERROR(INDEX(Itens!$C$2:$C$100,MATCH(C682,Itens!$A$2:$A$100,0)),"")</f>
        <v>Dimensionamento de equipe</v>
      </c>
      <c r="E682" s="0" t="str">
        <f aca="false">IFERROR(INDEX(Visitas!$C$2:$C$401,MATCH(A682,Visitas!$A$2:$A$401,0)),"")</f>
        <v>2026</v>
      </c>
      <c r="F682" s="0" t="str">
        <f aca="false">IFERROR(INDEX(Itens!$B$2:$B$100,MATCH(C682,Itens!$A$2:$A$100,0)),"")</f>
        <v>II</v>
      </c>
      <c r="G682" s="13" t="n">
        <v>2</v>
      </c>
      <c r="H682" s="13" t="n">
        <v>0</v>
      </c>
    </row>
    <row r="683" customFormat="false" ht="15" hidden="false" customHeight="false" outlineLevel="0" collapsed="false">
      <c r="A683" s="13" t="n">
        <v>49</v>
      </c>
      <c r="B683" s="0" t="str">
        <f aca="false">IFERROR(INDEX(Visitas!$B$2:$B$401,MATCH(A683,Visitas!$A$2:$A$401,0)),"")</f>
        <v>UBS Guanabara</v>
      </c>
      <c r="C683" s="13" t="s">
        <v>96</v>
      </c>
      <c r="D683" s="0" t="str">
        <f aca="false">IFERROR(INDEX(Itens!$C$2:$C$100,MATCH(C683,Itens!$A$2:$A$100,0)),"")</f>
        <v>Execução do cronograma de capacitação da equipe de trabalho</v>
      </c>
      <c r="E683" s="0" t="str">
        <f aca="false">IFERROR(INDEX(Visitas!$C$2:$C$401,MATCH(A683,Visitas!$A$2:$A$401,0)),"")</f>
        <v>2026</v>
      </c>
      <c r="F683" s="0" t="str">
        <f aca="false">IFERROR(INDEX(Itens!$B$2:$B$100,MATCH(C683,Itens!$A$2:$A$100,0)),"")</f>
        <v>II</v>
      </c>
      <c r="G683" s="13" t="n">
        <v>1</v>
      </c>
      <c r="H683" s="13" t="n">
        <v>0</v>
      </c>
    </row>
    <row r="684" customFormat="false" ht="15" hidden="false" customHeight="false" outlineLevel="0" collapsed="false">
      <c r="A684" s="13" t="n">
        <v>49</v>
      </c>
      <c r="B684" s="0" t="str">
        <f aca="false">IFERROR(INDEX(Visitas!$B$2:$B$401,MATCH(A684,Visitas!$A$2:$A$401,0)),"")</f>
        <v>UBS Guanabara</v>
      </c>
      <c r="C684" s="13" t="s">
        <v>100</v>
      </c>
      <c r="D684" s="0" t="str">
        <f aca="false">IFERROR(INDEX(Itens!$C$2:$C$100,MATCH(C684,Itens!$A$2:$A$100,0)),"")</f>
        <v>Disponibilidade de agendamento de consultas, exames e procedimentos</v>
      </c>
      <c r="E684" s="0" t="str">
        <f aca="false">IFERROR(INDEX(Visitas!$C$2:$C$401,MATCH(A684,Visitas!$A$2:$A$401,0)),"")</f>
        <v>2026</v>
      </c>
      <c r="F684" s="0" t="str">
        <f aca="false">IFERROR(INDEX(Itens!$B$2:$B$100,MATCH(C684,Itens!$A$2:$A$100,0)),"")</f>
        <v>II</v>
      </c>
      <c r="G684" s="13" t="n">
        <v>1</v>
      </c>
      <c r="H684" s="13" t="n">
        <v>0</v>
      </c>
    </row>
    <row r="685" customFormat="false" ht="15" hidden="false" customHeight="false" outlineLevel="0" collapsed="false">
      <c r="A685" s="13" t="n">
        <v>49</v>
      </c>
      <c r="B685" s="0" t="str">
        <f aca="false">IFERROR(INDEX(Visitas!$B$2:$B$401,MATCH(A685,Visitas!$A$2:$A$401,0)),"")</f>
        <v>UBS Guanabara</v>
      </c>
      <c r="C685" s="13" t="s">
        <v>104</v>
      </c>
      <c r="D685" s="0" t="str">
        <f aca="false">IFERROR(INDEX(Itens!$C$2:$C$100,MATCH(C685,Itens!$A$2:$A$100,0)),"")</f>
        <v>Atendimento aos indicadores do PMS</v>
      </c>
      <c r="E685" s="0" t="str">
        <f aca="false">IFERROR(INDEX(Visitas!$C$2:$C$401,MATCH(A685,Visitas!$A$2:$A$401,0)),"")</f>
        <v>2026</v>
      </c>
      <c r="F685" s="0" t="str">
        <f aca="false">IFERROR(INDEX(Itens!$B$2:$B$100,MATCH(C685,Itens!$A$2:$A$100,0)),"")</f>
        <v>III</v>
      </c>
      <c r="G685" s="13" t="n">
        <v>1</v>
      </c>
      <c r="H685" s="13" t="n">
        <v>0</v>
      </c>
    </row>
    <row r="686" customFormat="false" ht="15" hidden="false" customHeight="false" outlineLevel="0" collapsed="false">
      <c r="A686" s="13" t="n">
        <v>49</v>
      </c>
      <c r="B686" s="0" t="str">
        <f aca="false">IFERROR(INDEX(Visitas!$B$2:$B$401,MATCH(A686,Visitas!$A$2:$A$401,0)),"")</f>
        <v>UBS Guanabara</v>
      </c>
      <c r="C686" s="13" t="s">
        <v>109</v>
      </c>
      <c r="D686" s="0" t="str">
        <f aca="false">IFERROR(INDEX(Itens!$C$2:$C$100,MATCH(C686,Itens!$A$2:$A$100,0)),"")</f>
        <v>Registro de reclamações na Ouvidoria do COMSAUDE</v>
      </c>
      <c r="E686" s="0" t="str">
        <f aca="false">IFERROR(INDEX(Visitas!$C$2:$C$401,MATCH(A686,Visitas!$A$2:$A$401,0)),"")</f>
        <v>2026</v>
      </c>
      <c r="F686" s="0" t="str">
        <f aca="false">IFERROR(INDEX(Itens!$B$2:$B$100,MATCH(C686,Itens!$A$2:$A$100,0)),"")</f>
        <v>IV</v>
      </c>
      <c r="G686" s="13" t="n">
        <v>1</v>
      </c>
      <c r="H686" s="13" t="n">
        <v>0</v>
      </c>
    </row>
    <row r="687" customFormat="false" ht="15" hidden="false" customHeight="false" outlineLevel="0" collapsed="false">
      <c r="A687" s="13" t="n">
        <v>49</v>
      </c>
      <c r="B687" s="0" t="str">
        <f aca="false">IFERROR(INDEX(Visitas!$B$2:$B$401,MATCH(A687,Visitas!$A$2:$A$401,0)),"")</f>
        <v>UBS Guanabara</v>
      </c>
      <c r="C687" s="13" t="s">
        <v>113</v>
      </c>
      <c r="D687" s="0" t="str">
        <f aca="false">IFERROR(INDEX(Itens!$C$2:$C$100,MATCH(C687,Itens!$A$2:$A$100,0)),"")</f>
        <v>Satisfação dos usuários</v>
      </c>
      <c r="E687" s="0" t="str">
        <f aca="false">IFERROR(INDEX(Visitas!$C$2:$C$401,MATCH(A687,Visitas!$A$2:$A$401,0)),"")</f>
        <v>2026</v>
      </c>
      <c r="F687" s="0" t="str">
        <f aca="false">IFERROR(INDEX(Itens!$B$2:$B$100,MATCH(C687,Itens!$A$2:$A$100,0)),"")</f>
        <v>IV</v>
      </c>
      <c r="G687" s="13" t="n">
        <v>1</v>
      </c>
      <c r="H687" s="13" t="n">
        <v>0</v>
      </c>
    </row>
    <row r="688" customFormat="false" ht="15" hidden="false" customHeight="false" outlineLevel="0" collapsed="false">
      <c r="A688" s="13" t="n">
        <v>50</v>
      </c>
      <c r="B688" s="0" t="str">
        <f aca="false">IFERROR(INDEX(Visitas!$B$2:$B$401,MATCH(A688,Visitas!$A$2:$A$401,0)),"")</f>
        <v>Clínica Modelo Zanaga</v>
      </c>
      <c r="C688" s="13" t="s">
        <v>65</v>
      </c>
      <c r="D688" s="0" t="str">
        <f aca="false">IFERROR(INDEX(Itens!$C$2:$C$100,MATCH(C688,Itens!$A$2:$A$100,0)),"")</f>
        <v>Infraestrutura civil</v>
      </c>
      <c r="E688" s="0" t="str">
        <f aca="false">IFERROR(INDEX(Visitas!$C$2:$C$401,MATCH(A688,Visitas!$A$2:$A$401,0)),"")</f>
        <v>2026</v>
      </c>
      <c r="F688" s="0" t="str">
        <f aca="false">IFERROR(INDEX(Itens!$B$2:$B$100,MATCH(C688,Itens!$A$2:$A$100,0)),"")</f>
        <v>I</v>
      </c>
      <c r="G688" s="13" t="n">
        <v>1</v>
      </c>
      <c r="H688" s="13" t="n">
        <v>0</v>
      </c>
    </row>
    <row r="689" customFormat="false" ht="15" hidden="false" customHeight="false" outlineLevel="0" collapsed="false">
      <c r="A689" s="13" t="n">
        <v>50</v>
      </c>
      <c r="B689" s="0" t="str">
        <f aca="false">IFERROR(INDEX(Visitas!$B$2:$B$401,MATCH(A689,Visitas!$A$2:$A$401,0)),"")</f>
        <v>Clínica Modelo Zanaga</v>
      </c>
      <c r="C689" s="13" t="s">
        <v>70</v>
      </c>
      <c r="D689" s="0" t="str">
        <f aca="false">IFERROR(INDEX(Itens!$C$2:$C$100,MATCH(C689,Itens!$A$2:$A$100,0)),"")</f>
        <v>Infraestrutura elétrica</v>
      </c>
      <c r="E689" s="0" t="str">
        <f aca="false">IFERROR(INDEX(Visitas!$C$2:$C$401,MATCH(A689,Visitas!$A$2:$A$401,0)),"")</f>
        <v>2026</v>
      </c>
      <c r="F689" s="0" t="str">
        <f aca="false">IFERROR(INDEX(Itens!$B$2:$B$100,MATCH(C689,Itens!$A$2:$A$100,0)),"")</f>
        <v>I</v>
      </c>
      <c r="G689" s="13" t="n">
        <v>1</v>
      </c>
      <c r="H689" s="13" t="n">
        <v>0</v>
      </c>
    </row>
    <row r="690" customFormat="false" ht="15" hidden="false" customHeight="false" outlineLevel="0" collapsed="false">
      <c r="A690" s="13" t="n">
        <v>50</v>
      </c>
      <c r="B690" s="0" t="str">
        <f aca="false">IFERROR(INDEX(Visitas!$B$2:$B$401,MATCH(A690,Visitas!$A$2:$A$401,0)),"")</f>
        <v>Clínica Modelo Zanaga</v>
      </c>
      <c r="C690" s="13" t="s">
        <v>73</v>
      </c>
      <c r="D690" s="0" t="str">
        <f aca="false">IFERROR(INDEX(Itens!$C$2:$C$100,MATCH(C690,Itens!$A$2:$A$100,0)),"")</f>
        <v>Infraestrutura hidráulica</v>
      </c>
      <c r="E690" s="0" t="str">
        <f aca="false">IFERROR(INDEX(Visitas!$C$2:$C$401,MATCH(A690,Visitas!$A$2:$A$401,0)),"")</f>
        <v>2026</v>
      </c>
      <c r="F690" s="0" t="str">
        <f aca="false">IFERROR(INDEX(Itens!$B$2:$B$100,MATCH(C690,Itens!$A$2:$A$100,0)),"")</f>
        <v>I</v>
      </c>
      <c r="G690" s="13" t="n">
        <v>1</v>
      </c>
      <c r="H690" s="13" t="n">
        <v>0</v>
      </c>
    </row>
    <row r="691" customFormat="false" ht="15" hidden="false" customHeight="false" outlineLevel="0" collapsed="false">
      <c r="A691" s="13" t="n">
        <v>50</v>
      </c>
      <c r="B691" s="0" t="str">
        <f aca="false">IFERROR(INDEX(Visitas!$B$2:$B$401,MATCH(A691,Visitas!$A$2:$A$401,0)),"")</f>
        <v>Clínica Modelo Zanaga</v>
      </c>
      <c r="C691" s="13" t="s">
        <v>76</v>
      </c>
      <c r="D691" s="0" t="str">
        <f aca="false">IFERROR(INDEX(Itens!$C$2:$C$100,MATCH(C691,Itens!$A$2:$A$100,0)),"")</f>
        <v>Infraestrutura de comunicação</v>
      </c>
      <c r="E691" s="0" t="str">
        <f aca="false">IFERROR(INDEX(Visitas!$C$2:$C$401,MATCH(A691,Visitas!$A$2:$A$401,0)),"")</f>
        <v>2026</v>
      </c>
      <c r="F691" s="0" t="str">
        <f aca="false">IFERROR(INDEX(Itens!$B$2:$B$100,MATCH(C691,Itens!$A$2:$A$100,0)),"")</f>
        <v>I</v>
      </c>
      <c r="G691" s="13" t="n">
        <v>1</v>
      </c>
      <c r="H691" s="13" t="n">
        <v>0</v>
      </c>
    </row>
    <row r="692" customFormat="false" ht="15" hidden="false" customHeight="false" outlineLevel="0" collapsed="false">
      <c r="A692" s="13" t="n">
        <v>50</v>
      </c>
      <c r="B692" s="0" t="str">
        <f aca="false">IFERROR(INDEX(Visitas!$B$2:$B$401,MATCH(A692,Visitas!$A$2:$A$401,0)),"")</f>
        <v>Clínica Modelo Zanaga</v>
      </c>
      <c r="C692" s="13" t="s">
        <v>79</v>
      </c>
      <c r="D692" s="0" t="str">
        <f aca="false">IFERROR(INDEX(Itens!$C$2:$C$100,MATCH(C692,Itens!$A$2:$A$100,0)),"")</f>
        <v>Equipamentos</v>
      </c>
      <c r="E692" s="0" t="str">
        <f aca="false">IFERROR(INDEX(Visitas!$C$2:$C$401,MATCH(A692,Visitas!$A$2:$A$401,0)),"")</f>
        <v>2026</v>
      </c>
      <c r="F692" s="0" t="str">
        <f aca="false">IFERROR(INDEX(Itens!$B$2:$B$100,MATCH(C692,Itens!$A$2:$A$100,0)),"")</f>
        <v>I</v>
      </c>
      <c r="G692" s="13" t="n">
        <v>2</v>
      </c>
      <c r="H692" s="13" t="n">
        <v>0</v>
      </c>
    </row>
    <row r="693" customFormat="false" ht="15" hidden="false" customHeight="false" outlineLevel="0" collapsed="false">
      <c r="A693" s="13" t="n">
        <v>50</v>
      </c>
      <c r="B693" s="0" t="str">
        <f aca="false">IFERROR(INDEX(Visitas!$B$2:$B$401,MATCH(A693,Visitas!$A$2:$A$401,0)),"")</f>
        <v>Clínica Modelo Zanaga</v>
      </c>
      <c r="C693" s="13" t="s">
        <v>82</v>
      </c>
      <c r="D693" s="0" t="str">
        <f aca="false">IFERROR(INDEX(Itens!$C$2:$C$100,MATCH(C693,Itens!$A$2:$A$100,0)),"")</f>
        <v>Materiais, medicamentos e insumos</v>
      </c>
      <c r="E693" s="0" t="str">
        <f aca="false">IFERROR(INDEX(Visitas!$C$2:$C$401,MATCH(A693,Visitas!$A$2:$A$401,0)),"")</f>
        <v>2026</v>
      </c>
      <c r="F693" s="0" t="str">
        <f aca="false">IFERROR(INDEX(Itens!$B$2:$B$100,MATCH(C693,Itens!$A$2:$A$100,0)),"")</f>
        <v>I</v>
      </c>
      <c r="G693" s="13" t="n">
        <v>2</v>
      </c>
      <c r="H693" s="13" t="n">
        <v>0</v>
      </c>
    </row>
    <row r="694" customFormat="false" ht="15" hidden="false" customHeight="false" outlineLevel="0" collapsed="false">
      <c r="A694" s="13" t="n">
        <v>50</v>
      </c>
      <c r="B694" s="0" t="str">
        <f aca="false">IFERROR(INDEX(Visitas!$B$2:$B$401,MATCH(A694,Visitas!$A$2:$A$401,0)),"")</f>
        <v>Clínica Modelo Zanaga</v>
      </c>
      <c r="C694" s="13" t="s">
        <v>85</v>
      </c>
      <c r="D694" s="0" t="str">
        <f aca="false">IFERROR(INDEX(Itens!$C$2:$C$100,MATCH(C694,Itens!$A$2:$A$100,0)),"")</f>
        <v>Conforto, limpeza e organização</v>
      </c>
      <c r="E694" s="0" t="str">
        <f aca="false">IFERROR(INDEX(Visitas!$C$2:$C$401,MATCH(A694,Visitas!$A$2:$A$401,0)),"")</f>
        <v>2026</v>
      </c>
      <c r="F694" s="0" t="str">
        <f aca="false">IFERROR(INDEX(Itens!$B$2:$B$100,MATCH(C694,Itens!$A$2:$A$100,0)),"")</f>
        <v>I</v>
      </c>
      <c r="G694" s="13" t="n">
        <v>1</v>
      </c>
      <c r="H694" s="13" t="n">
        <v>0</v>
      </c>
    </row>
    <row r="695" customFormat="false" ht="15" hidden="false" customHeight="false" outlineLevel="0" collapsed="false">
      <c r="A695" s="13" t="n">
        <v>50</v>
      </c>
      <c r="B695" s="0" t="str">
        <f aca="false">IFERROR(INDEX(Visitas!$B$2:$B$401,MATCH(A695,Visitas!$A$2:$A$401,0)),"")</f>
        <v>Clínica Modelo Zanaga</v>
      </c>
      <c r="C695" s="13" t="s">
        <v>88</v>
      </c>
      <c r="D695" s="0" t="str">
        <f aca="false">IFERROR(INDEX(Itens!$C$2:$C$100,MATCH(C695,Itens!$A$2:$A$100,0)),"")</f>
        <v>Utilização de indicadores de gestão</v>
      </c>
      <c r="E695" s="0" t="str">
        <f aca="false">IFERROR(INDEX(Visitas!$C$2:$C$401,MATCH(A695,Visitas!$A$2:$A$401,0)),"")</f>
        <v>2026</v>
      </c>
      <c r="F695" s="0" t="str">
        <f aca="false">IFERROR(INDEX(Itens!$B$2:$B$100,MATCH(C695,Itens!$A$2:$A$100,0)),"")</f>
        <v>II</v>
      </c>
      <c r="G695" s="13" t="n">
        <v>2</v>
      </c>
      <c r="H695" s="13" t="n">
        <v>0</v>
      </c>
    </row>
    <row r="696" customFormat="false" ht="15" hidden="false" customHeight="false" outlineLevel="0" collapsed="false">
      <c r="A696" s="13" t="n">
        <v>50</v>
      </c>
      <c r="B696" s="0" t="str">
        <f aca="false">IFERROR(INDEX(Visitas!$B$2:$B$401,MATCH(A696,Visitas!$A$2:$A$401,0)),"")</f>
        <v>Clínica Modelo Zanaga</v>
      </c>
      <c r="C696" s="13" t="s">
        <v>92</v>
      </c>
      <c r="D696" s="0" t="str">
        <f aca="false">IFERROR(INDEX(Itens!$C$2:$C$100,MATCH(C696,Itens!$A$2:$A$100,0)),"")</f>
        <v>Dimensionamento de equipe</v>
      </c>
      <c r="E696" s="0" t="str">
        <f aca="false">IFERROR(INDEX(Visitas!$C$2:$C$401,MATCH(A696,Visitas!$A$2:$A$401,0)),"")</f>
        <v>2026</v>
      </c>
      <c r="F696" s="0" t="str">
        <f aca="false">IFERROR(INDEX(Itens!$B$2:$B$100,MATCH(C696,Itens!$A$2:$A$100,0)),"")</f>
        <v>II</v>
      </c>
      <c r="G696" s="13" t="n">
        <v>2</v>
      </c>
      <c r="H696" s="13" t="n">
        <v>0</v>
      </c>
    </row>
    <row r="697" customFormat="false" ht="15" hidden="false" customHeight="false" outlineLevel="0" collapsed="false">
      <c r="A697" s="13" t="n">
        <v>50</v>
      </c>
      <c r="B697" s="0" t="str">
        <f aca="false">IFERROR(INDEX(Visitas!$B$2:$B$401,MATCH(A697,Visitas!$A$2:$A$401,0)),"")</f>
        <v>Clínica Modelo Zanaga</v>
      </c>
      <c r="C697" s="13" t="s">
        <v>96</v>
      </c>
      <c r="D697" s="0" t="str">
        <f aca="false">IFERROR(INDEX(Itens!$C$2:$C$100,MATCH(C697,Itens!$A$2:$A$100,0)),"")</f>
        <v>Execução do cronograma de capacitação da equipe de trabalho</v>
      </c>
      <c r="E697" s="0" t="str">
        <f aca="false">IFERROR(INDEX(Visitas!$C$2:$C$401,MATCH(A697,Visitas!$A$2:$A$401,0)),"")</f>
        <v>2026</v>
      </c>
      <c r="F697" s="0" t="str">
        <f aca="false">IFERROR(INDEX(Itens!$B$2:$B$100,MATCH(C697,Itens!$A$2:$A$100,0)),"")</f>
        <v>II</v>
      </c>
      <c r="G697" s="13" t="n">
        <v>2</v>
      </c>
      <c r="H697" s="13" t="n">
        <v>0</v>
      </c>
    </row>
    <row r="698" customFormat="false" ht="15" hidden="false" customHeight="false" outlineLevel="0" collapsed="false">
      <c r="A698" s="13" t="n">
        <v>50</v>
      </c>
      <c r="B698" s="0" t="str">
        <f aca="false">IFERROR(INDEX(Visitas!$B$2:$B$401,MATCH(A698,Visitas!$A$2:$A$401,0)),"")</f>
        <v>Clínica Modelo Zanaga</v>
      </c>
      <c r="C698" s="13" t="s">
        <v>100</v>
      </c>
      <c r="D698" s="0" t="str">
        <f aca="false">IFERROR(INDEX(Itens!$C$2:$C$100,MATCH(C698,Itens!$A$2:$A$100,0)),"")</f>
        <v>Disponibilidade de agendamento de consultas, exames e procedimentos</v>
      </c>
      <c r="E698" s="0" t="str">
        <f aca="false">IFERROR(INDEX(Visitas!$C$2:$C$401,MATCH(A698,Visitas!$A$2:$A$401,0)),"")</f>
        <v>2026</v>
      </c>
      <c r="F698" s="0" t="str">
        <f aca="false">IFERROR(INDEX(Itens!$B$2:$B$100,MATCH(C698,Itens!$A$2:$A$100,0)),"")</f>
        <v>II</v>
      </c>
      <c r="G698" s="13" t="n">
        <v>2</v>
      </c>
      <c r="H698" s="13" t="n">
        <v>0</v>
      </c>
    </row>
    <row r="699" customFormat="false" ht="15" hidden="false" customHeight="false" outlineLevel="0" collapsed="false">
      <c r="A699" s="13" t="n">
        <v>50</v>
      </c>
      <c r="B699" s="0" t="str">
        <f aca="false">IFERROR(INDEX(Visitas!$B$2:$B$401,MATCH(A699,Visitas!$A$2:$A$401,0)),"")</f>
        <v>Clínica Modelo Zanaga</v>
      </c>
      <c r="C699" s="13" t="s">
        <v>104</v>
      </c>
      <c r="D699" s="0" t="str">
        <f aca="false">IFERROR(INDEX(Itens!$C$2:$C$100,MATCH(C699,Itens!$A$2:$A$100,0)),"")</f>
        <v>Atendimento aos indicadores do PMS</v>
      </c>
      <c r="E699" s="0" t="str">
        <f aca="false">IFERROR(INDEX(Visitas!$C$2:$C$401,MATCH(A699,Visitas!$A$2:$A$401,0)),"")</f>
        <v>2026</v>
      </c>
      <c r="F699" s="0" t="str">
        <f aca="false">IFERROR(INDEX(Itens!$B$2:$B$100,MATCH(C699,Itens!$A$2:$A$100,0)),"")</f>
        <v>III</v>
      </c>
      <c r="G699" s="13" t="n">
        <v>2</v>
      </c>
      <c r="H699" s="13" t="n">
        <v>0</v>
      </c>
    </row>
    <row r="700" customFormat="false" ht="15" hidden="false" customHeight="false" outlineLevel="0" collapsed="false">
      <c r="A700" s="13" t="n">
        <v>50</v>
      </c>
      <c r="B700" s="0" t="str">
        <f aca="false">IFERROR(INDEX(Visitas!$B$2:$B$401,MATCH(A700,Visitas!$A$2:$A$401,0)),"")</f>
        <v>Clínica Modelo Zanaga</v>
      </c>
      <c r="C700" s="13" t="s">
        <v>109</v>
      </c>
      <c r="D700" s="0" t="str">
        <f aca="false">IFERROR(INDEX(Itens!$C$2:$C$100,MATCH(C700,Itens!$A$2:$A$100,0)),"")</f>
        <v>Registro de reclamações na Ouvidoria do COMSAUDE</v>
      </c>
      <c r="E700" s="0" t="str">
        <f aca="false">IFERROR(INDEX(Visitas!$C$2:$C$401,MATCH(A700,Visitas!$A$2:$A$401,0)),"")</f>
        <v>2026</v>
      </c>
      <c r="F700" s="0" t="str">
        <f aca="false">IFERROR(INDEX(Itens!$B$2:$B$100,MATCH(C700,Itens!$A$2:$A$100,0)),"")</f>
        <v>IV</v>
      </c>
      <c r="G700" s="13" t="n">
        <v>2</v>
      </c>
      <c r="H700" s="13" t="n">
        <v>0</v>
      </c>
    </row>
    <row r="701" customFormat="false" ht="15" hidden="false" customHeight="false" outlineLevel="0" collapsed="false">
      <c r="A701" s="13" t="n">
        <v>50</v>
      </c>
      <c r="B701" s="0" t="str">
        <f aca="false">IFERROR(INDEX(Visitas!$B$2:$B$401,MATCH(A701,Visitas!$A$2:$A$401,0)),"")</f>
        <v>Clínica Modelo Zanaga</v>
      </c>
      <c r="C701" s="13" t="s">
        <v>113</v>
      </c>
      <c r="D701" s="0" t="str">
        <f aca="false">IFERROR(INDEX(Itens!$C$2:$C$100,MATCH(C701,Itens!$A$2:$A$100,0)),"")</f>
        <v>Satisfação dos usuários</v>
      </c>
      <c r="E701" s="0" t="str">
        <f aca="false">IFERROR(INDEX(Visitas!$C$2:$C$401,MATCH(A701,Visitas!$A$2:$A$401,0)),"")</f>
        <v>2026</v>
      </c>
      <c r="F701" s="0" t="str">
        <f aca="false">IFERROR(INDEX(Itens!$B$2:$B$100,MATCH(C701,Itens!$A$2:$A$100,0)),"")</f>
        <v>IV</v>
      </c>
      <c r="G701" s="13"/>
      <c r="H701" s="13" t="n">
        <v>1</v>
      </c>
    </row>
    <row r="702" customFormat="false" ht="15" hidden="false" customHeight="false" outlineLevel="0" collapsed="false">
      <c r="A702" s="13" t="n">
        <v>51</v>
      </c>
      <c r="B702" s="0" t="str">
        <f aca="false">IFERROR(INDEX(Visitas!$B$2:$B$401,MATCH(A702,Visitas!$A$2:$A$401,0)),"")</f>
        <v>Farmácia Central</v>
      </c>
      <c r="C702" s="13" t="s">
        <v>65</v>
      </c>
      <c r="D702" s="0" t="str">
        <f aca="false">IFERROR(INDEX(Itens!$C$2:$C$100,MATCH(C702,Itens!$A$2:$A$100,0)),"")</f>
        <v>Infraestrutura civil</v>
      </c>
      <c r="E702" s="0" t="str">
        <f aca="false">IFERROR(INDEX(Visitas!$C$2:$C$401,MATCH(A702,Visitas!$A$2:$A$401,0)),"")</f>
        <v>2026</v>
      </c>
      <c r="F702" s="0" t="str">
        <f aca="false">IFERROR(INDEX(Itens!$B$2:$B$100,MATCH(C702,Itens!$A$2:$A$100,0)),"")</f>
        <v>I</v>
      </c>
      <c r="G702" s="13" t="n">
        <v>1</v>
      </c>
      <c r="H702" s="13" t="n">
        <v>0</v>
      </c>
    </row>
    <row r="703" customFormat="false" ht="15" hidden="false" customHeight="false" outlineLevel="0" collapsed="false">
      <c r="A703" s="13" t="n">
        <v>51</v>
      </c>
      <c r="B703" s="0" t="str">
        <f aca="false">IFERROR(INDEX(Visitas!$B$2:$B$401,MATCH(A703,Visitas!$A$2:$A$401,0)),"")</f>
        <v>Farmácia Central</v>
      </c>
      <c r="C703" s="13" t="s">
        <v>70</v>
      </c>
      <c r="D703" s="0" t="str">
        <f aca="false">IFERROR(INDEX(Itens!$C$2:$C$100,MATCH(C703,Itens!$A$2:$A$100,0)),"")</f>
        <v>Infraestrutura elétrica</v>
      </c>
      <c r="E703" s="0" t="str">
        <f aca="false">IFERROR(INDEX(Visitas!$C$2:$C$401,MATCH(A703,Visitas!$A$2:$A$401,0)),"")</f>
        <v>2026</v>
      </c>
      <c r="F703" s="0" t="str">
        <f aca="false">IFERROR(INDEX(Itens!$B$2:$B$100,MATCH(C703,Itens!$A$2:$A$100,0)),"")</f>
        <v>I</v>
      </c>
      <c r="G703" s="13" t="n">
        <v>2</v>
      </c>
      <c r="H703" s="13" t="n">
        <v>0</v>
      </c>
    </row>
    <row r="704" customFormat="false" ht="15" hidden="false" customHeight="false" outlineLevel="0" collapsed="false">
      <c r="A704" s="13" t="n">
        <v>51</v>
      </c>
      <c r="B704" s="0" t="str">
        <f aca="false">IFERROR(INDEX(Visitas!$B$2:$B$401,MATCH(A704,Visitas!$A$2:$A$401,0)),"")</f>
        <v>Farmácia Central</v>
      </c>
      <c r="C704" s="13" t="s">
        <v>73</v>
      </c>
      <c r="D704" s="0" t="str">
        <f aca="false">IFERROR(INDEX(Itens!$C$2:$C$100,MATCH(C704,Itens!$A$2:$A$100,0)),"")</f>
        <v>Infraestrutura hidráulica</v>
      </c>
      <c r="E704" s="0" t="str">
        <f aca="false">IFERROR(INDEX(Visitas!$C$2:$C$401,MATCH(A704,Visitas!$A$2:$A$401,0)),"")</f>
        <v>2026</v>
      </c>
      <c r="F704" s="0" t="str">
        <f aca="false">IFERROR(INDEX(Itens!$B$2:$B$100,MATCH(C704,Itens!$A$2:$A$100,0)),"")</f>
        <v>I</v>
      </c>
      <c r="G704" s="13" t="n">
        <v>2</v>
      </c>
      <c r="H704" s="13" t="n">
        <v>0</v>
      </c>
    </row>
    <row r="705" customFormat="false" ht="15" hidden="false" customHeight="false" outlineLevel="0" collapsed="false">
      <c r="A705" s="13" t="n">
        <v>51</v>
      </c>
      <c r="B705" s="0" t="str">
        <f aca="false">IFERROR(INDEX(Visitas!$B$2:$B$401,MATCH(A705,Visitas!$A$2:$A$401,0)),"")</f>
        <v>Farmácia Central</v>
      </c>
      <c r="C705" s="13" t="s">
        <v>76</v>
      </c>
      <c r="D705" s="0" t="str">
        <f aca="false">IFERROR(INDEX(Itens!$C$2:$C$100,MATCH(C705,Itens!$A$2:$A$100,0)),"")</f>
        <v>Infraestrutura de comunicação</v>
      </c>
      <c r="E705" s="0" t="str">
        <f aca="false">IFERROR(INDEX(Visitas!$C$2:$C$401,MATCH(A705,Visitas!$A$2:$A$401,0)),"")</f>
        <v>2026</v>
      </c>
      <c r="F705" s="0" t="str">
        <f aca="false">IFERROR(INDEX(Itens!$B$2:$B$100,MATCH(C705,Itens!$A$2:$A$100,0)),"")</f>
        <v>I</v>
      </c>
      <c r="G705" s="13" t="n">
        <v>2</v>
      </c>
      <c r="H705" s="13" t="n">
        <v>0</v>
      </c>
    </row>
    <row r="706" customFormat="false" ht="15" hidden="false" customHeight="false" outlineLevel="0" collapsed="false">
      <c r="A706" s="13" t="n">
        <v>51</v>
      </c>
      <c r="B706" s="0" t="str">
        <f aca="false">IFERROR(INDEX(Visitas!$B$2:$B$401,MATCH(A706,Visitas!$A$2:$A$401,0)),"")</f>
        <v>Farmácia Central</v>
      </c>
      <c r="C706" s="13" t="s">
        <v>79</v>
      </c>
      <c r="D706" s="0" t="str">
        <f aca="false">IFERROR(INDEX(Itens!$C$2:$C$100,MATCH(C706,Itens!$A$2:$A$100,0)),"")</f>
        <v>Equipamentos</v>
      </c>
      <c r="E706" s="0" t="str">
        <f aca="false">IFERROR(INDEX(Visitas!$C$2:$C$401,MATCH(A706,Visitas!$A$2:$A$401,0)),"")</f>
        <v>2026</v>
      </c>
      <c r="F706" s="0" t="str">
        <f aca="false">IFERROR(INDEX(Itens!$B$2:$B$100,MATCH(C706,Itens!$A$2:$A$100,0)),"")</f>
        <v>I</v>
      </c>
      <c r="G706" s="13" t="n">
        <v>2</v>
      </c>
      <c r="H706" s="13" t="n">
        <v>0</v>
      </c>
    </row>
    <row r="707" customFormat="false" ht="15" hidden="false" customHeight="false" outlineLevel="0" collapsed="false">
      <c r="A707" s="13" t="n">
        <v>51</v>
      </c>
      <c r="B707" s="0" t="str">
        <f aca="false">IFERROR(INDEX(Visitas!$B$2:$B$401,MATCH(A707,Visitas!$A$2:$A$401,0)),"")</f>
        <v>Farmácia Central</v>
      </c>
      <c r="C707" s="13" t="s">
        <v>82</v>
      </c>
      <c r="D707" s="0" t="str">
        <f aca="false">IFERROR(INDEX(Itens!$C$2:$C$100,MATCH(C707,Itens!$A$2:$A$100,0)),"")</f>
        <v>Materiais, medicamentos e insumos</v>
      </c>
      <c r="E707" s="0" t="str">
        <f aca="false">IFERROR(INDEX(Visitas!$C$2:$C$401,MATCH(A707,Visitas!$A$2:$A$401,0)),"")</f>
        <v>2026</v>
      </c>
      <c r="F707" s="0" t="str">
        <f aca="false">IFERROR(INDEX(Itens!$B$2:$B$100,MATCH(C707,Itens!$A$2:$A$100,0)),"")</f>
        <v>I</v>
      </c>
      <c r="G707" s="13" t="n">
        <v>2</v>
      </c>
      <c r="H707" s="13" t="n">
        <v>0</v>
      </c>
    </row>
    <row r="708" customFormat="false" ht="15" hidden="false" customHeight="false" outlineLevel="0" collapsed="false">
      <c r="A708" s="13" t="n">
        <v>51</v>
      </c>
      <c r="B708" s="0" t="str">
        <f aca="false">IFERROR(INDEX(Visitas!$B$2:$B$401,MATCH(A708,Visitas!$A$2:$A$401,0)),"")</f>
        <v>Farmácia Central</v>
      </c>
      <c r="C708" s="13" t="s">
        <v>85</v>
      </c>
      <c r="D708" s="0" t="str">
        <f aca="false">IFERROR(INDEX(Itens!$C$2:$C$100,MATCH(C708,Itens!$A$2:$A$100,0)),"")</f>
        <v>Conforto, limpeza e organização</v>
      </c>
      <c r="E708" s="0" t="str">
        <f aca="false">IFERROR(INDEX(Visitas!$C$2:$C$401,MATCH(A708,Visitas!$A$2:$A$401,0)),"")</f>
        <v>2026</v>
      </c>
      <c r="F708" s="0" t="str">
        <f aca="false">IFERROR(INDEX(Itens!$B$2:$B$100,MATCH(C708,Itens!$A$2:$A$100,0)),"")</f>
        <v>I</v>
      </c>
      <c r="G708" s="13" t="n">
        <v>2</v>
      </c>
      <c r="H708" s="13" t="n">
        <v>0</v>
      </c>
    </row>
    <row r="709" customFormat="false" ht="15" hidden="false" customHeight="false" outlineLevel="0" collapsed="false">
      <c r="A709" s="13" t="n">
        <v>51</v>
      </c>
      <c r="B709" s="0" t="str">
        <f aca="false">IFERROR(INDEX(Visitas!$B$2:$B$401,MATCH(A709,Visitas!$A$2:$A$401,0)),"")</f>
        <v>Farmácia Central</v>
      </c>
      <c r="C709" s="13" t="s">
        <v>88</v>
      </c>
      <c r="D709" s="0" t="str">
        <f aca="false">IFERROR(INDEX(Itens!$C$2:$C$100,MATCH(C709,Itens!$A$2:$A$100,0)),"")</f>
        <v>Utilização de indicadores de gestão</v>
      </c>
      <c r="E709" s="0" t="str">
        <f aca="false">IFERROR(INDEX(Visitas!$C$2:$C$401,MATCH(A709,Visitas!$A$2:$A$401,0)),"")</f>
        <v>2026</v>
      </c>
      <c r="F709" s="0" t="str">
        <f aca="false">IFERROR(INDEX(Itens!$B$2:$B$100,MATCH(C709,Itens!$A$2:$A$100,0)),"")</f>
        <v>II</v>
      </c>
      <c r="G709" s="13" t="n">
        <v>2</v>
      </c>
      <c r="H709" s="13" t="n">
        <v>0</v>
      </c>
    </row>
    <row r="710" customFormat="false" ht="15" hidden="false" customHeight="false" outlineLevel="0" collapsed="false">
      <c r="A710" s="13" t="n">
        <v>51</v>
      </c>
      <c r="B710" s="0" t="str">
        <f aca="false">IFERROR(INDEX(Visitas!$B$2:$B$401,MATCH(A710,Visitas!$A$2:$A$401,0)),"")</f>
        <v>Farmácia Central</v>
      </c>
      <c r="C710" s="13" t="s">
        <v>92</v>
      </c>
      <c r="D710" s="0" t="str">
        <f aca="false">IFERROR(INDEX(Itens!$C$2:$C$100,MATCH(C710,Itens!$A$2:$A$100,0)),"")</f>
        <v>Dimensionamento de equipe</v>
      </c>
      <c r="E710" s="0" t="str">
        <f aca="false">IFERROR(INDEX(Visitas!$C$2:$C$401,MATCH(A710,Visitas!$A$2:$A$401,0)),"")</f>
        <v>2026</v>
      </c>
      <c r="F710" s="0" t="str">
        <f aca="false">IFERROR(INDEX(Itens!$B$2:$B$100,MATCH(C710,Itens!$A$2:$A$100,0)),"")</f>
        <v>II</v>
      </c>
      <c r="G710" s="13" t="n">
        <v>2</v>
      </c>
      <c r="H710" s="13" t="n">
        <v>0</v>
      </c>
    </row>
    <row r="711" customFormat="false" ht="15" hidden="false" customHeight="false" outlineLevel="0" collapsed="false">
      <c r="A711" s="13" t="n">
        <v>51</v>
      </c>
      <c r="B711" s="0" t="str">
        <f aca="false">IFERROR(INDEX(Visitas!$B$2:$B$401,MATCH(A711,Visitas!$A$2:$A$401,0)),"")</f>
        <v>Farmácia Central</v>
      </c>
      <c r="C711" s="13" t="s">
        <v>96</v>
      </c>
      <c r="D711" s="0" t="str">
        <f aca="false">IFERROR(INDEX(Itens!$C$2:$C$100,MATCH(C711,Itens!$A$2:$A$100,0)),"")</f>
        <v>Execução do cronograma de capacitação da equipe de trabalho</v>
      </c>
      <c r="E711" s="0" t="str">
        <f aca="false">IFERROR(INDEX(Visitas!$C$2:$C$401,MATCH(A711,Visitas!$A$2:$A$401,0)),"")</f>
        <v>2026</v>
      </c>
      <c r="F711" s="0" t="str">
        <f aca="false">IFERROR(INDEX(Itens!$B$2:$B$100,MATCH(C711,Itens!$A$2:$A$100,0)),"")</f>
        <v>II</v>
      </c>
      <c r="G711" s="13" t="n">
        <v>2</v>
      </c>
      <c r="H711" s="13" t="n">
        <v>0</v>
      </c>
    </row>
    <row r="712" customFormat="false" ht="15" hidden="false" customHeight="false" outlineLevel="0" collapsed="false">
      <c r="A712" s="13" t="n">
        <v>51</v>
      </c>
      <c r="B712" s="0" t="str">
        <f aca="false">IFERROR(INDEX(Visitas!$B$2:$B$401,MATCH(A712,Visitas!$A$2:$A$401,0)),"")</f>
        <v>Farmácia Central</v>
      </c>
      <c r="C712" s="13" t="s">
        <v>100</v>
      </c>
      <c r="D712" s="0" t="str">
        <f aca="false">IFERROR(INDEX(Itens!$C$2:$C$100,MATCH(C712,Itens!$A$2:$A$100,0)),"")</f>
        <v>Disponibilidade de agendamento de consultas, exames e procedimentos</v>
      </c>
      <c r="E712" s="0" t="str">
        <f aca="false">IFERROR(INDEX(Visitas!$C$2:$C$401,MATCH(A712,Visitas!$A$2:$A$401,0)),"")</f>
        <v>2026</v>
      </c>
      <c r="F712" s="0" t="str">
        <f aca="false">IFERROR(INDEX(Itens!$B$2:$B$100,MATCH(C712,Itens!$A$2:$A$100,0)),"")</f>
        <v>II</v>
      </c>
      <c r="G712" s="13" t="n">
        <v>2</v>
      </c>
      <c r="H712" s="13" t="n">
        <v>0</v>
      </c>
    </row>
    <row r="713" customFormat="false" ht="15" hidden="false" customHeight="false" outlineLevel="0" collapsed="false">
      <c r="A713" s="13" t="n">
        <v>51</v>
      </c>
      <c r="B713" s="0" t="str">
        <f aca="false">IFERROR(INDEX(Visitas!$B$2:$B$401,MATCH(A713,Visitas!$A$2:$A$401,0)),"")</f>
        <v>Farmácia Central</v>
      </c>
      <c r="C713" s="13" t="s">
        <v>104</v>
      </c>
      <c r="D713" s="0" t="str">
        <f aca="false">IFERROR(INDEX(Itens!$C$2:$C$100,MATCH(C713,Itens!$A$2:$A$100,0)),"")</f>
        <v>Atendimento aos indicadores do PMS</v>
      </c>
      <c r="E713" s="0" t="str">
        <f aca="false">IFERROR(INDEX(Visitas!$C$2:$C$401,MATCH(A713,Visitas!$A$2:$A$401,0)),"")</f>
        <v>2026</v>
      </c>
      <c r="F713" s="0" t="str">
        <f aca="false">IFERROR(INDEX(Itens!$B$2:$B$100,MATCH(C713,Itens!$A$2:$A$100,0)),"")</f>
        <v>III</v>
      </c>
      <c r="G713" s="13" t="n">
        <v>2</v>
      </c>
      <c r="H713" s="13" t="n">
        <v>0</v>
      </c>
    </row>
    <row r="714" customFormat="false" ht="15" hidden="false" customHeight="false" outlineLevel="0" collapsed="false">
      <c r="A714" s="13" t="n">
        <v>51</v>
      </c>
      <c r="B714" s="0" t="str">
        <f aca="false">IFERROR(INDEX(Visitas!$B$2:$B$401,MATCH(A714,Visitas!$A$2:$A$401,0)),"")</f>
        <v>Farmácia Central</v>
      </c>
      <c r="C714" s="13" t="s">
        <v>109</v>
      </c>
      <c r="D714" s="0" t="str">
        <f aca="false">IFERROR(INDEX(Itens!$C$2:$C$100,MATCH(C714,Itens!$A$2:$A$100,0)),"")</f>
        <v>Registro de reclamações na Ouvidoria do COMSAUDE</v>
      </c>
      <c r="E714" s="0" t="str">
        <f aca="false">IFERROR(INDEX(Visitas!$C$2:$C$401,MATCH(A714,Visitas!$A$2:$A$401,0)),"")</f>
        <v>2026</v>
      </c>
      <c r="F714" s="0" t="str">
        <f aca="false">IFERROR(INDEX(Itens!$B$2:$B$100,MATCH(C714,Itens!$A$2:$A$100,0)),"")</f>
        <v>IV</v>
      </c>
      <c r="G714" s="13" t="n">
        <v>2</v>
      </c>
      <c r="H714" s="13" t="n">
        <v>0</v>
      </c>
    </row>
    <row r="715" customFormat="false" ht="15" hidden="false" customHeight="false" outlineLevel="0" collapsed="false">
      <c r="A715" s="13" t="n">
        <v>51</v>
      </c>
      <c r="B715" s="0" t="str">
        <f aca="false">IFERROR(INDEX(Visitas!$B$2:$B$401,MATCH(A715,Visitas!$A$2:$A$401,0)),"")</f>
        <v>Farmácia Central</v>
      </c>
      <c r="C715" s="13" t="s">
        <v>113</v>
      </c>
      <c r="D715" s="0" t="str">
        <f aca="false">IFERROR(INDEX(Itens!$C$2:$C$100,MATCH(C715,Itens!$A$2:$A$100,0)),"")</f>
        <v>Satisfação dos usuários</v>
      </c>
      <c r="E715" s="0" t="str">
        <f aca="false">IFERROR(INDEX(Visitas!$C$2:$C$401,MATCH(A715,Visitas!$A$2:$A$401,0)),"")</f>
        <v>2026</v>
      </c>
      <c r="F715" s="0" t="str">
        <f aca="false">IFERROR(INDEX(Itens!$B$2:$B$100,MATCH(C715,Itens!$A$2:$A$100,0)),"")</f>
        <v>IV</v>
      </c>
      <c r="G715" s="13" t="n">
        <v>2</v>
      </c>
      <c r="H715" s="13" t="n">
        <v>0</v>
      </c>
    </row>
    <row r="716" customFormat="false" ht="15" hidden="false" customHeight="false" outlineLevel="0" collapsed="false">
      <c r="A716" s="13" t="n">
        <v>52</v>
      </c>
      <c r="B716" s="0" t="str">
        <f aca="false">IFERROR(INDEX(Visitas!$B$2:$B$401,MATCH(A716,Visitas!$A$2:$A$401,0)),"")</f>
        <v>CEO - Centro de Especialidades Odontológicas</v>
      </c>
      <c r="C716" s="13" t="s">
        <v>65</v>
      </c>
      <c r="D716" s="0" t="str">
        <f aca="false">IFERROR(INDEX(Itens!$C$2:$C$100,MATCH(C716,Itens!$A$2:$A$100,0)),"")</f>
        <v>Infraestrutura civil</v>
      </c>
      <c r="E716" s="0" t="str">
        <f aca="false">IFERROR(INDEX(Visitas!$C$2:$C$401,MATCH(A716,Visitas!$A$2:$A$401,0)),"")</f>
        <v>2026</v>
      </c>
      <c r="F716" s="0" t="str">
        <f aca="false">IFERROR(INDEX(Itens!$B$2:$B$100,MATCH(C716,Itens!$A$2:$A$100,0)),"")</f>
        <v>I</v>
      </c>
      <c r="G716" s="13" t="n">
        <v>1</v>
      </c>
      <c r="H716" s="13" t="n">
        <v>0</v>
      </c>
    </row>
    <row r="717" customFormat="false" ht="15" hidden="false" customHeight="false" outlineLevel="0" collapsed="false">
      <c r="A717" s="13" t="n">
        <v>52</v>
      </c>
      <c r="B717" s="0" t="str">
        <f aca="false">IFERROR(INDEX(Visitas!$B$2:$B$401,MATCH(A717,Visitas!$A$2:$A$401,0)),"")</f>
        <v>CEO - Centro de Especialidades Odontológicas</v>
      </c>
      <c r="C717" s="13" t="s">
        <v>70</v>
      </c>
      <c r="D717" s="0" t="str">
        <f aca="false">IFERROR(INDEX(Itens!$C$2:$C$100,MATCH(C717,Itens!$A$2:$A$100,0)),"")</f>
        <v>Infraestrutura elétrica</v>
      </c>
      <c r="E717" s="0" t="str">
        <f aca="false">IFERROR(INDEX(Visitas!$C$2:$C$401,MATCH(A717,Visitas!$A$2:$A$401,0)),"")</f>
        <v>2026</v>
      </c>
      <c r="F717" s="0" t="str">
        <f aca="false">IFERROR(INDEX(Itens!$B$2:$B$100,MATCH(C717,Itens!$A$2:$A$100,0)),"")</f>
        <v>I</v>
      </c>
      <c r="G717" s="13" t="n">
        <v>2</v>
      </c>
      <c r="H717" s="13" t="n">
        <v>0</v>
      </c>
    </row>
    <row r="718" customFormat="false" ht="15" hidden="false" customHeight="false" outlineLevel="0" collapsed="false">
      <c r="A718" s="13" t="n">
        <v>52</v>
      </c>
      <c r="B718" s="0" t="str">
        <f aca="false">IFERROR(INDEX(Visitas!$B$2:$B$401,MATCH(A718,Visitas!$A$2:$A$401,0)),"")</f>
        <v>CEO - Centro de Especialidades Odontológicas</v>
      </c>
      <c r="C718" s="13" t="s">
        <v>73</v>
      </c>
      <c r="D718" s="0" t="str">
        <f aca="false">IFERROR(INDEX(Itens!$C$2:$C$100,MATCH(C718,Itens!$A$2:$A$100,0)),"")</f>
        <v>Infraestrutura hidráulica</v>
      </c>
      <c r="E718" s="0" t="str">
        <f aca="false">IFERROR(INDEX(Visitas!$C$2:$C$401,MATCH(A718,Visitas!$A$2:$A$401,0)),"")</f>
        <v>2026</v>
      </c>
      <c r="F718" s="0" t="str">
        <f aca="false">IFERROR(INDEX(Itens!$B$2:$B$100,MATCH(C718,Itens!$A$2:$A$100,0)),"")</f>
        <v>I</v>
      </c>
      <c r="G718" s="13" t="n">
        <v>2</v>
      </c>
      <c r="H718" s="13" t="n">
        <v>0</v>
      </c>
    </row>
    <row r="719" customFormat="false" ht="15" hidden="false" customHeight="false" outlineLevel="0" collapsed="false">
      <c r="A719" s="13" t="n">
        <v>52</v>
      </c>
      <c r="B719" s="0" t="str">
        <f aca="false">IFERROR(INDEX(Visitas!$B$2:$B$401,MATCH(A719,Visitas!$A$2:$A$401,0)),"")</f>
        <v>CEO - Centro de Especialidades Odontológicas</v>
      </c>
      <c r="C719" s="13" t="s">
        <v>76</v>
      </c>
      <c r="D719" s="0" t="str">
        <f aca="false">IFERROR(INDEX(Itens!$C$2:$C$100,MATCH(C719,Itens!$A$2:$A$100,0)),"")</f>
        <v>Infraestrutura de comunicação</v>
      </c>
      <c r="E719" s="0" t="str">
        <f aca="false">IFERROR(INDEX(Visitas!$C$2:$C$401,MATCH(A719,Visitas!$A$2:$A$401,0)),"")</f>
        <v>2026</v>
      </c>
      <c r="F719" s="0" t="str">
        <f aca="false">IFERROR(INDEX(Itens!$B$2:$B$100,MATCH(C719,Itens!$A$2:$A$100,0)),"")</f>
        <v>I</v>
      </c>
      <c r="G719" s="13" t="n">
        <v>2</v>
      </c>
      <c r="H719" s="13" t="n">
        <v>0</v>
      </c>
    </row>
    <row r="720" customFormat="false" ht="15" hidden="false" customHeight="false" outlineLevel="0" collapsed="false">
      <c r="A720" s="13" t="n">
        <v>52</v>
      </c>
      <c r="B720" s="0" t="str">
        <f aca="false">IFERROR(INDEX(Visitas!$B$2:$B$401,MATCH(A720,Visitas!$A$2:$A$401,0)),"")</f>
        <v>CEO - Centro de Especialidades Odontológicas</v>
      </c>
      <c r="C720" s="13" t="s">
        <v>79</v>
      </c>
      <c r="D720" s="0" t="str">
        <f aca="false">IFERROR(INDEX(Itens!$C$2:$C$100,MATCH(C720,Itens!$A$2:$A$100,0)),"")</f>
        <v>Equipamentos</v>
      </c>
      <c r="E720" s="0" t="str">
        <f aca="false">IFERROR(INDEX(Visitas!$C$2:$C$401,MATCH(A720,Visitas!$A$2:$A$401,0)),"")</f>
        <v>2026</v>
      </c>
      <c r="F720" s="0" t="str">
        <f aca="false">IFERROR(INDEX(Itens!$B$2:$B$100,MATCH(C720,Itens!$A$2:$A$100,0)),"")</f>
        <v>I</v>
      </c>
      <c r="G720" s="13" t="n">
        <v>1</v>
      </c>
      <c r="H720" s="13" t="n">
        <v>0</v>
      </c>
    </row>
    <row r="721" customFormat="false" ht="15" hidden="false" customHeight="false" outlineLevel="0" collapsed="false">
      <c r="A721" s="13" t="n">
        <v>52</v>
      </c>
      <c r="B721" s="0" t="str">
        <f aca="false">IFERROR(INDEX(Visitas!$B$2:$B$401,MATCH(A721,Visitas!$A$2:$A$401,0)),"")</f>
        <v>CEO - Centro de Especialidades Odontológicas</v>
      </c>
      <c r="C721" s="13" t="s">
        <v>82</v>
      </c>
      <c r="D721" s="0" t="str">
        <f aca="false">IFERROR(INDEX(Itens!$C$2:$C$100,MATCH(C721,Itens!$A$2:$A$100,0)),"")</f>
        <v>Materiais, medicamentos e insumos</v>
      </c>
      <c r="E721" s="0" t="str">
        <f aca="false">IFERROR(INDEX(Visitas!$C$2:$C$401,MATCH(A721,Visitas!$A$2:$A$401,0)),"")</f>
        <v>2026</v>
      </c>
      <c r="F721" s="0" t="str">
        <f aca="false">IFERROR(INDEX(Itens!$B$2:$B$100,MATCH(C721,Itens!$A$2:$A$100,0)),"")</f>
        <v>I</v>
      </c>
      <c r="G721" s="13" t="n">
        <v>2</v>
      </c>
      <c r="H721" s="13" t="n">
        <v>0</v>
      </c>
    </row>
    <row r="722" customFormat="false" ht="15" hidden="false" customHeight="false" outlineLevel="0" collapsed="false">
      <c r="A722" s="13" t="n">
        <v>52</v>
      </c>
      <c r="B722" s="0" t="str">
        <f aca="false">IFERROR(INDEX(Visitas!$B$2:$B$401,MATCH(A722,Visitas!$A$2:$A$401,0)),"")</f>
        <v>CEO - Centro de Especialidades Odontológicas</v>
      </c>
      <c r="C722" s="13" t="s">
        <v>85</v>
      </c>
      <c r="D722" s="0" t="str">
        <f aca="false">IFERROR(INDEX(Itens!$C$2:$C$100,MATCH(C722,Itens!$A$2:$A$100,0)),"")</f>
        <v>Conforto, limpeza e organização</v>
      </c>
      <c r="E722" s="0" t="str">
        <f aca="false">IFERROR(INDEX(Visitas!$C$2:$C$401,MATCH(A722,Visitas!$A$2:$A$401,0)),"")</f>
        <v>2026</v>
      </c>
      <c r="F722" s="0" t="str">
        <f aca="false">IFERROR(INDEX(Itens!$B$2:$B$100,MATCH(C722,Itens!$A$2:$A$100,0)),"")</f>
        <v>I</v>
      </c>
      <c r="G722" s="13" t="n">
        <v>2</v>
      </c>
      <c r="H722" s="13" t="n">
        <v>0</v>
      </c>
    </row>
    <row r="723" customFormat="false" ht="15" hidden="false" customHeight="false" outlineLevel="0" collapsed="false">
      <c r="A723" s="13" t="n">
        <v>52</v>
      </c>
      <c r="B723" s="0" t="str">
        <f aca="false">IFERROR(INDEX(Visitas!$B$2:$B$401,MATCH(A723,Visitas!$A$2:$A$401,0)),"")</f>
        <v>CEO - Centro de Especialidades Odontológicas</v>
      </c>
      <c r="C723" s="13" t="s">
        <v>88</v>
      </c>
      <c r="D723" s="0" t="str">
        <f aca="false">IFERROR(INDEX(Itens!$C$2:$C$100,MATCH(C723,Itens!$A$2:$A$100,0)),"")</f>
        <v>Utilização de indicadores de gestão</v>
      </c>
      <c r="E723" s="0" t="str">
        <f aca="false">IFERROR(INDEX(Visitas!$C$2:$C$401,MATCH(A723,Visitas!$A$2:$A$401,0)),"")</f>
        <v>2026</v>
      </c>
      <c r="F723" s="0" t="str">
        <f aca="false">IFERROR(INDEX(Itens!$B$2:$B$100,MATCH(C723,Itens!$A$2:$A$100,0)),"")</f>
        <v>II</v>
      </c>
      <c r="G723" s="13" t="n">
        <v>2</v>
      </c>
      <c r="H723" s="13" t="n">
        <v>0</v>
      </c>
    </row>
    <row r="724" customFormat="false" ht="15" hidden="false" customHeight="false" outlineLevel="0" collapsed="false">
      <c r="A724" s="13" t="n">
        <v>52</v>
      </c>
      <c r="B724" s="0" t="str">
        <f aca="false">IFERROR(INDEX(Visitas!$B$2:$B$401,MATCH(A724,Visitas!$A$2:$A$401,0)),"")</f>
        <v>CEO - Centro de Especialidades Odontológicas</v>
      </c>
      <c r="C724" s="13" t="s">
        <v>92</v>
      </c>
      <c r="D724" s="0" t="str">
        <f aca="false">IFERROR(INDEX(Itens!$C$2:$C$100,MATCH(C724,Itens!$A$2:$A$100,0)),"")</f>
        <v>Dimensionamento de equipe</v>
      </c>
      <c r="E724" s="0" t="str">
        <f aca="false">IFERROR(INDEX(Visitas!$C$2:$C$401,MATCH(A724,Visitas!$A$2:$A$401,0)),"")</f>
        <v>2026</v>
      </c>
      <c r="F724" s="0" t="str">
        <f aca="false">IFERROR(INDEX(Itens!$B$2:$B$100,MATCH(C724,Itens!$A$2:$A$100,0)),"")</f>
        <v>II</v>
      </c>
      <c r="G724" s="13" t="n">
        <v>2</v>
      </c>
      <c r="H724" s="13" t="n">
        <v>0</v>
      </c>
    </row>
    <row r="725" customFormat="false" ht="15" hidden="false" customHeight="false" outlineLevel="0" collapsed="false">
      <c r="A725" s="13" t="n">
        <v>52</v>
      </c>
      <c r="B725" s="0" t="str">
        <f aca="false">IFERROR(INDEX(Visitas!$B$2:$B$401,MATCH(A725,Visitas!$A$2:$A$401,0)),"")</f>
        <v>CEO - Centro de Especialidades Odontológicas</v>
      </c>
      <c r="C725" s="13" t="s">
        <v>96</v>
      </c>
      <c r="D725" s="0" t="str">
        <f aca="false">IFERROR(INDEX(Itens!$C$2:$C$100,MATCH(C725,Itens!$A$2:$A$100,0)),"")</f>
        <v>Execução do cronograma de capacitação da equipe de trabalho</v>
      </c>
      <c r="E725" s="0" t="str">
        <f aca="false">IFERROR(INDEX(Visitas!$C$2:$C$401,MATCH(A725,Visitas!$A$2:$A$401,0)),"")</f>
        <v>2026</v>
      </c>
      <c r="F725" s="0" t="str">
        <f aca="false">IFERROR(INDEX(Itens!$B$2:$B$100,MATCH(C725,Itens!$A$2:$A$100,0)),"")</f>
        <v>II</v>
      </c>
      <c r="G725" s="13" t="n">
        <v>2</v>
      </c>
      <c r="H725" s="13" t="n">
        <v>0</v>
      </c>
    </row>
    <row r="726" customFormat="false" ht="15" hidden="false" customHeight="false" outlineLevel="0" collapsed="false">
      <c r="A726" s="13" t="n">
        <v>52</v>
      </c>
      <c r="B726" s="0" t="str">
        <f aca="false">IFERROR(INDEX(Visitas!$B$2:$B$401,MATCH(A726,Visitas!$A$2:$A$401,0)),"")</f>
        <v>CEO - Centro de Especialidades Odontológicas</v>
      </c>
      <c r="C726" s="13" t="s">
        <v>100</v>
      </c>
      <c r="D726" s="0" t="str">
        <f aca="false">IFERROR(INDEX(Itens!$C$2:$C$100,MATCH(C726,Itens!$A$2:$A$100,0)),"")</f>
        <v>Disponibilidade de agendamento de consultas, exames e procedimentos</v>
      </c>
      <c r="E726" s="0" t="str">
        <f aca="false">IFERROR(INDEX(Visitas!$C$2:$C$401,MATCH(A726,Visitas!$A$2:$A$401,0)),"")</f>
        <v>2026</v>
      </c>
      <c r="F726" s="0" t="str">
        <f aca="false">IFERROR(INDEX(Itens!$B$2:$B$100,MATCH(C726,Itens!$A$2:$A$100,0)),"")</f>
        <v>II</v>
      </c>
      <c r="G726" s="13" t="n">
        <v>2</v>
      </c>
      <c r="H726" s="13" t="n">
        <v>0</v>
      </c>
    </row>
    <row r="727" customFormat="false" ht="15" hidden="false" customHeight="false" outlineLevel="0" collapsed="false">
      <c r="A727" s="13" t="n">
        <v>52</v>
      </c>
      <c r="B727" s="0" t="str">
        <f aca="false">IFERROR(INDEX(Visitas!$B$2:$B$401,MATCH(A727,Visitas!$A$2:$A$401,0)),"")</f>
        <v>CEO - Centro de Especialidades Odontológicas</v>
      </c>
      <c r="C727" s="13" t="s">
        <v>104</v>
      </c>
      <c r="D727" s="0" t="str">
        <f aca="false">IFERROR(INDEX(Itens!$C$2:$C$100,MATCH(C727,Itens!$A$2:$A$100,0)),"")</f>
        <v>Atendimento aos indicadores do PMS</v>
      </c>
      <c r="E727" s="0" t="str">
        <f aca="false">IFERROR(INDEX(Visitas!$C$2:$C$401,MATCH(A727,Visitas!$A$2:$A$401,0)),"")</f>
        <v>2026</v>
      </c>
      <c r="F727" s="0" t="str">
        <f aca="false">IFERROR(INDEX(Itens!$B$2:$B$100,MATCH(C727,Itens!$A$2:$A$100,0)),"")</f>
        <v>III</v>
      </c>
      <c r="G727" s="13" t="n">
        <v>1</v>
      </c>
      <c r="H727" s="13" t="n">
        <v>0</v>
      </c>
    </row>
    <row r="728" customFormat="false" ht="15" hidden="false" customHeight="false" outlineLevel="0" collapsed="false">
      <c r="A728" s="13" t="n">
        <v>52</v>
      </c>
      <c r="B728" s="0" t="str">
        <f aca="false">IFERROR(INDEX(Visitas!$B$2:$B$401,MATCH(A728,Visitas!$A$2:$A$401,0)),"")</f>
        <v>CEO - Centro de Especialidades Odontológicas</v>
      </c>
      <c r="C728" s="13" t="s">
        <v>109</v>
      </c>
      <c r="D728" s="0" t="str">
        <f aca="false">IFERROR(INDEX(Itens!$C$2:$C$100,MATCH(C728,Itens!$A$2:$A$100,0)),"")</f>
        <v>Registro de reclamações na Ouvidoria do COMSAUDE</v>
      </c>
      <c r="E728" s="0" t="str">
        <f aca="false">IFERROR(INDEX(Visitas!$C$2:$C$401,MATCH(A728,Visitas!$A$2:$A$401,0)),"")</f>
        <v>2026</v>
      </c>
      <c r="F728" s="0" t="str">
        <f aca="false">IFERROR(INDEX(Itens!$B$2:$B$100,MATCH(C728,Itens!$A$2:$A$100,0)),"")</f>
        <v>IV</v>
      </c>
      <c r="G728" s="13" t="n">
        <v>2</v>
      </c>
      <c r="H728" s="13" t="n">
        <v>0</v>
      </c>
    </row>
    <row r="729" customFormat="false" ht="15" hidden="false" customHeight="false" outlineLevel="0" collapsed="false">
      <c r="A729" s="13" t="n">
        <v>52</v>
      </c>
      <c r="B729" s="0" t="str">
        <f aca="false">IFERROR(INDEX(Visitas!$B$2:$B$401,MATCH(A729,Visitas!$A$2:$A$401,0)),"")</f>
        <v>CEO - Centro de Especialidades Odontológicas</v>
      </c>
      <c r="C729" s="13" t="s">
        <v>113</v>
      </c>
      <c r="D729" s="0" t="str">
        <f aca="false">IFERROR(INDEX(Itens!$C$2:$C$100,MATCH(C729,Itens!$A$2:$A$100,0)),"")</f>
        <v>Satisfação dos usuários</v>
      </c>
      <c r="E729" s="0" t="str">
        <f aca="false">IFERROR(INDEX(Visitas!$C$2:$C$401,MATCH(A729,Visitas!$A$2:$A$401,0)),"")</f>
        <v>2026</v>
      </c>
      <c r="F729" s="0" t="str">
        <f aca="false">IFERROR(INDEX(Itens!$B$2:$B$100,MATCH(C729,Itens!$A$2:$A$100,0)),"")</f>
        <v>IV</v>
      </c>
      <c r="G729" s="13" t="n">
        <v>2</v>
      </c>
      <c r="H729" s="13" t="n">
        <v>0</v>
      </c>
    </row>
  </sheetData>
  <autoFilter ref="A1:H729"/>
  <dataValidations count="1">
    <dataValidation allowBlank="true" errorStyle="stop" operator="between" showDropDown="false" showErrorMessage="false" showInputMessage="false" sqref="G2:G1729" type="whole">
      <formula1>0</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1"/>
    <col collapsed="false" customWidth="true" hidden="false" outlineLevel="0" max="4" min="4" style="0" width="40"/>
    <col collapsed="false" customWidth="true" hidden="false" outlineLevel="0" max="5" min="5" style="0" width="11"/>
    <col collapsed="false" customWidth="true" hidden="false" outlineLevel="0" max="13" min="6" style="0" width="8"/>
    <col collapsed="false" customWidth="true" hidden="false" outlineLevel="0" max="17" min="14" style="0" width="11"/>
    <col collapsed="false" customWidth="true" hidden="false" outlineLevel="0" max="18" min="18" style="0" width="10"/>
    <col collapsed="false" customWidth="true" hidden="false" outlineLevel="0" max="19" min="19" style="0" width="13"/>
    <col collapsed="false" customWidth="true" hidden="false" outlineLevel="0" max="20" min="20" style="0" width="15"/>
    <col collapsed="false" customWidth="true" hidden="false" outlineLevel="0" max="21" min="21" style="0" width="9"/>
  </cols>
  <sheetData>
    <row r="1" customFormat="false" ht="55.2" hidden="false" customHeight="false" outlineLevel="0" collapsed="false">
      <c r="A1" s="8" t="s">
        <v>299</v>
      </c>
      <c r="B1" s="8" t="s">
        <v>223</v>
      </c>
      <c r="C1" s="8" t="s">
        <v>305</v>
      </c>
      <c r="D1" s="8" t="s">
        <v>24</v>
      </c>
      <c r="E1" s="8" t="s">
        <v>129</v>
      </c>
      <c r="F1" s="8" t="s">
        <v>306</v>
      </c>
      <c r="G1" s="8" t="s">
        <v>307</v>
      </c>
      <c r="H1" s="8" t="s">
        <v>308</v>
      </c>
      <c r="I1" s="8" t="s">
        <v>309</v>
      </c>
      <c r="J1" s="8" t="s">
        <v>310</v>
      </c>
      <c r="K1" s="8" t="s">
        <v>311</v>
      </c>
      <c r="L1" s="8" t="s">
        <v>312</v>
      </c>
      <c r="M1" s="8" t="s">
        <v>313</v>
      </c>
      <c r="N1" s="8" t="s">
        <v>34</v>
      </c>
      <c r="O1" s="8" t="s">
        <v>35</v>
      </c>
      <c r="P1" s="8" t="s">
        <v>36</v>
      </c>
      <c r="Q1" s="8" t="s">
        <v>37</v>
      </c>
      <c r="R1" s="8" t="s">
        <v>314</v>
      </c>
      <c r="S1" s="8" t="s">
        <v>315</v>
      </c>
      <c r="T1" s="8" t="s">
        <v>316</v>
      </c>
      <c r="U1" s="8" t="s">
        <v>317</v>
      </c>
    </row>
    <row r="2" customFormat="false" ht="15" hidden="false" customHeight="false" outlineLevel="0" collapsed="false">
      <c r="A2" s="0" t="n">
        <f aca="false">IF(Visitas!A2="","",Visitas!A2)</f>
        <v>1</v>
      </c>
      <c r="B2" s="0" t="str">
        <f aca="false">IF($A2="","",Visitas!C2)</f>
        <v>2023</v>
      </c>
      <c r="C2" s="7" t="n">
        <f aca="false">IF($A2="","",Visitas!D2)</f>
        <v>45251</v>
      </c>
      <c r="D2" s="0" t="str">
        <f aca="false">IF($A2="","",Visitas!B2)</f>
        <v>UBS Jardim Boer</v>
      </c>
      <c r="E2" s="0" t="str">
        <f aca="false">IF($A2="","",Visitas!F2)</f>
        <v>concluida</v>
      </c>
      <c r="F2" s="6" t="n">
        <f aca="false">IF($A2="","",SUMIFS(Avaliacoes!$G$2:$G$6000,Avaliacoes!$A$2:$A$6000,$A2,Avaliacoes!$F$2:$F$6000,"I",Avaliacoes!$H$2:$H$6000,0))</f>
        <v>9</v>
      </c>
      <c r="G2" s="6" t="n">
        <f aca="false">IF($A2="","",SUMIFS(Avaliacoes!$G$2:$G$6000,Avaliacoes!$A$2:$A$6000,$A2,Avaliacoes!$F$2:$F$6000,"II",Avaliacoes!$H$2:$H$6000,0))</f>
        <v>6</v>
      </c>
      <c r="H2" s="6" t="n">
        <f aca="false">IF($A2="","",SUMIFS(Avaliacoes!$G$2:$G$6000,Avaliacoes!$A$2:$A$6000,$A2,Avaliacoes!$F$2:$F$6000,"III",Avaliacoes!$H$2:$H$6000,0))</f>
        <v>1</v>
      </c>
      <c r="I2" s="6" t="n">
        <f aca="false">IF($A2="","",SUMIFS(Avaliacoes!$G$2:$G$6000,Avaliacoes!$A$2:$A$6000,$A2,Avaliacoes!$F$2:$F$6000,"IV",Avaliacoes!$H$2:$H$6000,0))</f>
        <v>4</v>
      </c>
      <c r="J2" s="6" t="n">
        <f aca="false">IF($A2="","",COUNTIFS(Avaliacoes!$A$2:$A$6000,$A2,Avaliacoes!$F$2:$F$6000,"I",Avaliacoes!$H$2:$H$6000,0,Avaliacoes!$G$2:$G$6000,"&lt;&gt;")*Dimensoes!$E$2)</f>
        <v>14</v>
      </c>
      <c r="K2" s="6" t="n">
        <f aca="false">IF($A2="","",COUNTIFS(Avaliacoes!$A$2:$A$6000,$A2,Avaliacoes!$F$2:$F$6000,"II",Avaliacoes!$H$2:$H$6000,0,Avaliacoes!$G$2:$G$6000,"&lt;&gt;")*Dimensoes!$E$3)</f>
        <v>8</v>
      </c>
      <c r="L2" s="6" t="n">
        <f aca="false">IF($A2="","",COUNTIFS(Avaliacoes!$A$2:$A$6000,$A2,Avaliacoes!$F$2:$F$6000,"III",Avaliacoes!$H$2:$H$6000,0,Avaliacoes!$G$2:$G$6000,"&lt;&gt;")*Dimensoes!$E$4)</f>
        <v>2</v>
      </c>
      <c r="M2" s="6" t="n">
        <f aca="false">IF($A2="","",COUNTIFS(Avaliacoes!$A$2:$A$6000,$A2,Avaliacoes!$F$2:$F$6000,"IV",Avaliacoes!$H$2:$H$6000,0,Avaliacoes!$G$2:$G$6000,"&lt;&gt;")*Dimensoes!$E$5)</f>
        <v>4</v>
      </c>
      <c r="N2" s="9" t="n">
        <f aca="false">IF($A2="","",IF(J2&gt;0,F2/J2,""))</f>
        <v>0.642857142857143</v>
      </c>
      <c r="O2" s="9" t="n">
        <f aca="false">IF($A2="","",IF(K2&gt;0,G2/K2,""))</f>
        <v>0.75</v>
      </c>
      <c r="P2" s="9" t="n">
        <f aca="false">IF($A2="","",IF(L2&gt;0,H2/L2,""))</f>
        <v>0.5</v>
      </c>
      <c r="Q2" s="9" t="n">
        <f aca="false">IF($A2="","",IF(M2&gt;0,I2/M2,""))</f>
        <v>1</v>
      </c>
      <c r="R2" s="17" t="n">
        <f aca="false">IF($A2="","",IF((IF(N2="",0,Dimensoes!$C$2)+IF(O2="",0,Dimensoes!$C$3)+IF(P2="",0,Dimensoes!$C$4)+IF(Q2="",0,Dimensoes!$C$5))=0,"",(IF(N2="",0,N2*Dimensoes!$C$2)+IF(O2="",0,O2*Dimensoes!$C$3)+IF(P2="",0,P2*Dimensoes!$C$4)+IF(Q2="",0,Q2*Dimensoes!$C$5))/(IF(N2="",0,Dimensoes!$C$2)+IF(O2="",0,Dimensoes!$C$3)+IF(P2="",0,Dimensoes!$C$4)+IF(Q2="",0,Dimensoes!$C$5))))</f>
        <v>0.723214285714286</v>
      </c>
      <c r="S2" s="0" t="str">
        <f aca="false">IF(R2="","",IF(R2&lt;Faixas!$C$3,"vermelho",IF(R2&lt;Faixas!$C$4,"amarelo","verde")))</f>
        <v>amarelo</v>
      </c>
      <c r="T2" s="9" t="n">
        <f aca="false">IF($A2="","",IF(N2="",0,N2*Dimensoes!$C$2)+IF(O2="",0,O2*Dimensoes!$C$3)+IF(P2="",0,P2*Dimensoes!$C$4)+IF(Q2="",0,Q2*Dimensoes!$C$5))</f>
        <v>0.723214285714286</v>
      </c>
      <c r="U2" s="6" t="n">
        <f aca="false">IF($A2="","",IF(OR(E2="concluida",E2="incompleta"),1,0))</f>
        <v>1</v>
      </c>
    </row>
    <row r="3" customFormat="false" ht="15" hidden="false" customHeight="false" outlineLevel="0" collapsed="false">
      <c r="A3" s="0" t="n">
        <f aca="false">IF(Visitas!A3="","",Visitas!A3)</f>
        <v>2</v>
      </c>
      <c r="B3" s="0" t="str">
        <f aca="false">IF($A3="","",Visitas!C3)</f>
        <v>2023</v>
      </c>
      <c r="C3" s="7" t="n">
        <f aca="false">IF($A3="","",Visitas!D3)</f>
        <v>45271</v>
      </c>
      <c r="D3" s="0" t="str">
        <f aca="false">IF($A3="","",Visitas!B3)</f>
        <v>UBS Jardim Ipiranga</v>
      </c>
      <c r="E3" s="0" t="str">
        <f aca="false">IF($A3="","",Visitas!F3)</f>
        <v>concluida</v>
      </c>
      <c r="F3" s="6" t="n">
        <f aca="false">IF($A3="","",SUMIFS(Avaliacoes!$G$2:$G$6000,Avaliacoes!$A$2:$A$6000,$A3,Avaliacoes!$F$2:$F$6000,"I",Avaliacoes!$H$2:$H$6000,0))</f>
        <v>8</v>
      </c>
      <c r="G3" s="6" t="n">
        <f aca="false">IF($A3="","",SUMIFS(Avaliacoes!$G$2:$G$6000,Avaliacoes!$A$2:$A$6000,$A3,Avaliacoes!$F$2:$F$6000,"II",Avaliacoes!$H$2:$H$6000,0))</f>
        <v>5</v>
      </c>
      <c r="H3" s="6" t="n">
        <f aca="false">IF($A3="","",SUMIFS(Avaliacoes!$G$2:$G$6000,Avaliacoes!$A$2:$A$6000,$A3,Avaliacoes!$F$2:$F$6000,"III",Avaliacoes!$H$2:$H$6000,0))</f>
        <v>1</v>
      </c>
      <c r="I3" s="6" t="n">
        <f aca="false">IF($A3="","",SUMIFS(Avaliacoes!$G$2:$G$6000,Avaliacoes!$A$2:$A$6000,$A3,Avaliacoes!$F$2:$F$6000,"IV",Avaliacoes!$H$2:$H$6000,0))</f>
        <v>3</v>
      </c>
      <c r="J3" s="6" t="n">
        <f aca="false">IF($A3="","",COUNTIFS(Avaliacoes!$A$2:$A$6000,$A3,Avaliacoes!$F$2:$F$6000,"I",Avaliacoes!$H$2:$H$6000,0,Avaliacoes!$G$2:$G$6000,"&lt;&gt;")*Dimensoes!$E$2)</f>
        <v>14</v>
      </c>
      <c r="K3" s="6" t="n">
        <f aca="false">IF($A3="","",COUNTIFS(Avaliacoes!$A$2:$A$6000,$A3,Avaliacoes!$F$2:$F$6000,"II",Avaliacoes!$H$2:$H$6000,0,Avaliacoes!$G$2:$G$6000,"&lt;&gt;")*Dimensoes!$E$3)</f>
        <v>8</v>
      </c>
      <c r="L3" s="6" t="n">
        <f aca="false">IF($A3="","",COUNTIFS(Avaliacoes!$A$2:$A$6000,$A3,Avaliacoes!$F$2:$F$6000,"III",Avaliacoes!$H$2:$H$6000,0,Avaliacoes!$G$2:$G$6000,"&lt;&gt;")*Dimensoes!$E$4)</f>
        <v>2</v>
      </c>
      <c r="M3" s="6" t="n">
        <f aca="false">IF($A3="","",COUNTIFS(Avaliacoes!$A$2:$A$6000,$A3,Avaliacoes!$F$2:$F$6000,"IV",Avaliacoes!$H$2:$H$6000,0,Avaliacoes!$G$2:$G$6000,"&lt;&gt;")*Dimensoes!$E$5)</f>
        <v>4</v>
      </c>
      <c r="N3" s="9" t="n">
        <f aca="false">IF($A3="","",IF(J3&gt;0,F3/J3,""))</f>
        <v>0.571428571428571</v>
      </c>
      <c r="O3" s="9" t="n">
        <f aca="false">IF($A3="","",IF(K3&gt;0,G3/K3,""))</f>
        <v>0.625</v>
      </c>
      <c r="P3" s="9" t="n">
        <f aca="false">IF($A3="","",IF(L3&gt;0,H3/L3,""))</f>
        <v>0.5</v>
      </c>
      <c r="Q3" s="9" t="n">
        <f aca="false">IF($A3="","",IF(M3&gt;0,I3/M3,""))</f>
        <v>0.75</v>
      </c>
      <c r="R3" s="17" t="n">
        <f aca="false">IF($A3="","",IF((IF(N3="",0,Dimensoes!$C$2)+IF(O3="",0,Dimensoes!$C$3)+IF(P3="",0,Dimensoes!$C$4)+IF(Q3="",0,Dimensoes!$C$5))=0,"",(IF(N3="",0,N3*Dimensoes!$C$2)+IF(O3="",0,O3*Dimensoes!$C$3)+IF(P3="",0,P3*Dimensoes!$C$4)+IF(Q3="",0,Q3*Dimensoes!$C$5))/(IF(N3="",0,Dimensoes!$C$2)+IF(O3="",0,Dimensoes!$C$3)+IF(P3="",0,Dimensoes!$C$4)+IF(Q3="",0,Dimensoes!$C$5))))</f>
        <v>0.611607142857143</v>
      </c>
      <c r="S3" s="0" t="str">
        <f aca="false">IF(R3="","",IF(R3&lt;Faixas!$C$3,"vermelho",IF(R3&lt;Faixas!$C$4,"amarelo","verde")))</f>
        <v>amarelo</v>
      </c>
      <c r="T3" s="9" t="n">
        <f aca="false">IF($A3="","",IF(N3="",0,N3*Dimensoes!$C$2)+IF(O3="",0,O3*Dimensoes!$C$3)+IF(P3="",0,P3*Dimensoes!$C$4)+IF(Q3="",0,Q3*Dimensoes!$C$5))</f>
        <v>0.611607142857143</v>
      </c>
      <c r="U3" s="6" t="n">
        <f aca="false">IF($A3="","",IF(OR(E3="concluida",E3="incompleta"),1,0))</f>
        <v>1</v>
      </c>
    </row>
    <row r="4" customFormat="false" ht="15" hidden="false" customHeight="false" outlineLevel="0" collapsed="false">
      <c r="A4" s="0" t="n">
        <f aca="false">IF(Visitas!A4="","",Visitas!A4)</f>
        <v>3</v>
      </c>
      <c r="B4" s="0" t="str">
        <f aca="false">IF($A4="","",Visitas!C4)</f>
        <v>2023</v>
      </c>
      <c r="C4" s="7" t="n">
        <f aca="false">IF($A4="","",Visitas!D4)</f>
        <v>45231</v>
      </c>
      <c r="D4" s="0" t="str">
        <f aca="false">IF($A4="","",Visitas!B4)</f>
        <v>UBS Jardim São Paulo</v>
      </c>
      <c r="E4" s="0" t="str">
        <f aca="false">IF($A4="","",Visitas!F4)</f>
        <v>concluida</v>
      </c>
      <c r="F4" s="6" t="n">
        <f aca="false">IF($A4="","",SUMIFS(Avaliacoes!$G$2:$G$6000,Avaliacoes!$A$2:$A$6000,$A4,Avaliacoes!$F$2:$F$6000,"I",Avaliacoes!$H$2:$H$6000,0))</f>
        <v>13</v>
      </c>
      <c r="G4" s="6" t="n">
        <f aca="false">IF($A4="","",SUMIFS(Avaliacoes!$G$2:$G$6000,Avaliacoes!$A$2:$A$6000,$A4,Avaliacoes!$F$2:$F$6000,"II",Avaliacoes!$H$2:$H$6000,0))</f>
        <v>4</v>
      </c>
      <c r="H4" s="6" t="n">
        <f aca="false">IF($A4="","",SUMIFS(Avaliacoes!$G$2:$G$6000,Avaliacoes!$A$2:$A$6000,$A4,Avaliacoes!$F$2:$F$6000,"III",Avaliacoes!$H$2:$H$6000,0))</f>
        <v>2</v>
      </c>
      <c r="I4" s="6" t="n">
        <f aca="false">IF($A4="","",SUMIFS(Avaliacoes!$G$2:$G$6000,Avaliacoes!$A$2:$A$6000,$A4,Avaliacoes!$F$2:$F$6000,"IV",Avaliacoes!$H$2:$H$6000,0))</f>
        <v>4</v>
      </c>
      <c r="J4" s="6" t="n">
        <f aca="false">IF($A4="","",COUNTIFS(Avaliacoes!$A$2:$A$6000,$A4,Avaliacoes!$F$2:$F$6000,"I",Avaliacoes!$H$2:$H$6000,0,Avaliacoes!$G$2:$G$6000,"&lt;&gt;")*Dimensoes!$E$2)</f>
        <v>14</v>
      </c>
      <c r="K4" s="6" t="n">
        <f aca="false">IF($A4="","",COUNTIFS(Avaliacoes!$A$2:$A$6000,$A4,Avaliacoes!$F$2:$F$6000,"II",Avaliacoes!$H$2:$H$6000,0,Avaliacoes!$G$2:$G$6000,"&lt;&gt;")*Dimensoes!$E$3)</f>
        <v>8</v>
      </c>
      <c r="L4" s="6" t="n">
        <f aca="false">IF($A4="","",COUNTIFS(Avaliacoes!$A$2:$A$6000,$A4,Avaliacoes!$F$2:$F$6000,"III",Avaliacoes!$H$2:$H$6000,0,Avaliacoes!$G$2:$G$6000,"&lt;&gt;")*Dimensoes!$E$4)</f>
        <v>2</v>
      </c>
      <c r="M4" s="6" t="n">
        <f aca="false">IF($A4="","",COUNTIFS(Avaliacoes!$A$2:$A$6000,$A4,Avaliacoes!$F$2:$F$6000,"IV",Avaliacoes!$H$2:$H$6000,0,Avaliacoes!$G$2:$G$6000,"&lt;&gt;")*Dimensoes!$E$5)</f>
        <v>4</v>
      </c>
      <c r="N4" s="9" t="n">
        <f aca="false">IF($A4="","",IF(J4&gt;0,F4/J4,""))</f>
        <v>0.928571428571429</v>
      </c>
      <c r="O4" s="9" t="n">
        <f aca="false">IF($A4="","",IF(K4&gt;0,G4/K4,""))</f>
        <v>0.5</v>
      </c>
      <c r="P4" s="9" t="n">
        <f aca="false">IF($A4="","",IF(L4&gt;0,H4/L4,""))</f>
        <v>1</v>
      </c>
      <c r="Q4" s="9" t="n">
        <f aca="false">IF($A4="","",IF(M4&gt;0,I4/M4,""))</f>
        <v>1</v>
      </c>
      <c r="R4" s="17" t="n">
        <f aca="false">IF($A4="","",IF((IF(N4="",0,Dimensoes!$C$2)+IF(O4="",0,Dimensoes!$C$3)+IF(P4="",0,Dimensoes!$C$4)+IF(Q4="",0,Dimensoes!$C$5))=0,"",(IF(N4="",0,N4*Dimensoes!$C$2)+IF(O4="",0,O4*Dimensoes!$C$3)+IF(P4="",0,P4*Dimensoes!$C$4)+IF(Q4="",0,Q4*Dimensoes!$C$5))/(IF(N4="",0,Dimensoes!$C$2)+IF(O4="",0,Dimensoes!$C$3)+IF(P4="",0,Dimensoes!$C$4)+IF(Q4="",0,Dimensoes!$C$5))))</f>
        <v>0.857142857142857</v>
      </c>
      <c r="S4" s="0" t="str">
        <f aca="false">IF(R4="","",IF(R4&lt;Faixas!$C$3,"vermelho",IF(R4&lt;Faixas!$C$4,"amarelo","verde")))</f>
        <v>verde</v>
      </c>
      <c r="T4" s="9" t="n">
        <f aca="false">IF($A4="","",IF(N4="",0,N4*Dimensoes!$C$2)+IF(O4="",0,O4*Dimensoes!$C$3)+IF(P4="",0,P4*Dimensoes!$C$4)+IF(Q4="",0,Q4*Dimensoes!$C$5))</f>
        <v>0.857142857142857</v>
      </c>
      <c r="U4" s="6" t="n">
        <f aca="false">IF($A4="","",IF(OR(E4="concluida",E4="incompleta"),1,0))</f>
        <v>1</v>
      </c>
    </row>
    <row r="5" customFormat="false" ht="15" hidden="false" customHeight="false" outlineLevel="0" collapsed="false">
      <c r="A5" s="0" t="n">
        <f aca="false">IF(Visitas!A5="","",Visitas!A5)</f>
        <v>4</v>
      </c>
      <c r="B5" s="0" t="str">
        <f aca="false">IF($A5="","",Visitas!C5)</f>
        <v>2023</v>
      </c>
      <c r="C5" s="7" t="n">
        <f aca="false">IF($A5="","",Visitas!D5)</f>
        <v>45229</v>
      </c>
      <c r="D5" s="0" t="str">
        <f aca="false">IF($A5="","",Visitas!B5)</f>
        <v>UBS Dona Rosa</v>
      </c>
      <c r="E5" s="0" t="str">
        <f aca="false">IF($A5="","",Visitas!F5)</f>
        <v>concluida</v>
      </c>
      <c r="F5" s="6" t="n">
        <f aca="false">IF($A5="","",SUMIFS(Avaliacoes!$G$2:$G$6000,Avaliacoes!$A$2:$A$6000,$A5,Avaliacoes!$F$2:$F$6000,"I",Avaliacoes!$H$2:$H$6000,0))</f>
        <v>12</v>
      </c>
      <c r="G5" s="6" t="n">
        <f aca="false">IF($A5="","",SUMIFS(Avaliacoes!$G$2:$G$6000,Avaliacoes!$A$2:$A$6000,$A5,Avaliacoes!$F$2:$F$6000,"II",Avaliacoes!$H$2:$H$6000,0))</f>
        <v>4</v>
      </c>
      <c r="H5" s="6" t="n">
        <f aca="false">IF($A5="","",SUMIFS(Avaliacoes!$G$2:$G$6000,Avaliacoes!$A$2:$A$6000,$A5,Avaliacoes!$F$2:$F$6000,"III",Avaliacoes!$H$2:$H$6000,0))</f>
        <v>1</v>
      </c>
      <c r="I5" s="6" t="n">
        <f aca="false">IF($A5="","",SUMIFS(Avaliacoes!$G$2:$G$6000,Avaliacoes!$A$2:$A$6000,$A5,Avaliacoes!$F$2:$F$6000,"IV",Avaliacoes!$H$2:$H$6000,0))</f>
        <v>4</v>
      </c>
      <c r="J5" s="6" t="n">
        <f aca="false">IF($A5="","",COUNTIFS(Avaliacoes!$A$2:$A$6000,$A5,Avaliacoes!$F$2:$F$6000,"I",Avaliacoes!$H$2:$H$6000,0,Avaliacoes!$G$2:$G$6000,"&lt;&gt;")*Dimensoes!$E$2)</f>
        <v>14</v>
      </c>
      <c r="K5" s="6" t="n">
        <f aca="false">IF($A5="","",COUNTIFS(Avaliacoes!$A$2:$A$6000,$A5,Avaliacoes!$F$2:$F$6000,"II",Avaliacoes!$H$2:$H$6000,0,Avaliacoes!$G$2:$G$6000,"&lt;&gt;")*Dimensoes!$E$3)</f>
        <v>8</v>
      </c>
      <c r="L5" s="6" t="n">
        <f aca="false">IF($A5="","",COUNTIFS(Avaliacoes!$A$2:$A$6000,$A5,Avaliacoes!$F$2:$F$6000,"III",Avaliacoes!$H$2:$H$6000,0,Avaliacoes!$G$2:$G$6000,"&lt;&gt;")*Dimensoes!$E$4)</f>
        <v>2</v>
      </c>
      <c r="M5" s="6" t="n">
        <f aca="false">IF($A5="","",COUNTIFS(Avaliacoes!$A$2:$A$6000,$A5,Avaliacoes!$F$2:$F$6000,"IV",Avaliacoes!$H$2:$H$6000,0,Avaliacoes!$G$2:$G$6000,"&lt;&gt;")*Dimensoes!$E$5)</f>
        <v>4</v>
      </c>
      <c r="N5" s="9" t="n">
        <f aca="false">IF($A5="","",IF(J5&gt;0,F5/J5,""))</f>
        <v>0.857142857142857</v>
      </c>
      <c r="O5" s="9" t="n">
        <f aca="false">IF($A5="","",IF(K5&gt;0,G5/K5,""))</f>
        <v>0.5</v>
      </c>
      <c r="P5" s="9" t="n">
        <f aca="false">IF($A5="","",IF(L5&gt;0,H5/L5,""))</f>
        <v>0.5</v>
      </c>
      <c r="Q5" s="9" t="n">
        <f aca="false">IF($A5="","",IF(M5&gt;0,I5/M5,""))</f>
        <v>1</v>
      </c>
      <c r="R5" s="17" t="n">
        <f aca="false">IF($A5="","",IF((IF(N5="",0,Dimensoes!$C$2)+IF(O5="",0,Dimensoes!$C$3)+IF(P5="",0,Dimensoes!$C$4)+IF(Q5="",0,Dimensoes!$C$5))=0,"",(IF(N5="",0,N5*Dimensoes!$C$2)+IF(O5="",0,O5*Dimensoes!$C$3)+IF(P5="",0,P5*Dimensoes!$C$4)+IF(Q5="",0,Q5*Dimensoes!$C$5))/(IF(N5="",0,Dimensoes!$C$2)+IF(O5="",0,Dimensoes!$C$3)+IF(P5="",0,Dimensoes!$C$4)+IF(Q5="",0,Dimensoes!$C$5))))</f>
        <v>0.714285714285714</v>
      </c>
      <c r="S5" s="0" t="str">
        <f aca="false">IF(R5="","",IF(R5&lt;Faixas!$C$3,"vermelho",IF(R5&lt;Faixas!$C$4,"amarelo","verde")))</f>
        <v>amarelo</v>
      </c>
      <c r="T5" s="9" t="n">
        <f aca="false">IF($A5="","",IF(N5="",0,N5*Dimensoes!$C$2)+IF(O5="",0,O5*Dimensoes!$C$3)+IF(P5="",0,P5*Dimensoes!$C$4)+IF(Q5="",0,Q5*Dimensoes!$C$5))</f>
        <v>0.714285714285714</v>
      </c>
      <c r="U5" s="6" t="n">
        <f aca="false">IF($A5="","",IF(OR(E5="concluida",E5="incompleta"),1,0))</f>
        <v>1</v>
      </c>
    </row>
    <row r="6" customFormat="false" ht="15" hidden="false" customHeight="false" outlineLevel="0" collapsed="false">
      <c r="A6" s="0" t="n">
        <f aca="false">IF(Visitas!A6="","",Visitas!A6)</f>
        <v>5</v>
      </c>
      <c r="B6" s="0" t="str">
        <f aca="false">IF($A6="","",Visitas!C6)</f>
        <v>2023</v>
      </c>
      <c r="C6" s="7" t="n">
        <f aca="false">IF($A6="","",Visitas!D6)</f>
        <v>45166</v>
      </c>
      <c r="D6" s="0" t="str">
        <f aca="false">IF($A6="","",Visitas!B6)</f>
        <v>UBS Guanabara</v>
      </c>
      <c r="E6" s="0" t="str">
        <f aca="false">IF($A6="","",Visitas!F6)</f>
        <v>concluida</v>
      </c>
      <c r="F6" s="6" t="n">
        <f aca="false">IF($A6="","",SUMIFS(Avaliacoes!$G$2:$G$6000,Avaliacoes!$A$2:$A$6000,$A6,Avaliacoes!$F$2:$F$6000,"I",Avaliacoes!$H$2:$H$6000,0))</f>
        <v>13</v>
      </c>
      <c r="G6" s="6" t="n">
        <f aca="false">IF($A6="","",SUMIFS(Avaliacoes!$G$2:$G$6000,Avaliacoes!$A$2:$A$6000,$A6,Avaliacoes!$F$2:$F$6000,"II",Avaliacoes!$H$2:$H$6000,0))</f>
        <v>5</v>
      </c>
      <c r="H6" s="6" t="n">
        <f aca="false">IF($A6="","",SUMIFS(Avaliacoes!$G$2:$G$6000,Avaliacoes!$A$2:$A$6000,$A6,Avaliacoes!$F$2:$F$6000,"III",Avaliacoes!$H$2:$H$6000,0))</f>
        <v>1</v>
      </c>
      <c r="I6" s="6" t="n">
        <f aca="false">IF($A6="","",SUMIFS(Avaliacoes!$G$2:$G$6000,Avaliacoes!$A$2:$A$6000,$A6,Avaliacoes!$F$2:$F$6000,"IV",Avaliacoes!$H$2:$H$6000,0))</f>
        <v>4</v>
      </c>
      <c r="J6" s="6" t="n">
        <f aca="false">IF($A6="","",COUNTIFS(Avaliacoes!$A$2:$A$6000,$A6,Avaliacoes!$F$2:$F$6000,"I",Avaliacoes!$H$2:$H$6000,0,Avaliacoes!$G$2:$G$6000,"&lt;&gt;")*Dimensoes!$E$2)</f>
        <v>14</v>
      </c>
      <c r="K6" s="6" t="n">
        <f aca="false">IF($A6="","",COUNTIFS(Avaliacoes!$A$2:$A$6000,$A6,Avaliacoes!$F$2:$F$6000,"II",Avaliacoes!$H$2:$H$6000,0,Avaliacoes!$G$2:$G$6000,"&lt;&gt;")*Dimensoes!$E$3)</f>
        <v>8</v>
      </c>
      <c r="L6" s="6" t="n">
        <f aca="false">IF($A6="","",COUNTIFS(Avaliacoes!$A$2:$A$6000,$A6,Avaliacoes!$F$2:$F$6000,"III",Avaliacoes!$H$2:$H$6000,0,Avaliacoes!$G$2:$G$6000,"&lt;&gt;")*Dimensoes!$E$4)</f>
        <v>2</v>
      </c>
      <c r="M6" s="6" t="n">
        <f aca="false">IF($A6="","",COUNTIFS(Avaliacoes!$A$2:$A$6000,$A6,Avaliacoes!$F$2:$F$6000,"IV",Avaliacoes!$H$2:$H$6000,0,Avaliacoes!$G$2:$G$6000,"&lt;&gt;")*Dimensoes!$E$5)</f>
        <v>4</v>
      </c>
      <c r="N6" s="9" t="n">
        <f aca="false">IF($A6="","",IF(J6&gt;0,F6/J6,""))</f>
        <v>0.928571428571429</v>
      </c>
      <c r="O6" s="9" t="n">
        <f aca="false">IF($A6="","",IF(K6&gt;0,G6/K6,""))</f>
        <v>0.625</v>
      </c>
      <c r="P6" s="9" t="n">
        <f aca="false">IF($A6="","",IF(L6&gt;0,H6/L6,""))</f>
        <v>0.5</v>
      </c>
      <c r="Q6" s="9" t="n">
        <f aca="false">IF($A6="","",IF(M6&gt;0,I6/M6,""))</f>
        <v>1</v>
      </c>
      <c r="R6" s="17" t="n">
        <f aca="false">IF($A6="","",IF((IF(N6="",0,Dimensoes!$C$2)+IF(O6="",0,Dimensoes!$C$3)+IF(P6="",0,Dimensoes!$C$4)+IF(Q6="",0,Dimensoes!$C$5))=0,"",(IF(N6="",0,N6*Dimensoes!$C$2)+IF(O6="",0,O6*Dimensoes!$C$3)+IF(P6="",0,P6*Dimensoes!$C$4)+IF(Q6="",0,Q6*Dimensoes!$C$5))/(IF(N6="",0,Dimensoes!$C$2)+IF(O6="",0,Dimensoes!$C$3)+IF(P6="",0,Dimensoes!$C$4)+IF(Q6="",0,Dimensoes!$C$5))))</f>
        <v>0.763392857142857</v>
      </c>
      <c r="S6" s="0" t="str">
        <f aca="false">IF(R6="","",IF(R6&lt;Faixas!$C$3,"vermelho",IF(R6&lt;Faixas!$C$4,"amarelo","verde")))</f>
        <v>amarelo</v>
      </c>
      <c r="T6" s="9" t="n">
        <f aca="false">IF($A6="","",IF(N6="",0,N6*Dimensoes!$C$2)+IF(O6="",0,O6*Dimensoes!$C$3)+IF(P6="",0,P6*Dimensoes!$C$4)+IF(Q6="",0,Q6*Dimensoes!$C$5))</f>
        <v>0.763392857142857</v>
      </c>
      <c r="U6" s="6" t="n">
        <f aca="false">IF($A6="","",IF(OR(E6="concluida",E6="incompleta"),1,0))</f>
        <v>1</v>
      </c>
    </row>
    <row r="7" customFormat="false" ht="15" hidden="false" customHeight="false" outlineLevel="0" collapsed="false">
      <c r="A7" s="0" t="n">
        <f aca="false">IF(Visitas!A7="","",Visitas!A7)</f>
        <v>6</v>
      </c>
      <c r="B7" s="0" t="str">
        <f aca="false">IF($A7="","",Visitas!C7)</f>
        <v>2023</v>
      </c>
      <c r="C7" s="7" t="n">
        <f aca="false">IF($A7="","",Visitas!D7)</f>
        <v>45271</v>
      </c>
      <c r="D7" s="0" t="str">
        <f aca="false">IF($A7="","",Visitas!B7)</f>
        <v>UBS Mathiensen</v>
      </c>
      <c r="E7" s="0" t="str">
        <f aca="false">IF($A7="","",Visitas!F7)</f>
        <v>concluida</v>
      </c>
      <c r="F7" s="6" t="n">
        <f aca="false">IF($A7="","",SUMIFS(Avaliacoes!$G$2:$G$6000,Avaliacoes!$A$2:$A$6000,$A7,Avaliacoes!$F$2:$F$6000,"I",Avaliacoes!$H$2:$H$6000,0))</f>
        <v>6</v>
      </c>
      <c r="G7" s="6" t="n">
        <f aca="false">IF($A7="","",SUMIFS(Avaliacoes!$G$2:$G$6000,Avaliacoes!$A$2:$A$6000,$A7,Avaliacoes!$F$2:$F$6000,"II",Avaliacoes!$H$2:$H$6000,0))</f>
        <v>2</v>
      </c>
      <c r="H7" s="6" t="n">
        <f aca="false">IF($A7="","",SUMIFS(Avaliacoes!$G$2:$G$6000,Avaliacoes!$A$2:$A$6000,$A7,Avaliacoes!$F$2:$F$6000,"III",Avaliacoes!$H$2:$H$6000,0))</f>
        <v>1</v>
      </c>
      <c r="I7" s="6" t="n">
        <f aca="false">IF($A7="","",SUMIFS(Avaliacoes!$G$2:$G$6000,Avaliacoes!$A$2:$A$6000,$A7,Avaliacoes!$F$2:$F$6000,"IV",Avaliacoes!$H$2:$H$6000,0))</f>
        <v>1</v>
      </c>
      <c r="J7" s="6" t="n">
        <f aca="false">IF($A7="","",COUNTIFS(Avaliacoes!$A$2:$A$6000,$A7,Avaliacoes!$F$2:$F$6000,"I",Avaliacoes!$H$2:$H$6000,0,Avaliacoes!$G$2:$G$6000,"&lt;&gt;")*Dimensoes!$E$2)</f>
        <v>14</v>
      </c>
      <c r="K7" s="6" t="n">
        <f aca="false">IF($A7="","",COUNTIFS(Avaliacoes!$A$2:$A$6000,$A7,Avaliacoes!$F$2:$F$6000,"II",Avaliacoes!$H$2:$H$6000,0,Avaliacoes!$G$2:$G$6000,"&lt;&gt;")*Dimensoes!$E$3)</f>
        <v>8</v>
      </c>
      <c r="L7" s="6" t="n">
        <f aca="false">IF($A7="","",COUNTIFS(Avaliacoes!$A$2:$A$6000,$A7,Avaliacoes!$F$2:$F$6000,"III",Avaliacoes!$H$2:$H$6000,0,Avaliacoes!$G$2:$G$6000,"&lt;&gt;")*Dimensoes!$E$4)</f>
        <v>2</v>
      </c>
      <c r="M7" s="6" t="n">
        <f aca="false">IF($A7="","",COUNTIFS(Avaliacoes!$A$2:$A$6000,$A7,Avaliacoes!$F$2:$F$6000,"IV",Avaliacoes!$H$2:$H$6000,0,Avaliacoes!$G$2:$G$6000,"&lt;&gt;")*Dimensoes!$E$5)</f>
        <v>4</v>
      </c>
      <c r="N7" s="9" t="n">
        <f aca="false">IF($A7="","",IF(J7&gt;0,F7/J7,""))</f>
        <v>0.428571428571429</v>
      </c>
      <c r="O7" s="9" t="n">
        <f aca="false">IF($A7="","",IF(K7&gt;0,G7/K7,""))</f>
        <v>0.25</v>
      </c>
      <c r="P7" s="9" t="n">
        <f aca="false">IF($A7="","",IF(L7&gt;0,H7/L7,""))</f>
        <v>0.5</v>
      </c>
      <c r="Q7" s="9" t="n">
        <f aca="false">IF($A7="","",IF(M7&gt;0,I7/M7,""))</f>
        <v>0.25</v>
      </c>
      <c r="R7" s="17" t="n">
        <f aca="false">IF($A7="","",IF((IF(N7="",0,Dimensoes!$C$2)+IF(O7="",0,Dimensoes!$C$3)+IF(P7="",0,Dimensoes!$C$4)+IF(Q7="",0,Dimensoes!$C$5))=0,"",(IF(N7="",0,N7*Dimensoes!$C$2)+IF(O7="",0,O7*Dimensoes!$C$3)+IF(P7="",0,P7*Dimensoes!$C$4)+IF(Q7="",0,Q7*Dimensoes!$C$5))/(IF(N7="",0,Dimensoes!$C$2)+IF(O7="",0,Dimensoes!$C$3)+IF(P7="",0,Dimensoes!$C$4)+IF(Q7="",0,Dimensoes!$C$5))))</f>
        <v>0.357142857142857</v>
      </c>
      <c r="S7" s="0" t="str">
        <f aca="false">IF(R7="","",IF(R7&lt;Faixas!$C$3,"vermelho",IF(R7&lt;Faixas!$C$4,"amarelo","verde")))</f>
        <v>vermelho</v>
      </c>
      <c r="T7" s="9" t="n">
        <f aca="false">IF($A7="","",IF(N7="",0,N7*Dimensoes!$C$2)+IF(O7="",0,O7*Dimensoes!$C$3)+IF(P7="",0,P7*Dimensoes!$C$4)+IF(Q7="",0,Q7*Dimensoes!$C$5))</f>
        <v>0.357142857142857</v>
      </c>
      <c r="U7" s="6" t="n">
        <f aca="false">IF($A7="","",IF(OR(E7="concluida",E7="incompleta"),1,0))</f>
        <v>1</v>
      </c>
    </row>
    <row r="8" customFormat="false" ht="15" hidden="false" customHeight="false" outlineLevel="0" collapsed="false">
      <c r="A8" s="0" t="n">
        <f aca="false">IF(Visitas!A8="","",Visitas!A8)</f>
        <v>7</v>
      </c>
      <c r="B8" s="0" t="str">
        <f aca="false">IF($A8="","",Visitas!C8)</f>
        <v>2023</v>
      </c>
      <c r="C8" s="7" t="n">
        <f aca="false">IF($A8="","",Visitas!D8)</f>
        <v>45104</v>
      </c>
      <c r="D8" s="0" t="str">
        <f aca="false">IF($A8="","",Visitas!B8)</f>
        <v>UBS São Domingos</v>
      </c>
      <c r="E8" s="0" t="str">
        <f aca="false">IF($A8="","",Visitas!F8)</f>
        <v>concluida</v>
      </c>
      <c r="F8" s="6" t="n">
        <f aca="false">IF($A8="","",SUMIFS(Avaliacoes!$G$2:$G$6000,Avaliacoes!$A$2:$A$6000,$A8,Avaliacoes!$F$2:$F$6000,"I",Avaliacoes!$H$2:$H$6000,0))</f>
        <v>9</v>
      </c>
      <c r="G8" s="6" t="n">
        <f aca="false">IF($A8="","",SUMIFS(Avaliacoes!$G$2:$G$6000,Avaliacoes!$A$2:$A$6000,$A8,Avaliacoes!$F$2:$F$6000,"II",Avaliacoes!$H$2:$H$6000,0))</f>
        <v>4</v>
      </c>
      <c r="H8" s="6" t="n">
        <f aca="false">IF($A8="","",SUMIFS(Avaliacoes!$G$2:$G$6000,Avaliacoes!$A$2:$A$6000,$A8,Avaliacoes!$F$2:$F$6000,"III",Avaliacoes!$H$2:$H$6000,0))</f>
        <v>1</v>
      </c>
      <c r="I8" s="6" t="n">
        <f aca="false">IF($A8="","",SUMIFS(Avaliacoes!$G$2:$G$6000,Avaliacoes!$A$2:$A$6000,$A8,Avaliacoes!$F$2:$F$6000,"IV",Avaliacoes!$H$2:$H$6000,0))</f>
        <v>4</v>
      </c>
      <c r="J8" s="6" t="n">
        <f aca="false">IF($A8="","",COUNTIFS(Avaliacoes!$A$2:$A$6000,$A8,Avaliacoes!$F$2:$F$6000,"I",Avaliacoes!$H$2:$H$6000,0,Avaliacoes!$G$2:$G$6000,"&lt;&gt;")*Dimensoes!$E$2)</f>
        <v>14</v>
      </c>
      <c r="K8" s="6" t="n">
        <f aca="false">IF($A8="","",COUNTIFS(Avaliacoes!$A$2:$A$6000,$A8,Avaliacoes!$F$2:$F$6000,"II",Avaliacoes!$H$2:$H$6000,0,Avaliacoes!$G$2:$G$6000,"&lt;&gt;")*Dimensoes!$E$3)</f>
        <v>8</v>
      </c>
      <c r="L8" s="6" t="n">
        <f aca="false">IF($A8="","",COUNTIFS(Avaliacoes!$A$2:$A$6000,$A8,Avaliacoes!$F$2:$F$6000,"III",Avaliacoes!$H$2:$H$6000,0,Avaliacoes!$G$2:$G$6000,"&lt;&gt;")*Dimensoes!$E$4)</f>
        <v>2</v>
      </c>
      <c r="M8" s="6" t="n">
        <f aca="false">IF($A8="","",COUNTIFS(Avaliacoes!$A$2:$A$6000,$A8,Avaliacoes!$F$2:$F$6000,"IV",Avaliacoes!$H$2:$H$6000,0,Avaliacoes!$G$2:$G$6000,"&lt;&gt;")*Dimensoes!$E$5)</f>
        <v>4</v>
      </c>
      <c r="N8" s="9" t="n">
        <f aca="false">IF($A8="","",IF(J8&gt;0,F8/J8,""))</f>
        <v>0.642857142857143</v>
      </c>
      <c r="O8" s="9" t="n">
        <f aca="false">IF($A8="","",IF(K8&gt;0,G8/K8,""))</f>
        <v>0.5</v>
      </c>
      <c r="P8" s="9" t="n">
        <f aca="false">IF($A8="","",IF(L8&gt;0,H8/L8,""))</f>
        <v>0.5</v>
      </c>
      <c r="Q8" s="9" t="n">
        <f aca="false">IF($A8="","",IF(M8&gt;0,I8/M8,""))</f>
        <v>1</v>
      </c>
      <c r="R8" s="17" t="n">
        <f aca="false">IF($A8="","",IF((IF(N8="",0,Dimensoes!$C$2)+IF(O8="",0,Dimensoes!$C$3)+IF(P8="",0,Dimensoes!$C$4)+IF(Q8="",0,Dimensoes!$C$5))=0,"",(IF(N8="",0,N8*Dimensoes!$C$2)+IF(O8="",0,O8*Dimensoes!$C$3)+IF(P8="",0,P8*Dimensoes!$C$4)+IF(Q8="",0,Q8*Dimensoes!$C$5))/(IF(N8="",0,Dimensoes!$C$2)+IF(O8="",0,Dimensoes!$C$3)+IF(P8="",0,Dimensoes!$C$4)+IF(Q8="",0,Dimensoes!$C$5))))</f>
        <v>0.660714285714286</v>
      </c>
      <c r="S8" s="0" t="str">
        <f aca="false">IF(R8="","",IF(R8&lt;Faixas!$C$3,"vermelho",IF(R8&lt;Faixas!$C$4,"amarelo","verde")))</f>
        <v>amarelo</v>
      </c>
      <c r="T8" s="9" t="n">
        <f aca="false">IF($A8="","",IF(N8="",0,N8*Dimensoes!$C$2)+IF(O8="",0,O8*Dimensoes!$C$3)+IF(P8="",0,P8*Dimensoes!$C$4)+IF(Q8="",0,Q8*Dimensoes!$C$5))</f>
        <v>0.660714285714286</v>
      </c>
      <c r="U8" s="6" t="n">
        <f aca="false">IF($A8="","",IF(OR(E8="concluida",E8="incompleta"),1,0))</f>
        <v>1</v>
      </c>
    </row>
    <row r="9" customFormat="false" ht="15" hidden="false" customHeight="false" outlineLevel="0" collapsed="false">
      <c r="A9" s="0" t="n">
        <f aca="false">IF(Visitas!A9="","",Visitas!A9)</f>
        <v>8</v>
      </c>
      <c r="B9" s="0" t="str">
        <f aca="false">IF($A9="","",Visitas!C9)</f>
        <v>2023</v>
      </c>
      <c r="C9" s="7" t="n">
        <f aca="false">IF($A9="","",Visitas!D9)</f>
        <v>45268</v>
      </c>
      <c r="D9" s="0" t="str">
        <f aca="false">IF($A9="","",Visitas!B9)</f>
        <v>UBS Cariobinha</v>
      </c>
      <c r="E9" s="0" t="str">
        <f aca="false">IF($A9="","",Visitas!F9)</f>
        <v>incompleta</v>
      </c>
      <c r="F9" s="6" t="n">
        <f aca="false">IF($A9="","",SUMIFS(Avaliacoes!$G$2:$G$6000,Avaliacoes!$A$2:$A$6000,$A9,Avaliacoes!$F$2:$F$6000,"I",Avaliacoes!$H$2:$H$6000,0))</f>
        <v>14</v>
      </c>
      <c r="G9" s="6" t="n">
        <f aca="false">IF($A9="","",SUMIFS(Avaliacoes!$G$2:$G$6000,Avaliacoes!$A$2:$A$6000,$A9,Avaliacoes!$F$2:$F$6000,"II",Avaliacoes!$H$2:$H$6000,0))</f>
        <v>0</v>
      </c>
      <c r="H9" s="6" t="n">
        <f aca="false">IF($A9="","",SUMIFS(Avaliacoes!$G$2:$G$6000,Avaliacoes!$A$2:$A$6000,$A9,Avaliacoes!$F$2:$F$6000,"III",Avaliacoes!$H$2:$H$6000,0))</f>
        <v>0</v>
      </c>
      <c r="I9" s="6" t="n">
        <f aca="false">IF($A9="","",SUMIFS(Avaliacoes!$G$2:$G$6000,Avaliacoes!$A$2:$A$6000,$A9,Avaliacoes!$F$2:$F$6000,"IV",Avaliacoes!$H$2:$H$6000,0))</f>
        <v>0</v>
      </c>
      <c r="J9" s="6" t="n">
        <f aca="false">IF($A9="","",COUNTIFS(Avaliacoes!$A$2:$A$6000,$A9,Avaliacoes!$F$2:$F$6000,"I",Avaliacoes!$H$2:$H$6000,0,Avaliacoes!$G$2:$G$6000,"&lt;&gt;")*Dimensoes!$E$2)</f>
        <v>14</v>
      </c>
      <c r="K9" s="6" t="n">
        <f aca="false">IF($A9="","",COUNTIFS(Avaliacoes!$A$2:$A$6000,$A9,Avaliacoes!$F$2:$F$6000,"II",Avaliacoes!$H$2:$H$6000,0,Avaliacoes!$G$2:$G$6000,"&lt;&gt;")*Dimensoes!$E$3)</f>
        <v>0</v>
      </c>
      <c r="L9" s="6" t="n">
        <f aca="false">IF($A9="","",COUNTIFS(Avaliacoes!$A$2:$A$6000,$A9,Avaliacoes!$F$2:$F$6000,"III",Avaliacoes!$H$2:$H$6000,0,Avaliacoes!$G$2:$G$6000,"&lt;&gt;")*Dimensoes!$E$4)</f>
        <v>0</v>
      </c>
      <c r="M9" s="6" t="n">
        <f aca="false">IF($A9="","",COUNTIFS(Avaliacoes!$A$2:$A$6000,$A9,Avaliacoes!$F$2:$F$6000,"IV",Avaliacoes!$H$2:$H$6000,0,Avaliacoes!$G$2:$G$6000,"&lt;&gt;")*Dimensoes!$E$5)</f>
        <v>0</v>
      </c>
      <c r="N9" s="9" t="n">
        <f aca="false">IF($A9="","",IF(J9&gt;0,F9/J9,""))</f>
        <v>1</v>
      </c>
      <c r="O9" s="9" t="str">
        <f aca="false">IF($A9="","",IF(K9&gt;0,G9/K9,""))</f>
        <v/>
      </c>
      <c r="P9" s="9" t="str">
        <f aca="false">IF($A9="","",IF(L9&gt;0,H9/L9,""))</f>
        <v/>
      </c>
      <c r="Q9" s="9" t="str">
        <f aca="false">IF($A9="","",IF(M9&gt;0,I9/M9,""))</f>
        <v/>
      </c>
      <c r="R9" s="17" t="n">
        <f aca="false">IF($A9="","",IF((IF(N9="",0,Dimensoes!$C$2)+IF(O9="",0,Dimensoes!$C$3)+IF(P9="",0,Dimensoes!$C$4)+IF(Q9="",0,Dimensoes!$C$5))=0,"",(IF(N9="",0,N9*Dimensoes!$C$2)+IF(O9="",0,O9*Dimensoes!$C$3)+IF(P9="",0,P9*Dimensoes!$C$4)+IF(Q9="",0,Q9*Dimensoes!$C$5))/(IF(N9="",0,Dimensoes!$C$2)+IF(O9="",0,Dimensoes!$C$3)+IF(P9="",0,Dimensoes!$C$4)+IF(Q9="",0,Dimensoes!$C$5))))</f>
        <v>1</v>
      </c>
      <c r="S9" s="0" t="str">
        <f aca="false">IF(R9="","",IF(R9&lt;Faixas!$C$3,"vermelho",IF(R9&lt;Faixas!$C$4,"amarelo","verde")))</f>
        <v>verde</v>
      </c>
      <c r="T9" s="9" t="n">
        <f aca="false">IF($A9="","",IF(N9="",0,N9*Dimensoes!$C$2)+IF(O9="",0,O9*Dimensoes!$C$3)+IF(P9="",0,P9*Dimensoes!$C$4)+IF(Q9="",0,Q9*Dimensoes!$C$5))</f>
        <v>0.25</v>
      </c>
      <c r="U9" s="6" t="n">
        <f aca="false">IF($A9="","",IF(OR(E9="concluida",E9="incompleta"),1,0))</f>
        <v>1</v>
      </c>
    </row>
    <row r="10" customFormat="false" ht="15" hidden="false" customHeight="false" outlineLevel="0" collapsed="false">
      <c r="A10" s="0" t="n">
        <f aca="false">IF(Visitas!A10="","",Visitas!A10)</f>
        <v>9</v>
      </c>
      <c r="B10" s="0" t="str">
        <f aca="false">IF($A10="","",Visitas!C10)</f>
        <v>2023</v>
      </c>
      <c r="C10" s="7" t="n">
        <f aca="false">IF($A10="","",Visitas!D10)</f>
        <v>45159</v>
      </c>
      <c r="D10" s="0" t="str">
        <f aca="false">IF($A10="","",Visitas!B10)</f>
        <v>UBS Vila Gallo</v>
      </c>
      <c r="E10" s="0" t="str">
        <f aca="false">IF($A10="","",Visitas!F10)</f>
        <v>concluida</v>
      </c>
      <c r="F10" s="6" t="n">
        <f aca="false">IF($A10="","",SUMIFS(Avaliacoes!$G$2:$G$6000,Avaliacoes!$A$2:$A$6000,$A10,Avaliacoes!$F$2:$F$6000,"I",Avaliacoes!$H$2:$H$6000,0))</f>
        <v>12</v>
      </c>
      <c r="G10" s="6" t="n">
        <f aca="false">IF($A10="","",SUMIFS(Avaliacoes!$G$2:$G$6000,Avaliacoes!$A$2:$A$6000,$A10,Avaliacoes!$F$2:$F$6000,"II",Avaliacoes!$H$2:$H$6000,0))</f>
        <v>7</v>
      </c>
      <c r="H10" s="6" t="n">
        <f aca="false">IF($A10="","",SUMIFS(Avaliacoes!$G$2:$G$6000,Avaliacoes!$A$2:$A$6000,$A10,Avaliacoes!$F$2:$F$6000,"III",Avaliacoes!$H$2:$H$6000,0))</f>
        <v>1</v>
      </c>
      <c r="I10" s="6" t="n">
        <f aca="false">IF($A10="","",SUMIFS(Avaliacoes!$G$2:$G$6000,Avaliacoes!$A$2:$A$6000,$A10,Avaliacoes!$F$2:$F$6000,"IV",Avaliacoes!$H$2:$H$6000,0))</f>
        <v>4</v>
      </c>
      <c r="J10" s="6" t="n">
        <f aca="false">IF($A10="","",COUNTIFS(Avaliacoes!$A$2:$A$6000,$A10,Avaliacoes!$F$2:$F$6000,"I",Avaliacoes!$H$2:$H$6000,0,Avaliacoes!$G$2:$G$6000,"&lt;&gt;")*Dimensoes!$E$2)</f>
        <v>14</v>
      </c>
      <c r="K10" s="6" t="n">
        <f aca="false">IF($A10="","",COUNTIFS(Avaliacoes!$A$2:$A$6000,$A10,Avaliacoes!$F$2:$F$6000,"II",Avaliacoes!$H$2:$H$6000,0,Avaliacoes!$G$2:$G$6000,"&lt;&gt;")*Dimensoes!$E$3)</f>
        <v>8</v>
      </c>
      <c r="L10" s="6" t="n">
        <f aca="false">IF($A10="","",COUNTIFS(Avaliacoes!$A$2:$A$6000,$A10,Avaliacoes!$F$2:$F$6000,"III",Avaliacoes!$H$2:$H$6000,0,Avaliacoes!$G$2:$G$6000,"&lt;&gt;")*Dimensoes!$E$4)</f>
        <v>2</v>
      </c>
      <c r="M10" s="6" t="n">
        <f aca="false">IF($A10="","",COUNTIFS(Avaliacoes!$A$2:$A$6000,$A10,Avaliacoes!$F$2:$F$6000,"IV",Avaliacoes!$H$2:$H$6000,0,Avaliacoes!$G$2:$G$6000,"&lt;&gt;")*Dimensoes!$E$5)</f>
        <v>4</v>
      </c>
      <c r="N10" s="9" t="n">
        <f aca="false">IF($A10="","",IF(J10&gt;0,F10/J10,""))</f>
        <v>0.857142857142857</v>
      </c>
      <c r="O10" s="9" t="n">
        <f aca="false">IF($A10="","",IF(K10&gt;0,G10/K10,""))</f>
        <v>0.875</v>
      </c>
      <c r="P10" s="9" t="n">
        <f aca="false">IF($A10="","",IF(L10&gt;0,H10/L10,""))</f>
        <v>0.5</v>
      </c>
      <c r="Q10" s="9" t="n">
        <f aca="false">IF($A10="","",IF(M10&gt;0,I10/M10,""))</f>
        <v>1</v>
      </c>
      <c r="R10" s="17" t="n">
        <f aca="false">IF($A10="","",IF((IF(N10="",0,Dimensoes!$C$2)+IF(O10="",0,Dimensoes!$C$3)+IF(P10="",0,Dimensoes!$C$4)+IF(Q10="",0,Dimensoes!$C$5))=0,"",(IF(N10="",0,N10*Dimensoes!$C$2)+IF(O10="",0,O10*Dimensoes!$C$3)+IF(P10="",0,P10*Dimensoes!$C$4)+IF(Q10="",0,Q10*Dimensoes!$C$5))/(IF(N10="",0,Dimensoes!$C$2)+IF(O10="",0,Dimensoes!$C$3)+IF(P10="",0,Dimensoes!$C$4)+IF(Q10="",0,Dimensoes!$C$5))))</f>
        <v>0.808035714285714</v>
      </c>
      <c r="S10" s="0" t="str">
        <f aca="false">IF(R10="","",IF(R10&lt;Faixas!$C$3,"vermelho",IF(R10&lt;Faixas!$C$4,"amarelo","verde")))</f>
        <v>verde</v>
      </c>
      <c r="T10" s="9" t="n">
        <f aca="false">IF($A10="","",IF(N10="",0,N10*Dimensoes!$C$2)+IF(O10="",0,O10*Dimensoes!$C$3)+IF(P10="",0,P10*Dimensoes!$C$4)+IF(Q10="",0,Q10*Dimensoes!$C$5))</f>
        <v>0.808035714285714</v>
      </c>
      <c r="U10" s="6" t="n">
        <f aca="false">IF($A10="","",IF(OR(E10="concluida",E10="incompleta"),1,0))</f>
        <v>1</v>
      </c>
    </row>
    <row r="11" customFormat="false" ht="15" hidden="false" customHeight="false" outlineLevel="0" collapsed="false">
      <c r="A11" s="0" t="n">
        <f aca="false">IF(Visitas!A11="","",Visitas!A11)</f>
        <v>10</v>
      </c>
      <c r="B11" s="0" t="str">
        <f aca="false">IF($A11="","",Visitas!C11)</f>
        <v>2023</v>
      </c>
      <c r="C11" s="7" t="n">
        <f aca="false">IF($A11="","",Visitas!D11)</f>
        <v>45124</v>
      </c>
      <c r="D11" s="0" t="str">
        <f aca="false">IF($A11="","",Visitas!B11)</f>
        <v>ESF Alvorada</v>
      </c>
      <c r="E11" s="0" t="str">
        <f aca="false">IF($A11="","",Visitas!F11)</f>
        <v>incompleta</v>
      </c>
      <c r="F11" s="6" t="n">
        <f aca="false">IF($A11="","",SUMIFS(Avaliacoes!$G$2:$G$6000,Avaliacoes!$A$2:$A$6000,$A11,Avaliacoes!$F$2:$F$6000,"I",Avaliacoes!$H$2:$H$6000,0))</f>
        <v>4</v>
      </c>
      <c r="G11" s="6" t="n">
        <f aca="false">IF($A11="","",SUMIFS(Avaliacoes!$G$2:$G$6000,Avaliacoes!$A$2:$A$6000,$A11,Avaliacoes!$F$2:$F$6000,"II",Avaliacoes!$H$2:$H$6000,0))</f>
        <v>1</v>
      </c>
      <c r="H11" s="6" t="n">
        <f aca="false">IF($A11="","",SUMIFS(Avaliacoes!$G$2:$G$6000,Avaliacoes!$A$2:$A$6000,$A11,Avaliacoes!$F$2:$F$6000,"III",Avaliacoes!$H$2:$H$6000,0))</f>
        <v>0</v>
      </c>
      <c r="I11" s="6" t="n">
        <f aca="false">IF($A11="","",SUMIFS(Avaliacoes!$G$2:$G$6000,Avaliacoes!$A$2:$A$6000,$A11,Avaliacoes!$F$2:$F$6000,"IV",Avaliacoes!$H$2:$H$6000,0))</f>
        <v>0</v>
      </c>
      <c r="J11" s="6" t="n">
        <f aca="false">IF($A11="","",COUNTIFS(Avaliacoes!$A$2:$A$6000,$A11,Avaliacoes!$F$2:$F$6000,"I",Avaliacoes!$H$2:$H$6000,0,Avaliacoes!$G$2:$G$6000,"&lt;&gt;")*Dimensoes!$E$2)</f>
        <v>6</v>
      </c>
      <c r="K11" s="6" t="n">
        <f aca="false">IF($A11="","",COUNTIFS(Avaliacoes!$A$2:$A$6000,$A11,Avaliacoes!$F$2:$F$6000,"II",Avaliacoes!$H$2:$H$6000,0,Avaliacoes!$G$2:$G$6000,"&lt;&gt;")*Dimensoes!$E$3)</f>
        <v>2</v>
      </c>
      <c r="L11" s="6" t="n">
        <f aca="false">IF($A11="","",COUNTIFS(Avaliacoes!$A$2:$A$6000,$A11,Avaliacoes!$F$2:$F$6000,"III",Avaliacoes!$H$2:$H$6000,0,Avaliacoes!$G$2:$G$6000,"&lt;&gt;")*Dimensoes!$E$4)</f>
        <v>0</v>
      </c>
      <c r="M11" s="6" t="n">
        <f aca="false">IF($A11="","",COUNTIFS(Avaliacoes!$A$2:$A$6000,$A11,Avaliacoes!$F$2:$F$6000,"IV",Avaliacoes!$H$2:$H$6000,0,Avaliacoes!$G$2:$G$6000,"&lt;&gt;")*Dimensoes!$E$5)</f>
        <v>0</v>
      </c>
      <c r="N11" s="9" t="n">
        <f aca="false">IF($A11="","",IF(J11&gt;0,F11/J11,""))</f>
        <v>0.666666666666667</v>
      </c>
      <c r="O11" s="9" t="n">
        <f aca="false">IF($A11="","",IF(K11&gt;0,G11/K11,""))</f>
        <v>0.5</v>
      </c>
      <c r="P11" s="9" t="str">
        <f aca="false">IF($A11="","",IF(L11&gt;0,H11/L11,""))</f>
        <v/>
      </c>
      <c r="Q11" s="9" t="str">
        <f aca="false">IF($A11="","",IF(M11&gt;0,I11/M11,""))</f>
        <v/>
      </c>
      <c r="R11" s="17" t="n">
        <f aca="false">IF($A11="","",IF((IF(N11="",0,Dimensoes!$C$2)+IF(O11="",0,Dimensoes!$C$3)+IF(P11="",0,Dimensoes!$C$4)+IF(Q11="",0,Dimensoes!$C$5))=0,"",(IF(N11="",0,N11*Dimensoes!$C$2)+IF(O11="",0,O11*Dimensoes!$C$3)+IF(P11="",0,P11*Dimensoes!$C$4)+IF(Q11="",0,Q11*Dimensoes!$C$5))/(IF(N11="",0,Dimensoes!$C$2)+IF(O11="",0,Dimensoes!$C$3)+IF(P11="",0,Dimensoes!$C$4)+IF(Q11="",0,Dimensoes!$C$5))))</f>
        <v>0.583333333333333</v>
      </c>
      <c r="S11" s="0" t="str">
        <f aca="false">IF(R11="","",IF(R11&lt;Faixas!$C$3,"vermelho",IF(R11&lt;Faixas!$C$4,"amarelo","verde")))</f>
        <v>amarelo</v>
      </c>
      <c r="T11" s="9" t="n">
        <f aca="false">IF($A11="","",IF(N11="",0,N11*Dimensoes!$C$2)+IF(O11="",0,O11*Dimensoes!$C$3)+IF(P11="",0,P11*Dimensoes!$C$4)+IF(Q11="",0,Q11*Dimensoes!$C$5))</f>
        <v>0.291666666666667</v>
      </c>
      <c r="U11" s="6" t="n">
        <f aca="false">IF($A11="","",IF(OR(E11="concluida",E11="incompleta"),1,0))</f>
        <v>1</v>
      </c>
    </row>
    <row r="12" customFormat="false" ht="15" hidden="false" customHeight="false" outlineLevel="0" collapsed="false">
      <c r="A12" s="0" t="n">
        <f aca="false">IF(Visitas!A12="","",Visitas!A12)</f>
        <v>11</v>
      </c>
      <c r="B12" s="0" t="str">
        <f aca="false">IF($A12="","",Visitas!C12)</f>
        <v>2023</v>
      </c>
      <c r="C12" s="7" t="n">
        <f aca="false">IF($A12="","",Visitas!D12)</f>
        <v>45229</v>
      </c>
      <c r="D12" s="0" t="str">
        <f aca="false">IF($A12="","",Visitas!B12)</f>
        <v>ESF Mário Covas</v>
      </c>
      <c r="E12" s="0" t="str">
        <f aca="false">IF($A12="","",Visitas!F12)</f>
        <v>concluida</v>
      </c>
      <c r="F12" s="6" t="n">
        <f aca="false">IF($A12="","",SUMIFS(Avaliacoes!$G$2:$G$6000,Avaliacoes!$A$2:$A$6000,$A12,Avaliacoes!$F$2:$F$6000,"I",Avaliacoes!$H$2:$H$6000,0))</f>
        <v>9</v>
      </c>
      <c r="G12" s="6" t="n">
        <f aca="false">IF($A12="","",SUMIFS(Avaliacoes!$G$2:$G$6000,Avaliacoes!$A$2:$A$6000,$A12,Avaliacoes!$F$2:$F$6000,"II",Avaliacoes!$H$2:$H$6000,0))</f>
        <v>3</v>
      </c>
      <c r="H12" s="6" t="n">
        <f aca="false">IF($A12="","",SUMIFS(Avaliacoes!$G$2:$G$6000,Avaliacoes!$A$2:$A$6000,$A12,Avaliacoes!$F$2:$F$6000,"III",Avaliacoes!$H$2:$H$6000,0))</f>
        <v>1</v>
      </c>
      <c r="I12" s="6" t="n">
        <f aca="false">IF($A12="","",SUMIFS(Avaliacoes!$G$2:$G$6000,Avaliacoes!$A$2:$A$6000,$A12,Avaliacoes!$F$2:$F$6000,"IV",Avaliacoes!$H$2:$H$6000,0))</f>
        <v>4</v>
      </c>
      <c r="J12" s="6" t="n">
        <f aca="false">IF($A12="","",COUNTIFS(Avaliacoes!$A$2:$A$6000,$A12,Avaliacoes!$F$2:$F$6000,"I",Avaliacoes!$H$2:$H$6000,0,Avaliacoes!$G$2:$G$6000,"&lt;&gt;")*Dimensoes!$E$2)</f>
        <v>14</v>
      </c>
      <c r="K12" s="6" t="n">
        <f aca="false">IF($A12="","",COUNTIFS(Avaliacoes!$A$2:$A$6000,$A12,Avaliacoes!$F$2:$F$6000,"II",Avaliacoes!$H$2:$H$6000,0,Avaliacoes!$G$2:$G$6000,"&lt;&gt;")*Dimensoes!$E$3)</f>
        <v>8</v>
      </c>
      <c r="L12" s="6" t="n">
        <f aca="false">IF($A12="","",COUNTIFS(Avaliacoes!$A$2:$A$6000,$A12,Avaliacoes!$F$2:$F$6000,"III",Avaliacoes!$H$2:$H$6000,0,Avaliacoes!$G$2:$G$6000,"&lt;&gt;")*Dimensoes!$E$4)</f>
        <v>2</v>
      </c>
      <c r="M12" s="6" t="n">
        <f aca="false">IF($A12="","",COUNTIFS(Avaliacoes!$A$2:$A$6000,$A12,Avaliacoes!$F$2:$F$6000,"IV",Avaliacoes!$H$2:$H$6000,0,Avaliacoes!$G$2:$G$6000,"&lt;&gt;")*Dimensoes!$E$5)</f>
        <v>4</v>
      </c>
      <c r="N12" s="9" t="n">
        <f aca="false">IF($A12="","",IF(J12&gt;0,F12/J12,""))</f>
        <v>0.642857142857143</v>
      </c>
      <c r="O12" s="9" t="n">
        <f aca="false">IF($A12="","",IF(K12&gt;0,G12/K12,""))</f>
        <v>0.375</v>
      </c>
      <c r="P12" s="9" t="n">
        <f aca="false">IF($A12="","",IF(L12&gt;0,H12/L12,""))</f>
        <v>0.5</v>
      </c>
      <c r="Q12" s="9" t="n">
        <f aca="false">IF($A12="","",IF(M12&gt;0,I12/M12,""))</f>
        <v>1</v>
      </c>
      <c r="R12" s="17" t="n">
        <f aca="false">IF($A12="","",IF((IF(N12="",0,Dimensoes!$C$2)+IF(O12="",0,Dimensoes!$C$3)+IF(P12="",0,Dimensoes!$C$4)+IF(Q12="",0,Dimensoes!$C$5))=0,"",(IF(N12="",0,N12*Dimensoes!$C$2)+IF(O12="",0,O12*Dimensoes!$C$3)+IF(P12="",0,P12*Dimensoes!$C$4)+IF(Q12="",0,Q12*Dimensoes!$C$5))/(IF(N12="",0,Dimensoes!$C$2)+IF(O12="",0,Dimensoes!$C$3)+IF(P12="",0,Dimensoes!$C$4)+IF(Q12="",0,Dimensoes!$C$5))))</f>
        <v>0.629464285714286</v>
      </c>
      <c r="S12" s="0" t="str">
        <f aca="false">IF(R12="","",IF(R12&lt;Faixas!$C$3,"vermelho",IF(R12&lt;Faixas!$C$4,"amarelo","verde")))</f>
        <v>amarelo</v>
      </c>
      <c r="T12" s="9" t="n">
        <f aca="false">IF($A12="","",IF(N12="",0,N12*Dimensoes!$C$2)+IF(O12="",0,O12*Dimensoes!$C$3)+IF(P12="",0,P12*Dimensoes!$C$4)+IF(Q12="",0,Q12*Dimensoes!$C$5))</f>
        <v>0.629464285714286</v>
      </c>
      <c r="U12" s="6" t="n">
        <f aca="false">IF($A12="","",IF(OR(E12="concluida",E12="incompleta"),1,0))</f>
        <v>1</v>
      </c>
    </row>
    <row r="13" customFormat="false" ht="15" hidden="false" customHeight="false" outlineLevel="0" collapsed="false">
      <c r="A13" s="0" t="n">
        <f aca="false">IF(Visitas!A13="","",Visitas!A13)</f>
        <v>12</v>
      </c>
      <c r="B13" s="0" t="str">
        <f aca="false">IF($A13="","",Visitas!C13)</f>
        <v>2023</v>
      </c>
      <c r="C13" s="7" t="n">
        <f aca="false">IF($A13="","",Visitas!D13)</f>
        <v>45254</v>
      </c>
      <c r="D13" s="0" t="str">
        <f aca="false">IF($A13="","",Visitas!B13)</f>
        <v>ESF São José</v>
      </c>
      <c r="E13" s="0" t="str">
        <f aca="false">IF($A13="","",Visitas!F13)</f>
        <v>incompleta</v>
      </c>
      <c r="F13" s="6" t="n">
        <f aca="false">IF($A13="","",SUMIFS(Avaliacoes!$G$2:$G$6000,Avaliacoes!$A$2:$A$6000,$A13,Avaliacoes!$F$2:$F$6000,"I",Avaliacoes!$H$2:$H$6000,0))</f>
        <v>14</v>
      </c>
      <c r="G13" s="6" t="n">
        <f aca="false">IF($A13="","",SUMIFS(Avaliacoes!$G$2:$G$6000,Avaliacoes!$A$2:$A$6000,$A13,Avaliacoes!$F$2:$F$6000,"II",Avaliacoes!$H$2:$H$6000,0))</f>
        <v>0</v>
      </c>
      <c r="H13" s="6" t="n">
        <f aca="false">IF($A13="","",SUMIFS(Avaliacoes!$G$2:$G$6000,Avaliacoes!$A$2:$A$6000,$A13,Avaliacoes!$F$2:$F$6000,"III",Avaliacoes!$H$2:$H$6000,0))</f>
        <v>0</v>
      </c>
      <c r="I13" s="6" t="n">
        <f aca="false">IF($A13="","",SUMIFS(Avaliacoes!$G$2:$G$6000,Avaliacoes!$A$2:$A$6000,$A13,Avaliacoes!$F$2:$F$6000,"IV",Avaliacoes!$H$2:$H$6000,0))</f>
        <v>0</v>
      </c>
      <c r="J13" s="6" t="n">
        <f aca="false">IF($A13="","",COUNTIFS(Avaliacoes!$A$2:$A$6000,$A13,Avaliacoes!$F$2:$F$6000,"I",Avaliacoes!$H$2:$H$6000,0,Avaliacoes!$G$2:$G$6000,"&lt;&gt;")*Dimensoes!$E$2)</f>
        <v>14</v>
      </c>
      <c r="K13" s="6" t="n">
        <f aca="false">IF($A13="","",COUNTIFS(Avaliacoes!$A$2:$A$6000,$A13,Avaliacoes!$F$2:$F$6000,"II",Avaliacoes!$H$2:$H$6000,0,Avaliacoes!$G$2:$G$6000,"&lt;&gt;")*Dimensoes!$E$3)</f>
        <v>0</v>
      </c>
      <c r="L13" s="6" t="n">
        <f aca="false">IF($A13="","",COUNTIFS(Avaliacoes!$A$2:$A$6000,$A13,Avaliacoes!$F$2:$F$6000,"III",Avaliacoes!$H$2:$H$6000,0,Avaliacoes!$G$2:$G$6000,"&lt;&gt;")*Dimensoes!$E$4)</f>
        <v>0</v>
      </c>
      <c r="M13" s="6" t="n">
        <f aca="false">IF($A13="","",COUNTIFS(Avaliacoes!$A$2:$A$6000,$A13,Avaliacoes!$F$2:$F$6000,"IV",Avaliacoes!$H$2:$H$6000,0,Avaliacoes!$G$2:$G$6000,"&lt;&gt;")*Dimensoes!$E$5)</f>
        <v>0</v>
      </c>
      <c r="N13" s="9" t="n">
        <f aca="false">IF($A13="","",IF(J13&gt;0,F13/J13,""))</f>
        <v>1</v>
      </c>
      <c r="O13" s="9" t="str">
        <f aca="false">IF($A13="","",IF(K13&gt;0,G13/K13,""))</f>
        <v/>
      </c>
      <c r="P13" s="9" t="str">
        <f aca="false">IF($A13="","",IF(L13&gt;0,H13/L13,""))</f>
        <v/>
      </c>
      <c r="Q13" s="9" t="str">
        <f aca="false">IF($A13="","",IF(M13&gt;0,I13/M13,""))</f>
        <v/>
      </c>
      <c r="R13" s="17" t="n">
        <f aca="false">IF($A13="","",IF((IF(N13="",0,Dimensoes!$C$2)+IF(O13="",0,Dimensoes!$C$3)+IF(P13="",0,Dimensoes!$C$4)+IF(Q13="",0,Dimensoes!$C$5))=0,"",(IF(N13="",0,N13*Dimensoes!$C$2)+IF(O13="",0,O13*Dimensoes!$C$3)+IF(P13="",0,P13*Dimensoes!$C$4)+IF(Q13="",0,Q13*Dimensoes!$C$5))/(IF(N13="",0,Dimensoes!$C$2)+IF(O13="",0,Dimensoes!$C$3)+IF(P13="",0,Dimensoes!$C$4)+IF(Q13="",0,Dimensoes!$C$5))))</f>
        <v>1</v>
      </c>
      <c r="S13" s="0" t="str">
        <f aca="false">IF(R13="","",IF(R13&lt;Faixas!$C$3,"vermelho",IF(R13&lt;Faixas!$C$4,"amarelo","verde")))</f>
        <v>verde</v>
      </c>
      <c r="T13" s="9" t="n">
        <f aca="false">IF($A13="","",IF(N13="",0,N13*Dimensoes!$C$2)+IF(O13="",0,O13*Dimensoes!$C$3)+IF(P13="",0,P13*Dimensoes!$C$4)+IF(Q13="",0,Q13*Dimensoes!$C$5))</f>
        <v>0.25</v>
      </c>
      <c r="U13" s="6" t="n">
        <f aca="false">IF($A13="","",IF(OR(E13="concluida",E13="incompleta"),1,0))</f>
        <v>1</v>
      </c>
    </row>
    <row r="14" customFormat="false" ht="15" hidden="false" customHeight="false" outlineLevel="0" collapsed="false">
      <c r="A14" s="0" t="n">
        <f aca="false">IF(Visitas!A14="","",Visitas!A14)</f>
        <v>13</v>
      </c>
      <c r="B14" s="0" t="str">
        <f aca="false">IF($A14="","",Visitas!C14)</f>
        <v>2023</v>
      </c>
      <c r="C14" s="7" t="n">
        <f aca="false">IF($A14="","",Visitas!D14)</f>
        <v>45106</v>
      </c>
      <c r="D14" s="0" t="str">
        <f aca="false">IF($A14="","",Visitas!B14)</f>
        <v>UAD - Unidade de Atendimento Domiciliar</v>
      </c>
      <c r="E14" s="0" t="str">
        <f aca="false">IF($A14="","",Visitas!F14)</f>
        <v>concluida</v>
      </c>
      <c r="F14" s="6" t="n">
        <f aca="false">IF($A14="","",SUMIFS(Avaliacoes!$G$2:$G$6000,Avaliacoes!$A$2:$A$6000,$A14,Avaliacoes!$F$2:$F$6000,"I",Avaliacoes!$H$2:$H$6000,0))</f>
        <v>13</v>
      </c>
      <c r="G14" s="6" t="n">
        <f aca="false">IF($A14="","",SUMIFS(Avaliacoes!$G$2:$G$6000,Avaliacoes!$A$2:$A$6000,$A14,Avaliacoes!$F$2:$F$6000,"II",Avaliacoes!$H$2:$H$6000,0))</f>
        <v>7</v>
      </c>
      <c r="H14" s="6" t="n">
        <f aca="false">IF($A14="","",SUMIFS(Avaliacoes!$G$2:$G$6000,Avaliacoes!$A$2:$A$6000,$A14,Avaliacoes!$F$2:$F$6000,"III",Avaliacoes!$H$2:$H$6000,0))</f>
        <v>2</v>
      </c>
      <c r="I14" s="6" t="n">
        <f aca="false">IF($A14="","",SUMIFS(Avaliacoes!$G$2:$G$6000,Avaliacoes!$A$2:$A$6000,$A14,Avaliacoes!$F$2:$F$6000,"IV",Avaliacoes!$H$2:$H$6000,0))</f>
        <v>2</v>
      </c>
      <c r="J14" s="6" t="n">
        <f aca="false">IF($A14="","",COUNTIFS(Avaliacoes!$A$2:$A$6000,$A14,Avaliacoes!$F$2:$F$6000,"I",Avaliacoes!$H$2:$H$6000,0,Avaliacoes!$G$2:$G$6000,"&lt;&gt;")*Dimensoes!$E$2)</f>
        <v>14</v>
      </c>
      <c r="K14" s="6" t="n">
        <f aca="false">IF($A14="","",COUNTIFS(Avaliacoes!$A$2:$A$6000,$A14,Avaliacoes!$F$2:$F$6000,"II",Avaliacoes!$H$2:$H$6000,0,Avaliacoes!$G$2:$G$6000,"&lt;&gt;")*Dimensoes!$E$3)</f>
        <v>8</v>
      </c>
      <c r="L14" s="6" t="n">
        <f aca="false">IF($A14="","",COUNTIFS(Avaliacoes!$A$2:$A$6000,$A14,Avaliacoes!$F$2:$F$6000,"III",Avaliacoes!$H$2:$H$6000,0,Avaliacoes!$G$2:$G$6000,"&lt;&gt;")*Dimensoes!$E$4)</f>
        <v>2</v>
      </c>
      <c r="M14" s="6" t="n">
        <f aca="false">IF($A14="","",COUNTIFS(Avaliacoes!$A$2:$A$6000,$A14,Avaliacoes!$F$2:$F$6000,"IV",Avaliacoes!$H$2:$H$6000,0,Avaliacoes!$G$2:$G$6000,"&lt;&gt;")*Dimensoes!$E$5)</f>
        <v>4</v>
      </c>
      <c r="N14" s="9" t="n">
        <f aca="false">IF($A14="","",IF(J14&gt;0,F14/J14,""))</f>
        <v>0.928571428571429</v>
      </c>
      <c r="O14" s="9" t="n">
        <f aca="false">IF($A14="","",IF(K14&gt;0,G14/K14,""))</f>
        <v>0.875</v>
      </c>
      <c r="P14" s="9" t="n">
        <f aca="false">IF($A14="","",IF(L14&gt;0,H14/L14,""))</f>
        <v>1</v>
      </c>
      <c r="Q14" s="9" t="n">
        <f aca="false">IF($A14="","",IF(M14&gt;0,I14/M14,""))</f>
        <v>0.5</v>
      </c>
      <c r="R14" s="17" t="n">
        <f aca="false">IF($A14="","",IF((IF(N14="",0,Dimensoes!$C$2)+IF(O14="",0,Dimensoes!$C$3)+IF(P14="",0,Dimensoes!$C$4)+IF(Q14="",0,Dimensoes!$C$5))=0,"",(IF(N14="",0,N14*Dimensoes!$C$2)+IF(O14="",0,O14*Dimensoes!$C$3)+IF(P14="",0,P14*Dimensoes!$C$4)+IF(Q14="",0,Q14*Dimensoes!$C$5))/(IF(N14="",0,Dimensoes!$C$2)+IF(O14="",0,Dimensoes!$C$3)+IF(P14="",0,Dimensoes!$C$4)+IF(Q14="",0,Dimensoes!$C$5))))</f>
        <v>0.825892857142857</v>
      </c>
      <c r="S14" s="0" t="str">
        <f aca="false">IF(R14="","",IF(R14&lt;Faixas!$C$3,"vermelho",IF(R14&lt;Faixas!$C$4,"amarelo","verde")))</f>
        <v>verde</v>
      </c>
      <c r="T14" s="9" t="n">
        <f aca="false">IF($A14="","",IF(N14="",0,N14*Dimensoes!$C$2)+IF(O14="",0,O14*Dimensoes!$C$3)+IF(P14="",0,P14*Dimensoes!$C$4)+IF(Q14="",0,Q14*Dimensoes!$C$5))</f>
        <v>0.825892857142857</v>
      </c>
      <c r="U14" s="6" t="n">
        <f aca="false">IF($A14="","",IF(OR(E14="concluida",E14="incompleta"),1,0))</f>
        <v>1</v>
      </c>
    </row>
    <row r="15" customFormat="false" ht="15" hidden="false" customHeight="false" outlineLevel="0" collapsed="false">
      <c r="A15" s="0" t="n">
        <f aca="false">IF(Visitas!A15="","",Visitas!A15)</f>
        <v>14</v>
      </c>
      <c r="B15" s="0" t="str">
        <f aca="false">IF($A15="","",Visitas!C15)</f>
        <v>2023</v>
      </c>
      <c r="C15" s="7" t="n">
        <f aca="false">IF($A15="","",Visitas!D15)</f>
        <v>45257</v>
      </c>
      <c r="D15" s="0" t="str">
        <f aca="false">IF($A15="","",Visitas!B15)</f>
        <v>CAPS AD Vida Nova (Álcool e Drogas)</v>
      </c>
      <c r="E15" s="0" t="str">
        <f aca="false">IF($A15="","",Visitas!F15)</f>
        <v>concluida</v>
      </c>
      <c r="F15" s="6" t="n">
        <f aca="false">IF($A15="","",SUMIFS(Avaliacoes!$G$2:$G$6000,Avaliacoes!$A$2:$A$6000,$A15,Avaliacoes!$F$2:$F$6000,"I",Avaliacoes!$H$2:$H$6000,0))</f>
        <v>8</v>
      </c>
      <c r="G15" s="6" t="n">
        <f aca="false">IF($A15="","",SUMIFS(Avaliacoes!$G$2:$G$6000,Avaliacoes!$A$2:$A$6000,$A15,Avaliacoes!$F$2:$F$6000,"II",Avaliacoes!$H$2:$H$6000,0))</f>
        <v>5</v>
      </c>
      <c r="H15" s="6" t="n">
        <f aca="false">IF($A15="","",SUMIFS(Avaliacoes!$G$2:$G$6000,Avaliacoes!$A$2:$A$6000,$A15,Avaliacoes!$F$2:$F$6000,"III",Avaliacoes!$H$2:$H$6000,0))</f>
        <v>0</v>
      </c>
      <c r="I15" s="6" t="n">
        <f aca="false">IF($A15="","",SUMIFS(Avaliacoes!$G$2:$G$6000,Avaliacoes!$A$2:$A$6000,$A15,Avaliacoes!$F$2:$F$6000,"IV",Avaliacoes!$H$2:$H$6000,0))</f>
        <v>4</v>
      </c>
      <c r="J15" s="6" t="n">
        <f aca="false">IF($A15="","",COUNTIFS(Avaliacoes!$A$2:$A$6000,$A15,Avaliacoes!$F$2:$F$6000,"I",Avaliacoes!$H$2:$H$6000,0,Avaliacoes!$G$2:$G$6000,"&lt;&gt;")*Dimensoes!$E$2)</f>
        <v>14</v>
      </c>
      <c r="K15" s="6" t="n">
        <f aca="false">IF($A15="","",COUNTIFS(Avaliacoes!$A$2:$A$6000,$A15,Avaliacoes!$F$2:$F$6000,"II",Avaliacoes!$H$2:$H$6000,0,Avaliacoes!$G$2:$G$6000,"&lt;&gt;")*Dimensoes!$E$3)</f>
        <v>8</v>
      </c>
      <c r="L15" s="6" t="n">
        <f aca="false">IF($A15="","",COUNTIFS(Avaliacoes!$A$2:$A$6000,$A15,Avaliacoes!$F$2:$F$6000,"III",Avaliacoes!$H$2:$H$6000,0,Avaliacoes!$G$2:$G$6000,"&lt;&gt;")*Dimensoes!$E$4)</f>
        <v>2</v>
      </c>
      <c r="M15" s="6" t="n">
        <f aca="false">IF($A15="","",COUNTIFS(Avaliacoes!$A$2:$A$6000,$A15,Avaliacoes!$F$2:$F$6000,"IV",Avaliacoes!$H$2:$H$6000,0,Avaliacoes!$G$2:$G$6000,"&lt;&gt;")*Dimensoes!$E$5)</f>
        <v>4</v>
      </c>
      <c r="N15" s="9" t="n">
        <f aca="false">IF($A15="","",IF(J15&gt;0,F15/J15,""))</f>
        <v>0.571428571428571</v>
      </c>
      <c r="O15" s="9" t="n">
        <f aca="false">IF($A15="","",IF(K15&gt;0,G15/K15,""))</f>
        <v>0.625</v>
      </c>
      <c r="P15" s="9" t="n">
        <f aca="false">IF($A15="","",IF(L15&gt;0,H15/L15,""))</f>
        <v>0</v>
      </c>
      <c r="Q15" s="9" t="n">
        <f aca="false">IF($A15="","",IF(M15&gt;0,I15/M15,""))</f>
        <v>1</v>
      </c>
      <c r="R15" s="17" t="n">
        <f aca="false">IF($A15="","",IF((IF(N15="",0,Dimensoes!$C$2)+IF(O15="",0,Dimensoes!$C$3)+IF(P15="",0,Dimensoes!$C$4)+IF(Q15="",0,Dimensoes!$C$5))=0,"",(IF(N15="",0,N15*Dimensoes!$C$2)+IF(O15="",0,O15*Dimensoes!$C$3)+IF(P15="",0,P15*Dimensoes!$C$4)+IF(Q15="",0,Q15*Dimensoes!$C$5))/(IF(N15="",0,Dimensoes!$C$2)+IF(O15="",0,Dimensoes!$C$3)+IF(P15="",0,Dimensoes!$C$4)+IF(Q15="",0,Dimensoes!$C$5))))</f>
        <v>0.549107142857143</v>
      </c>
      <c r="S15" s="0" t="str">
        <f aca="false">IF(R15="","",IF(R15&lt;Faixas!$C$3,"vermelho",IF(R15&lt;Faixas!$C$4,"amarelo","verde")))</f>
        <v>amarelo</v>
      </c>
      <c r="T15" s="9" t="n">
        <f aca="false">IF($A15="","",IF(N15="",0,N15*Dimensoes!$C$2)+IF(O15="",0,O15*Dimensoes!$C$3)+IF(P15="",0,P15*Dimensoes!$C$4)+IF(Q15="",0,Q15*Dimensoes!$C$5))</f>
        <v>0.549107142857143</v>
      </c>
      <c r="U15" s="6" t="n">
        <f aca="false">IF($A15="","",IF(OR(E15="concluida",E15="incompleta"),1,0))</f>
        <v>1</v>
      </c>
    </row>
    <row r="16" customFormat="false" ht="15" hidden="false" customHeight="false" outlineLevel="0" collapsed="false">
      <c r="A16" s="0" t="n">
        <f aca="false">IF(Visitas!A16="","",Visitas!A16)</f>
        <v>15</v>
      </c>
      <c r="B16" s="0" t="str">
        <f aca="false">IF($A16="","",Visitas!C16)</f>
        <v>2023</v>
      </c>
      <c r="C16" s="7" t="n">
        <f aca="false">IF($A16="","",Visitas!D16)</f>
        <v>45124</v>
      </c>
      <c r="D16" s="0" t="str">
        <f aca="false">IF($A16="","",Visitas!B16)</f>
        <v>Núcleo de Especialidades de Americana</v>
      </c>
      <c r="E16" s="0" t="str">
        <f aca="false">IF($A16="","",Visitas!F16)</f>
        <v>concluida</v>
      </c>
      <c r="F16" s="6" t="n">
        <f aca="false">IF($A16="","",SUMIFS(Avaliacoes!$G$2:$G$6000,Avaliacoes!$A$2:$A$6000,$A16,Avaliacoes!$F$2:$F$6000,"I",Avaliacoes!$H$2:$H$6000,0))</f>
        <v>11</v>
      </c>
      <c r="G16" s="6" t="n">
        <f aca="false">IF($A16="","",SUMIFS(Avaliacoes!$G$2:$G$6000,Avaliacoes!$A$2:$A$6000,$A16,Avaliacoes!$F$2:$F$6000,"II",Avaliacoes!$H$2:$H$6000,0))</f>
        <v>4</v>
      </c>
      <c r="H16" s="6" t="n">
        <f aca="false">IF($A16="","",SUMIFS(Avaliacoes!$G$2:$G$6000,Avaliacoes!$A$2:$A$6000,$A16,Avaliacoes!$F$2:$F$6000,"III",Avaliacoes!$H$2:$H$6000,0))</f>
        <v>1</v>
      </c>
      <c r="I16" s="6" t="n">
        <f aca="false">IF($A16="","",SUMIFS(Avaliacoes!$G$2:$G$6000,Avaliacoes!$A$2:$A$6000,$A16,Avaliacoes!$F$2:$F$6000,"IV",Avaliacoes!$H$2:$H$6000,0))</f>
        <v>2</v>
      </c>
      <c r="J16" s="6" t="n">
        <f aca="false">IF($A16="","",COUNTIFS(Avaliacoes!$A$2:$A$6000,$A16,Avaliacoes!$F$2:$F$6000,"I",Avaliacoes!$H$2:$H$6000,0,Avaliacoes!$G$2:$G$6000,"&lt;&gt;")*Dimensoes!$E$2)</f>
        <v>14</v>
      </c>
      <c r="K16" s="6" t="n">
        <f aca="false">IF($A16="","",COUNTIFS(Avaliacoes!$A$2:$A$6000,$A16,Avaliacoes!$F$2:$F$6000,"II",Avaliacoes!$H$2:$H$6000,0,Avaliacoes!$G$2:$G$6000,"&lt;&gt;")*Dimensoes!$E$3)</f>
        <v>8</v>
      </c>
      <c r="L16" s="6" t="n">
        <f aca="false">IF($A16="","",COUNTIFS(Avaliacoes!$A$2:$A$6000,$A16,Avaliacoes!$F$2:$F$6000,"III",Avaliacoes!$H$2:$H$6000,0,Avaliacoes!$G$2:$G$6000,"&lt;&gt;")*Dimensoes!$E$4)</f>
        <v>2</v>
      </c>
      <c r="M16" s="6" t="n">
        <f aca="false">IF($A16="","",COUNTIFS(Avaliacoes!$A$2:$A$6000,$A16,Avaliacoes!$F$2:$F$6000,"IV",Avaliacoes!$H$2:$H$6000,0,Avaliacoes!$G$2:$G$6000,"&lt;&gt;")*Dimensoes!$E$5)</f>
        <v>4</v>
      </c>
      <c r="N16" s="9" t="n">
        <f aca="false">IF($A16="","",IF(J16&gt;0,F16/J16,""))</f>
        <v>0.785714285714286</v>
      </c>
      <c r="O16" s="9" t="n">
        <f aca="false">IF($A16="","",IF(K16&gt;0,G16/K16,""))</f>
        <v>0.5</v>
      </c>
      <c r="P16" s="9" t="n">
        <f aca="false">IF($A16="","",IF(L16&gt;0,H16/L16,""))</f>
        <v>0.5</v>
      </c>
      <c r="Q16" s="9" t="n">
        <f aca="false">IF($A16="","",IF(M16&gt;0,I16/M16,""))</f>
        <v>0.5</v>
      </c>
      <c r="R16" s="17" t="n">
        <f aca="false">IF($A16="","",IF((IF(N16="",0,Dimensoes!$C$2)+IF(O16="",0,Dimensoes!$C$3)+IF(P16="",0,Dimensoes!$C$4)+IF(Q16="",0,Dimensoes!$C$5))=0,"",(IF(N16="",0,N16*Dimensoes!$C$2)+IF(O16="",0,O16*Dimensoes!$C$3)+IF(P16="",0,P16*Dimensoes!$C$4)+IF(Q16="",0,Q16*Dimensoes!$C$5))/(IF(N16="",0,Dimensoes!$C$2)+IF(O16="",0,Dimensoes!$C$3)+IF(P16="",0,Dimensoes!$C$4)+IF(Q16="",0,Dimensoes!$C$5))))</f>
        <v>0.571428571428571</v>
      </c>
      <c r="S16" s="0" t="str">
        <f aca="false">IF(R16="","",IF(R16&lt;Faixas!$C$3,"vermelho",IF(R16&lt;Faixas!$C$4,"amarelo","verde")))</f>
        <v>amarelo</v>
      </c>
      <c r="T16" s="9" t="n">
        <f aca="false">IF($A16="","",IF(N16="",0,N16*Dimensoes!$C$2)+IF(O16="",0,O16*Dimensoes!$C$3)+IF(P16="",0,P16*Dimensoes!$C$4)+IF(Q16="",0,Q16*Dimensoes!$C$5))</f>
        <v>0.571428571428571</v>
      </c>
      <c r="U16" s="6" t="n">
        <f aca="false">IF($A16="","",IF(OR(E16="concluida",E16="incompleta"),1,0))</f>
        <v>1</v>
      </c>
    </row>
    <row r="17" customFormat="false" ht="15" hidden="false" customHeight="false" outlineLevel="0" collapsed="false">
      <c r="A17" s="0" t="n">
        <f aca="false">IF(Visitas!A17="","",Visitas!A17)</f>
        <v>16</v>
      </c>
      <c r="B17" s="0" t="str">
        <f aca="false">IF($A17="","",Visitas!C17)</f>
        <v>2023</v>
      </c>
      <c r="C17" s="7" t="n">
        <f aca="false">IF($A17="","",Visitas!D17)</f>
        <v>45222</v>
      </c>
      <c r="D17" s="0" t="str">
        <f aca="false">IF($A17="","",Visitas!B17)</f>
        <v>UPA São José</v>
      </c>
      <c r="E17" s="0" t="str">
        <f aca="false">IF($A17="","",Visitas!F17)</f>
        <v>concluida</v>
      </c>
      <c r="F17" s="6" t="n">
        <f aca="false">IF($A17="","",SUMIFS(Avaliacoes!$G$2:$G$6000,Avaliacoes!$A$2:$A$6000,$A17,Avaliacoes!$F$2:$F$6000,"I",Avaliacoes!$H$2:$H$6000,0))</f>
        <v>14</v>
      </c>
      <c r="G17" s="6" t="n">
        <f aca="false">IF($A17="","",SUMIFS(Avaliacoes!$G$2:$G$6000,Avaliacoes!$A$2:$A$6000,$A17,Avaliacoes!$F$2:$F$6000,"II",Avaliacoes!$H$2:$H$6000,0))</f>
        <v>6</v>
      </c>
      <c r="H17" s="6" t="n">
        <f aca="false">IF($A17="","",SUMIFS(Avaliacoes!$G$2:$G$6000,Avaliacoes!$A$2:$A$6000,$A17,Avaliacoes!$F$2:$F$6000,"III",Avaliacoes!$H$2:$H$6000,0))</f>
        <v>0</v>
      </c>
      <c r="I17" s="6" t="n">
        <f aca="false">IF($A17="","",SUMIFS(Avaliacoes!$G$2:$G$6000,Avaliacoes!$A$2:$A$6000,$A17,Avaliacoes!$F$2:$F$6000,"IV",Avaliacoes!$H$2:$H$6000,0))</f>
        <v>4</v>
      </c>
      <c r="J17" s="6" t="n">
        <f aca="false">IF($A17="","",COUNTIFS(Avaliacoes!$A$2:$A$6000,$A17,Avaliacoes!$F$2:$F$6000,"I",Avaliacoes!$H$2:$H$6000,0,Avaliacoes!$G$2:$G$6000,"&lt;&gt;")*Dimensoes!$E$2)</f>
        <v>14</v>
      </c>
      <c r="K17" s="6" t="n">
        <f aca="false">IF($A17="","",COUNTIFS(Avaliacoes!$A$2:$A$6000,$A17,Avaliacoes!$F$2:$F$6000,"II",Avaliacoes!$H$2:$H$6000,0,Avaliacoes!$G$2:$G$6000,"&lt;&gt;")*Dimensoes!$E$3)</f>
        <v>8</v>
      </c>
      <c r="L17" s="6" t="n">
        <f aca="false">IF($A17="","",COUNTIFS(Avaliacoes!$A$2:$A$6000,$A17,Avaliacoes!$F$2:$F$6000,"III",Avaliacoes!$H$2:$H$6000,0,Avaliacoes!$G$2:$G$6000,"&lt;&gt;")*Dimensoes!$E$4)</f>
        <v>2</v>
      </c>
      <c r="M17" s="6" t="n">
        <f aca="false">IF($A17="","",COUNTIFS(Avaliacoes!$A$2:$A$6000,$A17,Avaliacoes!$F$2:$F$6000,"IV",Avaliacoes!$H$2:$H$6000,0,Avaliacoes!$G$2:$G$6000,"&lt;&gt;")*Dimensoes!$E$5)</f>
        <v>4</v>
      </c>
      <c r="N17" s="9" t="n">
        <f aca="false">IF($A17="","",IF(J17&gt;0,F17/J17,""))</f>
        <v>1</v>
      </c>
      <c r="O17" s="9" t="n">
        <f aca="false">IF($A17="","",IF(K17&gt;0,G17/K17,""))</f>
        <v>0.75</v>
      </c>
      <c r="P17" s="9" t="n">
        <f aca="false">IF($A17="","",IF(L17&gt;0,H17/L17,""))</f>
        <v>0</v>
      </c>
      <c r="Q17" s="9" t="n">
        <f aca="false">IF($A17="","",IF(M17&gt;0,I17/M17,""))</f>
        <v>1</v>
      </c>
      <c r="R17" s="17" t="n">
        <f aca="false">IF($A17="","",IF((IF(N17="",0,Dimensoes!$C$2)+IF(O17="",0,Dimensoes!$C$3)+IF(P17="",0,Dimensoes!$C$4)+IF(Q17="",0,Dimensoes!$C$5))=0,"",(IF(N17="",0,N17*Dimensoes!$C$2)+IF(O17="",0,O17*Dimensoes!$C$3)+IF(P17="",0,P17*Dimensoes!$C$4)+IF(Q17="",0,Q17*Dimensoes!$C$5))/(IF(N17="",0,Dimensoes!$C$2)+IF(O17="",0,Dimensoes!$C$3)+IF(P17="",0,Dimensoes!$C$4)+IF(Q17="",0,Dimensoes!$C$5))))</f>
        <v>0.6875</v>
      </c>
      <c r="S17" s="0" t="str">
        <f aca="false">IF(R17="","",IF(R17&lt;Faixas!$C$3,"vermelho",IF(R17&lt;Faixas!$C$4,"amarelo","verde")))</f>
        <v>amarelo</v>
      </c>
      <c r="T17" s="9" t="n">
        <f aca="false">IF($A17="","",IF(N17="",0,N17*Dimensoes!$C$2)+IF(O17="",0,O17*Dimensoes!$C$3)+IF(P17="",0,P17*Dimensoes!$C$4)+IF(Q17="",0,Q17*Dimensoes!$C$5))</f>
        <v>0.6875</v>
      </c>
      <c r="U17" s="6" t="n">
        <f aca="false">IF($A17="","",IF(OR(E17="concluida",E17="incompleta"),1,0))</f>
        <v>1</v>
      </c>
    </row>
    <row r="18" customFormat="false" ht="15" hidden="false" customHeight="false" outlineLevel="0" collapsed="false">
      <c r="A18" s="0" t="n">
        <f aca="false">IF(Visitas!A18="","",Visitas!A18)</f>
        <v>17</v>
      </c>
      <c r="B18" s="0" t="str">
        <f aca="false">IF($A18="","",Visitas!C18)</f>
        <v>2023</v>
      </c>
      <c r="C18" s="7" t="n">
        <f aca="false">IF($A18="","",Visitas!D18)</f>
        <v>45198</v>
      </c>
      <c r="D18" s="0" t="str">
        <f aca="false">IF($A18="","",Visitas!B18)</f>
        <v>PA Antonio Zanaga</v>
      </c>
      <c r="E18" s="0" t="str">
        <f aca="false">IF($A18="","",Visitas!F18)</f>
        <v>incompleta</v>
      </c>
      <c r="F18" s="6" t="n">
        <f aca="false">IF($A18="","",SUMIFS(Avaliacoes!$G$2:$G$6000,Avaliacoes!$A$2:$A$6000,$A18,Avaliacoes!$F$2:$F$6000,"I",Avaliacoes!$H$2:$H$6000,0))</f>
        <v>7</v>
      </c>
      <c r="G18" s="6" t="n">
        <f aca="false">IF($A18="","",SUMIFS(Avaliacoes!$G$2:$G$6000,Avaliacoes!$A$2:$A$6000,$A18,Avaliacoes!$F$2:$F$6000,"II",Avaliacoes!$H$2:$H$6000,0))</f>
        <v>6</v>
      </c>
      <c r="H18" s="6" t="n">
        <f aca="false">IF($A18="","",SUMIFS(Avaliacoes!$G$2:$G$6000,Avaliacoes!$A$2:$A$6000,$A18,Avaliacoes!$F$2:$F$6000,"III",Avaliacoes!$H$2:$H$6000,0))</f>
        <v>1</v>
      </c>
      <c r="I18" s="6" t="n">
        <f aca="false">IF($A18="","",SUMIFS(Avaliacoes!$G$2:$G$6000,Avaliacoes!$A$2:$A$6000,$A18,Avaliacoes!$F$2:$F$6000,"IV",Avaliacoes!$H$2:$H$6000,0))</f>
        <v>2</v>
      </c>
      <c r="J18" s="6" t="n">
        <f aca="false">IF($A18="","",COUNTIFS(Avaliacoes!$A$2:$A$6000,$A18,Avaliacoes!$F$2:$F$6000,"I",Avaliacoes!$H$2:$H$6000,0,Avaliacoes!$G$2:$G$6000,"&lt;&gt;")*Dimensoes!$E$2)</f>
        <v>12</v>
      </c>
      <c r="K18" s="6" t="n">
        <f aca="false">IF($A18="","",COUNTIFS(Avaliacoes!$A$2:$A$6000,$A18,Avaliacoes!$F$2:$F$6000,"II",Avaliacoes!$H$2:$H$6000,0,Avaliacoes!$G$2:$G$6000,"&lt;&gt;")*Dimensoes!$E$3)</f>
        <v>8</v>
      </c>
      <c r="L18" s="6" t="n">
        <f aca="false">IF($A18="","",COUNTIFS(Avaliacoes!$A$2:$A$6000,$A18,Avaliacoes!$F$2:$F$6000,"III",Avaliacoes!$H$2:$H$6000,0,Avaliacoes!$G$2:$G$6000,"&lt;&gt;")*Dimensoes!$E$4)</f>
        <v>2</v>
      </c>
      <c r="M18" s="6" t="n">
        <f aca="false">IF($A18="","",COUNTIFS(Avaliacoes!$A$2:$A$6000,$A18,Avaliacoes!$F$2:$F$6000,"IV",Avaliacoes!$H$2:$H$6000,0,Avaliacoes!$G$2:$G$6000,"&lt;&gt;")*Dimensoes!$E$5)</f>
        <v>4</v>
      </c>
      <c r="N18" s="9" t="n">
        <f aca="false">IF($A18="","",IF(J18&gt;0,F18/J18,""))</f>
        <v>0.583333333333333</v>
      </c>
      <c r="O18" s="9" t="n">
        <f aca="false">IF($A18="","",IF(K18&gt;0,G18/K18,""))</f>
        <v>0.75</v>
      </c>
      <c r="P18" s="9" t="n">
        <f aca="false">IF($A18="","",IF(L18&gt;0,H18/L18,""))</f>
        <v>0.5</v>
      </c>
      <c r="Q18" s="9" t="n">
        <f aca="false">IF($A18="","",IF(M18&gt;0,I18/M18,""))</f>
        <v>0.5</v>
      </c>
      <c r="R18" s="17" t="n">
        <f aca="false">IF($A18="","",IF((IF(N18="",0,Dimensoes!$C$2)+IF(O18="",0,Dimensoes!$C$3)+IF(P18="",0,Dimensoes!$C$4)+IF(Q18="",0,Dimensoes!$C$5))=0,"",(IF(N18="",0,N18*Dimensoes!$C$2)+IF(O18="",0,O18*Dimensoes!$C$3)+IF(P18="",0,P18*Dimensoes!$C$4)+IF(Q18="",0,Q18*Dimensoes!$C$5))/(IF(N18="",0,Dimensoes!$C$2)+IF(O18="",0,Dimensoes!$C$3)+IF(P18="",0,Dimensoes!$C$4)+IF(Q18="",0,Dimensoes!$C$5))))</f>
        <v>0.583333333333333</v>
      </c>
      <c r="S18" s="0" t="str">
        <f aca="false">IF(R18="","",IF(R18&lt;Faixas!$C$3,"vermelho",IF(R18&lt;Faixas!$C$4,"amarelo","verde")))</f>
        <v>amarelo</v>
      </c>
      <c r="T18" s="9" t="n">
        <f aca="false">IF($A18="","",IF(N18="",0,N18*Dimensoes!$C$2)+IF(O18="",0,O18*Dimensoes!$C$3)+IF(P18="",0,P18*Dimensoes!$C$4)+IF(Q18="",0,Q18*Dimensoes!$C$5))</f>
        <v>0.583333333333333</v>
      </c>
      <c r="U18" s="6" t="n">
        <f aca="false">IF($A18="","",IF(OR(E18="concluida",E18="incompleta"),1,0))</f>
        <v>1</v>
      </c>
    </row>
    <row r="19" customFormat="false" ht="15" hidden="false" customHeight="false" outlineLevel="0" collapsed="false">
      <c r="A19" s="0" t="n">
        <f aca="false">IF(Visitas!A19="","",Visitas!A19)</f>
        <v>18</v>
      </c>
      <c r="B19" s="0" t="str">
        <f aca="false">IF($A19="","",Visitas!C19)</f>
        <v>2023</v>
      </c>
      <c r="C19" s="7" t="n">
        <f aca="false">IF($A19="","",Visitas!D19)</f>
        <v>45268</v>
      </c>
      <c r="D19" s="0" t="str">
        <f aca="false">IF($A19="","",Visitas!B19)</f>
        <v>UNACON - Unidade de Oncologia</v>
      </c>
      <c r="E19" s="0" t="str">
        <f aca="false">IF($A19="","",Visitas!F19)</f>
        <v>concluida</v>
      </c>
      <c r="F19" s="6" t="n">
        <f aca="false">IF($A19="","",SUMIFS(Avaliacoes!$G$2:$G$6000,Avaliacoes!$A$2:$A$6000,$A19,Avaliacoes!$F$2:$F$6000,"I",Avaliacoes!$H$2:$H$6000,0))</f>
        <v>13</v>
      </c>
      <c r="G19" s="6" t="n">
        <f aca="false">IF($A19="","",SUMIFS(Avaliacoes!$G$2:$G$6000,Avaliacoes!$A$2:$A$6000,$A19,Avaliacoes!$F$2:$F$6000,"II",Avaliacoes!$H$2:$H$6000,0))</f>
        <v>7</v>
      </c>
      <c r="H19" s="6" t="n">
        <f aca="false">IF($A19="","",SUMIFS(Avaliacoes!$G$2:$G$6000,Avaliacoes!$A$2:$A$6000,$A19,Avaliacoes!$F$2:$F$6000,"III",Avaliacoes!$H$2:$H$6000,0))</f>
        <v>2</v>
      </c>
      <c r="I19" s="6" t="n">
        <f aca="false">IF($A19="","",SUMIFS(Avaliacoes!$G$2:$G$6000,Avaliacoes!$A$2:$A$6000,$A19,Avaliacoes!$F$2:$F$6000,"IV",Avaliacoes!$H$2:$H$6000,0))</f>
        <v>4</v>
      </c>
      <c r="J19" s="6" t="n">
        <f aca="false">IF($A19="","",COUNTIFS(Avaliacoes!$A$2:$A$6000,$A19,Avaliacoes!$F$2:$F$6000,"I",Avaliacoes!$H$2:$H$6000,0,Avaliacoes!$G$2:$G$6000,"&lt;&gt;")*Dimensoes!$E$2)</f>
        <v>14</v>
      </c>
      <c r="K19" s="6" t="n">
        <f aca="false">IF($A19="","",COUNTIFS(Avaliacoes!$A$2:$A$6000,$A19,Avaliacoes!$F$2:$F$6000,"II",Avaliacoes!$H$2:$H$6000,0,Avaliacoes!$G$2:$G$6000,"&lt;&gt;")*Dimensoes!$E$3)</f>
        <v>8</v>
      </c>
      <c r="L19" s="6" t="n">
        <f aca="false">IF($A19="","",COUNTIFS(Avaliacoes!$A$2:$A$6000,$A19,Avaliacoes!$F$2:$F$6000,"III",Avaliacoes!$H$2:$H$6000,0,Avaliacoes!$G$2:$G$6000,"&lt;&gt;")*Dimensoes!$E$4)</f>
        <v>2</v>
      </c>
      <c r="M19" s="6" t="n">
        <f aca="false">IF($A19="","",COUNTIFS(Avaliacoes!$A$2:$A$6000,$A19,Avaliacoes!$F$2:$F$6000,"IV",Avaliacoes!$H$2:$H$6000,0,Avaliacoes!$G$2:$G$6000,"&lt;&gt;")*Dimensoes!$E$5)</f>
        <v>4</v>
      </c>
      <c r="N19" s="9" t="n">
        <f aca="false">IF($A19="","",IF(J19&gt;0,F19/J19,""))</f>
        <v>0.928571428571429</v>
      </c>
      <c r="O19" s="9" t="n">
        <f aca="false">IF($A19="","",IF(K19&gt;0,G19/K19,""))</f>
        <v>0.875</v>
      </c>
      <c r="P19" s="9" t="n">
        <f aca="false">IF($A19="","",IF(L19&gt;0,H19/L19,""))</f>
        <v>1</v>
      </c>
      <c r="Q19" s="9" t="n">
        <f aca="false">IF($A19="","",IF(M19&gt;0,I19/M19,""))</f>
        <v>1</v>
      </c>
      <c r="R19" s="17" t="n">
        <f aca="false">IF($A19="","",IF((IF(N19="",0,Dimensoes!$C$2)+IF(O19="",0,Dimensoes!$C$3)+IF(P19="",0,Dimensoes!$C$4)+IF(Q19="",0,Dimensoes!$C$5))=0,"",(IF(N19="",0,N19*Dimensoes!$C$2)+IF(O19="",0,O19*Dimensoes!$C$3)+IF(P19="",0,P19*Dimensoes!$C$4)+IF(Q19="",0,Q19*Dimensoes!$C$5))/(IF(N19="",0,Dimensoes!$C$2)+IF(O19="",0,Dimensoes!$C$3)+IF(P19="",0,Dimensoes!$C$4)+IF(Q19="",0,Dimensoes!$C$5))))</f>
        <v>0.950892857142857</v>
      </c>
      <c r="S19" s="0" t="str">
        <f aca="false">IF(R19="","",IF(R19&lt;Faixas!$C$3,"vermelho",IF(R19&lt;Faixas!$C$4,"amarelo","verde")))</f>
        <v>verde</v>
      </c>
      <c r="T19" s="9" t="n">
        <f aca="false">IF($A19="","",IF(N19="",0,N19*Dimensoes!$C$2)+IF(O19="",0,O19*Dimensoes!$C$3)+IF(P19="",0,P19*Dimensoes!$C$4)+IF(Q19="",0,Q19*Dimensoes!$C$5))</f>
        <v>0.950892857142857</v>
      </c>
      <c r="U19" s="6" t="n">
        <f aca="false">IF($A19="","",IF(OR(E19="concluida",E19="incompleta"),1,0))</f>
        <v>1</v>
      </c>
    </row>
    <row r="20" customFormat="false" ht="15" hidden="false" customHeight="false" outlineLevel="0" collapsed="false">
      <c r="A20" s="0" t="n">
        <f aca="false">IF(Visitas!A20="","",Visitas!A20)</f>
        <v>19</v>
      </c>
      <c r="B20" s="0" t="str">
        <f aca="false">IF($A20="","",Visitas!C20)</f>
        <v>2023</v>
      </c>
      <c r="C20" s="7" t="n">
        <f aca="false">IF($A20="","",Visitas!D20)</f>
        <v>45162</v>
      </c>
      <c r="D20" s="0" t="str">
        <f aca="false">IF($A20="","",Visitas!B20)</f>
        <v>CCZ - Centro de Controle de Zoonoses</v>
      </c>
      <c r="E20" s="0" t="str">
        <f aca="false">IF($A20="","",Visitas!F20)</f>
        <v>concluida</v>
      </c>
      <c r="F20" s="6" t="n">
        <f aca="false">IF($A20="","",SUMIFS(Avaliacoes!$G$2:$G$6000,Avaliacoes!$A$2:$A$6000,$A20,Avaliacoes!$F$2:$F$6000,"I",Avaliacoes!$H$2:$H$6000,0))</f>
        <v>1</v>
      </c>
      <c r="G20" s="6" t="n">
        <f aca="false">IF($A20="","",SUMIFS(Avaliacoes!$G$2:$G$6000,Avaliacoes!$A$2:$A$6000,$A20,Avaliacoes!$F$2:$F$6000,"II",Avaliacoes!$H$2:$H$6000,0))</f>
        <v>3</v>
      </c>
      <c r="H20" s="6" t="n">
        <f aca="false">IF($A20="","",SUMIFS(Avaliacoes!$G$2:$G$6000,Avaliacoes!$A$2:$A$6000,$A20,Avaliacoes!$F$2:$F$6000,"III",Avaliacoes!$H$2:$H$6000,0))</f>
        <v>1</v>
      </c>
      <c r="I20" s="6" t="n">
        <f aca="false">IF($A20="","",SUMIFS(Avaliacoes!$G$2:$G$6000,Avaliacoes!$A$2:$A$6000,$A20,Avaliacoes!$F$2:$F$6000,"IV",Avaliacoes!$H$2:$H$6000,0))</f>
        <v>3</v>
      </c>
      <c r="J20" s="6" t="n">
        <f aca="false">IF($A20="","",COUNTIFS(Avaliacoes!$A$2:$A$6000,$A20,Avaliacoes!$F$2:$F$6000,"I",Avaliacoes!$H$2:$H$6000,0,Avaliacoes!$G$2:$G$6000,"&lt;&gt;")*Dimensoes!$E$2)</f>
        <v>14</v>
      </c>
      <c r="K20" s="6" t="n">
        <f aca="false">IF($A20="","",COUNTIFS(Avaliacoes!$A$2:$A$6000,$A20,Avaliacoes!$F$2:$F$6000,"II",Avaliacoes!$H$2:$H$6000,0,Avaliacoes!$G$2:$G$6000,"&lt;&gt;")*Dimensoes!$E$3)</f>
        <v>8</v>
      </c>
      <c r="L20" s="6" t="n">
        <f aca="false">IF($A20="","",COUNTIFS(Avaliacoes!$A$2:$A$6000,$A20,Avaliacoes!$F$2:$F$6000,"III",Avaliacoes!$H$2:$H$6000,0,Avaliacoes!$G$2:$G$6000,"&lt;&gt;")*Dimensoes!$E$4)</f>
        <v>2</v>
      </c>
      <c r="M20" s="6" t="n">
        <f aca="false">IF($A20="","",COUNTIFS(Avaliacoes!$A$2:$A$6000,$A20,Avaliacoes!$F$2:$F$6000,"IV",Avaliacoes!$H$2:$H$6000,0,Avaliacoes!$G$2:$G$6000,"&lt;&gt;")*Dimensoes!$E$5)</f>
        <v>4</v>
      </c>
      <c r="N20" s="9" t="n">
        <f aca="false">IF($A20="","",IF(J20&gt;0,F20/J20,""))</f>
        <v>0.0714285714285714</v>
      </c>
      <c r="O20" s="9" t="n">
        <f aca="false">IF($A20="","",IF(K20&gt;0,G20/K20,""))</f>
        <v>0.375</v>
      </c>
      <c r="P20" s="9" t="n">
        <f aca="false">IF($A20="","",IF(L20&gt;0,H20/L20,""))</f>
        <v>0.5</v>
      </c>
      <c r="Q20" s="9" t="n">
        <f aca="false">IF($A20="","",IF(M20&gt;0,I20/M20,""))</f>
        <v>0.75</v>
      </c>
      <c r="R20" s="17" t="n">
        <f aca="false">IF($A20="","",IF((IF(N20="",0,Dimensoes!$C$2)+IF(O20="",0,Dimensoes!$C$3)+IF(P20="",0,Dimensoes!$C$4)+IF(Q20="",0,Dimensoes!$C$5))=0,"",(IF(N20="",0,N20*Dimensoes!$C$2)+IF(O20="",0,O20*Dimensoes!$C$3)+IF(P20="",0,P20*Dimensoes!$C$4)+IF(Q20="",0,Q20*Dimensoes!$C$5))/(IF(N20="",0,Dimensoes!$C$2)+IF(O20="",0,Dimensoes!$C$3)+IF(P20="",0,Dimensoes!$C$4)+IF(Q20="",0,Dimensoes!$C$5))))</f>
        <v>0.424107142857143</v>
      </c>
      <c r="S20" s="0" t="str">
        <f aca="false">IF(R20="","",IF(R20&lt;Faixas!$C$3,"vermelho",IF(R20&lt;Faixas!$C$4,"amarelo","verde")))</f>
        <v>amarelo</v>
      </c>
      <c r="T20" s="9" t="n">
        <f aca="false">IF($A20="","",IF(N20="",0,N20*Dimensoes!$C$2)+IF(O20="",0,O20*Dimensoes!$C$3)+IF(P20="",0,P20*Dimensoes!$C$4)+IF(Q20="",0,Q20*Dimensoes!$C$5))</f>
        <v>0.424107142857143</v>
      </c>
      <c r="U20" s="6" t="n">
        <f aca="false">IF($A20="","",IF(OR(E20="concluida",E20="incompleta"),1,0))</f>
        <v>1</v>
      </c>
    </row>
    <row r="21" customFormat="false" ht="15" hidden="false" customHeight="false" outlineLevel="0" collapsed="false">
      <c r="A21" s="0" t="n">
        <f aca="false">IF(Visitas!A21="","",Visitas!A21)</f>
        <v>20</v>
      </c>
      <c r="B21" s="0" t="str">
        <f aca="false">IF($A21="","",Visitas!C21)</f>
        <v>2023</v>
      </c>
      <c r="C21" s="7" t="n">
        <f aca="false">IF($A21="","",Visitas!D21)</f>
        <v>45268</v>
      </c>
      <c r="D21" s="0" t="str">
        <f aca="false">IF($A21="","",Visitas!B21)</f>
        <v>CTA - Centro de Testagem e Aconselhamento</v>
      </c>
      <c r="E21" s="0" t="str">
        <f aca="false">IF($A21="","",Visitas!F21)</f>
        <v>concluida</v>
      </c>
      <c r="F21" s="6" t="n">
        <f aca="false">IF($A21="","",SUMIFS(Avaliacoes!$G$2:$G$6000,Avaliacoes!$A$2:$A$6000,$A21,Avaliacoes!$F$2:$F$6000,"I",Avaliacoes!$H$2:$H$6000,0))</f>
        <v>12</v>
      </c>
      <c r="G21" s="6" t="n">
        <f aca="false">IF($A21="","",SUMIFS(Avaliacoes!$G$2:$G$6000,Avaliacoes!$A$2:$A$6000,$A21,Avaliacoes!$F$2:$F$6000,"II",Avaliacoes!$H$2:$H$6000,0))</f>
        <v>6</v>
      </c>
      <c r="H21" s="6" t="n">
        <f aca="false">IF($A21="","",SUMIFS(Avaliacoes!$G$2:$G$6000,Avaliacoes!$A$2:$A$6000,$A21,Avaliacoes!$F$2:$F$6000,"III",Avaliacoes!$H$2:$H$6000,0))</f>
        <v>1</v>
      </c>
      <c r="I21" s="6" t="n">
        <f aca="false">IF($A21="","",SUMIFS(Avaliacoes!$G$2:$G$6000,Avaliacoes!$A$2:$A$6000,$A21,Avaliacoes!$F$2:$F$6000,"IV",Avaliacoes!$H$2:$H$6000,0))</f>
        <v>4</v>
      </c>
      <c r="J21" s="6" t="n">
        <f aca="false">IF($A21="","",COUNTIFS(Avaliacoes!$A$2:$A$6000,$A21,Avaliacoes!$F$2:$F$6000,"I",Avaliacoes!$H$2:$H$6000,0,Avaliacoes!$G$2:$G$6000,"&lt;&gt;")*Dimensoes!$E$2)</f>
        <v>14</v>
      </c>
      <c r="K21" s="6" t="n">
        <f aca="false">IF($A21="","",COUNTIFS(Avaliacoes!$A$2:$A$6000,$A21,Avaliacoes!$F$2:$F$6000,"II",Avaliacoes!$H$2:$H$6000,0,Avaliacoes!$G$2:$G$6000,"&lt;&gt;")*Dimensoes!$E$3)</f>
        <v>8</v>
      </c>
      <c r="L21" s="6" t="n">
        <f aca="false">IF($A21="","",COUNTIFS(Avaliacoes!$A$2:$A$6000,$A21,Avaliacoes!$F$2:$F$6000,"III",Avaliacoes!$H$2:$H$6000,0,Avaliacoes!$G$2:$G$6000,"&lt;&gt;")*Dimensoes!$E$4)</f>
        <v>2</v>
      </c>
      <c r="M21" s="6" t="n">
        <f aca="false">IF($A21="","",COUNTIFS(Avaliacoes!$A$2:$A$6000,$A21,Avaliacoes!$F$2:$F$6000,"IV",Avaliacoes!$H$2:$H$6000,0,Avaliacoes!$G$2:$G$6000,"&lt;&gt;")*Dimensoes!$E$5)</f>
        <v>4</v>
      </c>
      <c r="N21" s="9" t="n">
        <f aca="false">IF($A21="","",IF(J21&gt;0,F21/J21,""))</f>
        <v>0.857142857142857</v>
      </c>
      <c r="O21" s="9" t="n">
        <f aca="false">IF($A21="","",IF(K21&gt;0,G21/K21,""))</f>
        <v>0.75</v>
      </c>
      <c r="P21" s="9" t="n">
        <f aca="false">IF($A21="","",IF(L21&gt;0,H21/L21,""))</f>
        <v>0.5</v>
      </c>
      <c r="Q21" s="9" t="n">
        <f aca="false">IF($A21="","",IF(M21&gt;0,I21/M21,""))</f>
        <v>1</v>
      </c>
      <c r="R21" s="17" t="n">
        <f aca="false">IF($A21="","",IF((IF(N21="",0,Dimensoes!$C$2)+IF(O21="",0,Dimensoes!$C$3)+IF(P21="",0,Dimensoes!$C$4)+IF(Q21="",0,Dimensoes!$C$5))=0,"",(IF(N21="",0,N21*Dimensoes!$C$2)+IF(O21="",0,O21*Dimensoes!$C$3)+IF(P21="",0,P21*Dimensoes!$C$4)+IF(Q21="",0,Q21*Dimensoes!$C$5))/(IF(N21="",0,Dimensoes!$C$2)+IF(O21="",0,Dimensoes!$C$3)+IF(P21="",0,Dimensoes!$C$4)+IF(Q21="",0,Dimensoes!$C$5))))</f>
        <v>0.776785714285714</v>
      </c>
      <c r="S21" s="0" t="str">
        <f aca="false">IF(R21="","",IF(R21&lt;Faixas!$C$3,"vermelho",IF(R21&lt;Faixas!$C$4,"amarelo","verde")))</f>
        <v>amarelo</v>
      </c>
      <c r="T21" s="9" t="n">
        <f aca="false">IF($A21="","",IF(N21="",0,N21*Dimensoes!$C$2)+IF(O21="",0,O21*Dimensoes!$C$3)+IF(P21="",0,P21*Dimensoes!$C$4)+IF(Q21="",0,Q21*Dimensoes!$C$5))</f>
        <v>0.776785714285714</v>
      </c>
      <c r="U21" s="6" t="n">
        <f aca="false">IF($A21="","",IF(OR(E21="concluida",E21="incompleta"),1,0))</f>
        <v>1</v>
      </c>
    </row>
    <row r="22" customFormat="false" ht="15" hidden="false" customHeight="false" outlineLevel="0" collapsed="false">
      <c r="A22" s="0" t="n">
        <f aca="false">IF(Visitas!A22="","",Visitas!A22)</f>
        <v>21</v>
      </c>
      <c r="B22" s="0" t="str">
        <f aca="false">IF($A22="","",Visitas!C22)</f>
        <v>2026</v>
      </c>
      <c r="C22" s="7" t="n">
        <f aca="false">IF($A22="","",Visitas!D22)</f>
        <v>46164</v>
      </c>
      <c r="D22" s="0" t="str">
        <f aca="false">IF($A22="","",Visitas!B22)</f>
        <v>UAD - Unidade de Atendimento Domiciliar</v>
      </c>
      <c r="E22" s="0" t="str">
        <f aca="false">IF($A22="","",Visitas!F22)</f>
        <v>concluida</v>
      </c>
      <c r="F22" s="6" t="n">
        <f aca="false">IF($A22="","",SUMIFS(Avaliacoes!$G$2:$G$6000,Avaliacoes!$A$2:$A$6000,$A22,Avaliacoes!$F$2:$F$6000,"I",Avaliacoes!$H$2:$H$6000,0))</f>
        <v>14</v>
      </c>
      <c r="G22" s="6" t="n">
        <f aca="false">IF($A22="","",SUMIFS(Avaliacoes!$G$2:$G$6000,Avaliacoes!$A$2:$A$6000,$A22,Avaliacoes!$F$2:$F$6000,"II",Avaliacoes!$H$2:$H$6000,0))</f>
        <v>8</v>
      </c>
      <c r="H22" s="6" t="n">
        <f aca="false">IF($A22="","",SUMIFS(Avaliacoes!$G$2:$G$6000,Avaliacoes!$A$2:$A$6000,$A22,Avaliacoes!$F$2:$F$6000,"III",Avaliacoes!$H$2:$H$6000,0))</f>
        <v>2</v>
      </c>
      <c r="I22" s="6" t="n">
        <f aca="false">IF($A22="","",SUMIFS(Avaliacoes!$G$2:$G$6000,Avaliacoes!$A$2:$A$6000,$A22,Avaliacoes!$F$2:$F$6000,"IV",Avaliacoes!$H$2:$H$6000,0))</f>
        <v>0</v>
      </c>
      <c r="J22" s="6" t="n">
        <f aca="false">IF($A22="","",COUNTIFS(Avaliacoes!$A$2:$A$6000,$A22,Avaliacoes!$F$2:$F$6000,"I",Avaliacoes!$H$2:$H$6000,0,Avaliacoes!$G$2:$G$6000,"&lt;&gt;")*Dimensoes!$E$2)</f>
        <v>14</v>
      </c>
      <c r="K22" s="6" t="n">
        <f aca="false">IF($A22="","",COUNTIFS(Avaliacoes!$A$2:$A$6000,$A22,Avaliacoes!$F$2:$F$6000,"II",Avaliacoes!$H$2:$H$6000,0,Avaliacoes!$G$2:$G$6000,"&lt;&gt;")*Dimensoes!$E$3)</f>
        <v>8</v>
      </c>
      <c r="L22" s="6" t="n">
        <f aca="false">IF($A22="","",COUNTIFS(Avaliacoes!$A$2:$A$6000,$A22,Avaliacoes!$F$2:$F$6000,"III",Avaliacoes!$H$2:$H$6000,0,Avaliacoes!$G$2:$G$6000,"&lt;&gt;")*Dimensoes!$E$4)</f>
        <v>2</v>
      </c>
      <c r="M22" s="6" t="n">
        <f aca="false">IF($A22="","",COUNTIFS(Avaliacoes!$A$2:$A$6000,$A22,Avaliacoes!$F$2:$F$6000,"IV",Avaliacoes!$H$2:$H$6000,0,Avaliacoes!$G$2:$G$6000,"&lt;&gt;")*Dimensoes!$E$5)</f>
        <v>0</v>
      </c>
      <c r="N22" s="9" t="n">
        <f aca="false">IF($A22="","",IF(J22&gt;0,F22/J22,""))</f>
        <v>1</v>
      </c>
      <c r="O22" s="9" t="n">
        <f aca="false">IF($A22="","",IF(K22&gt;0,G22/K22,""))</f>
        <v>1</v>
      </c>
      <c r="P22" s="9" t="n">
        <f aca="false">IF($A22="","",IF(L22&gt;0,H22/L22,""))</f>
        <v>1</v>
      </c>
      <c r="Q22" s="9" t="str">
        <f aca="false">IF($A22="","",IF(M22&gt;0,I22/M22,""))</f>
        <v/>
      </c>
      <c r="R22" s="17" t="n">
        <f aca="false">IF($A22="","",IF((IF(N22="",0,Dimensoes!$C$2)+IF(O22="",0,Dimensoes!$C$3)+IF(P22="",0,Dimensoes!$C$4)+IF(Q22="",0,Dimensoes!$C$5))=0,"",(IF(N22="",0,N22*Dimensoes!$C$2)+IF(O22="",0,O22*Dimensoes!$C$3)+IF(P22="",0,P22*Dimensoes!$C$4)+IF(Q22="",0,Q22*Dimensoes!$C$5))/(IF(N22="",0,Dimensoes!$C$2)+IF(O22="",0,Dimensoes!$C$3)+IF(P22="",0,Dimensoes!$C$4)+IF(Q22="",0,Dimensoes!$C$5))))</f>
        <v>1</v>
      </c>
      <c r="S22" s="0" t="str">
        <f aca="false">IF(R22="","",IF(R22&lt;Faixas!$C$3,"vermelho",IF(R22&lt;Faixas!$C$4,"amarelo","verde")))</f>
        <v>verde</v>
      </c>
      <c r="T22" s="9" t="n">
        <f aca="false">IF($A22="","",IF(N22="",0,N22*Dimensoes!$C$2)+IF(O22="",0,O22*Dimensoes!$C$3)+IF(P22="",0,P22*Dimensoes!$C$4)+IF(Q22="",0,Q22*Dimensoes!$C$5))</f>
        <v>0.75</v>
      </c>
      <c r="U22" s="6" t="n">
        <f aca="false">IF($A22="","",IF(OR(E22="concluida",E22="incompleta"),1,0))</f>
        <v>1</v>
      </c>
    </row>
    <row r="23" customFormat="false" ht="15" hidden="false" customHeight="false" outlineLevel="0" collapsed="false">
      <c r="A23" s="0" t="n">
        <f aca="false">IF(Visitas!A23="","",Visitas!A23)</f>
        <v>22</v>
      </c>
      <c r="B23" s="0" t="str">
        <f aca="false">IF($A23="","",Visitas!C23)</f>
        <v>2026</v>
      </c>
      <c r="C23" s="7" t="n">
        <f aca="false">IF($A23="","",Visitas!D23)</f>
        <v>46090</v>
      </c>
      <c r="D23" s="0" t="str">
        <f aca="false">IF($A23="","",Visitas!B23)</f>
        <v>UBS Jardim São Paulo</v>
      </c>
      <c r="E23" s="0" t="str">
        <f aca="false">IF($A23="","",Visitas!F23)</f>
        <v>concluida</v>
      </c>
      <c r="F23" s="6" t="n">
        <f aca="false">IF($A23="","",SUMIFS(Avaliacoes!$G$2:$G$6000,Avaliacoes!$A$2:$A$6000,$A23,Avaliacoes!$F$2:$F$6000,"I",Avaliacoes!$H$2:$H$6000,0))</f>
        <v>11</v>
      </c>
      <c r="G23" s="6" t="n">
        <f aca="false">IF($A23="","",SUMIFS(Avaliacoes!$G$2:$G$6000,Avaliacoes!$A$2:$A$6000,$A23,Avaliacoes!$F$2:$F$6000,"II",Avaliacoes!$H$2:$H$6000,0))</f>
        <v>8</v>
      </c>
      <c r="H23" s="6" t="n">
        <f aca="false">IF($A23="","",SUMIFS(Avaliacoes!$G$2:$G$6000,Avaliacoes!$A$2:$A$6000,$A23,Avaliacoes!$F$2:$F$6000,"III",Avaliacoes!$H$2:$H$6000,0))</f>
        <v>2</v>
      </c>
      <c r="I23" s="6" t="n">
        <f aca="false">IF($A23="","",SUMIFS(Avaliacoes!$G$2:$G$6000,Avaliacoes!$A$2:$A$6000,$A23,Avaliacoes!$F$2:$F$6000,"IV",Avaliacoes!$H$2:$H$6000,0))</f>
        <v>3</v>
      </c>
      <c r="J23" s="6" t="n">
        <f aca="false">IF($A23="","",COUNTIFS(Avaliacoes!$A$2:$A$6000,$A23,Avaliacoes!$F$2:$F$6000,"I",Avaliacoes!$H$2:$H$6000,0,Avaliacoes!$G$2:$G$6000,"&lt;&gt;")*Dimensoes!$E$2)</f>
        <v>14</v>
      </c>
      <c r="K23" s="6" t="n">
        <f aca="false">IF($A23="","",COUNTIFS(Avaliacoes!$A$2:$A$6000,$A23,Avaliacoes!$F$2:$F$6000,"II",Avaliacoes!$H$2:$H$6000,0,Avaliacoes!$G$2:$G$6000,"&lt;&gt;")*Dimensoes!$E$3)</f>
        <v>8</v>
      </c>
      <c r="L23" s="6" t="n">
        <f aca="false">IF($A23="","",COUNTIFS(Avaliacoes!$A$2:$A$6000,$A23,Avaliacoes!$F$2:$F$6000,"III",Avaliacoes!$H$2:$H$6000,0,Avaliacoes!$G$2:$G$6000,"&lt;&gt;")*Dimensoes!$E$4)</f>
        <v>2</v>
      </c>
      <c r="M23" s="6" t="n">
        <f aca="false">IF($A23="","",COUNTIFS(Avaliacoes!$A$2:$A$6000,$A23,Avaliacoes!$F$2:$F$6000,"IV",Avaliacoes!$H$2:$H$6000,0,Avaliacoes!$G$2:$G$6000,"&lt;&gt;")*Dimensoes!$E$5)</f>
        <v>4</v>
      </c>
      <c r="N23" s="9" t="n">
        <f aca="false">IF($A23="","",IF(J23&gt;0,F23/J23,""))</f>
        <v>0.785714285714286</v>
      </c>
      <c r="O23" s="9" t="n">
        <f aca="false">IF($A23="","",IF(K23&gt;0,G23/K23,""))</f>
        <v>1</v>
      </c>
      <c r="P23" s="9" t="n">
        <f aca="false">IF($A23="","",IF(L23&gt;0,H23/L23,""))</f>
        <v>1</v>
      </c>
      <c r="Q23" s="9" t="n">
        <f aca="false">IF($A23="","",IF(M23&gt;0,I23/M23,""))</f>
        <v>0.75</v>
      </c>
      <c r="R23" s="17" t="n">
        <f aca="false">IF($A23="","",IF((IF(N23="",0,Dimensoes!$C$2)+IF(O23="",0,Dimensoes!$C$3)+IF(P23="",0,Dimensoes!$C$4)+IF(Q23="",0,Dimensoes!$C$5))=0,"",(IF(N23="",0,N23*Dimensoes!$C$2)+IF(O23="",0,O23*Dimensoes!$C$3)+IF(P23="",0,P23*Dimensoes!$C$4)+IF(Q23="",0,Q23*Dimensoes!$C$5))/(IF(N23="",0,Dimensoes!$C$2)+IF(O23="",0,Dimensoes!$C$3)+IF(P23="",0,Dimensoes!$C$4)+IF(Q23="",0,Dimensoes!$C$5))))</f>
        <v>0.883928571428571</v>
      </c>
      <c r="S23" s="0" t="str">
        <f aca="false">IF(R23="","",IF(R23&lt;Faixas!$C$3,"vermelho",IF(R23&lt;Faixas!$C$4,"amarelo","verde")))</f>
        <v>verde</v>
      </c>
      <c r="T23" s="9" t="n">
        <f aca="false">IF($A23="","",IF(N23="",0,N23*Dimensoes!$C$2)+IF(O23="",0,O23*Dimensoes!$C$3)+IF(P23="",0,P23*Dimensoes!$C$4)+IF(Q23="",0,Q23*Dimensoes!$C$5))</f>
        <v>0.883928571428571</v>
      </c>
      <c r="U23" s="6" t="n">
        <f aca="false">IF($A23="","",IF(OR(E23="concluida",E23="incompleta"),1,0))</f>
        <v>1</v>
      </c>
    </row>
    <row r="24" customFormat="false" ht="15" hidden="false" customHeight="false" outlineLevel="0" collapsed="false">
      <c r="A24" s="0" t="n">
        <f aca="false">IF(Visitas!A24="","",Visitas!A24)</f>
        <v>23</v>
      </c>
      <c r="B24" s="0" t="str">
        <f aca="false">IF($A24="","",Visitas!C24)</f>
        <v>2026</v>
      </c>
      <c r="C24" s="7" t="n">
        <f aca="false">IF($A24="","",Visitas!D24)</f>
        <v>46091</v>
      </c>
      <c r="D24" s="0" t="str">
        <f aca="false">IF($A24="","",Visitas!B24)</f>
        <v>Hospital Municipal Dr. Waldemar Tebaldi</v>
      </c>
      <c r="E24" s="0" t="str">
        <f aca="false">IF($A24="","",Visitas!F24)</f>
        <v>concluida</v>
      </c>
      <c r="F24" s="6" t="n">
        <f aca="false">IF($A24="","",SUMIFS(Avaliacoes!$G$2:$G$6000,Avaliacoes!$A$2:$A$6000,$A24,Avaliacoes!$F$2:$F$6000,"I",Avaliacoes!$H$2:$H$6000,0))</f>
        <v>11</v>
      </c>
      <c r="G24" s="6" t="n">
        <f aca="false">IF($A24="","",SUMIFS(Avaliacoes!$G$2:$G$6000,Avaliacoes!$A$2:$A$6000,$A24,Avaliacoes!$F$2:$F$6000,"II",Avaliacoes!$H$2:$H$6000,0))</f>
        <v>7</v>
      </c>
      <c r="H24" s="6" t="n">
        <f aca="false">IF($A24="","",SUMIFS(Avaliacoes!$G$2:$G$6000,Avaliacoes!$A$2:$A$6000,$A24,Avaliacoes!$F$2:$F$6000,"III",Avaliacoes!$H$2:$H$6000,0))</f>
        <v>1</v>
      </c>
      <c r="I24" s="6" t="n">
        <f aca="false">IF($A24="","",SUMIFS(Avaliacoes!$G$2:$G$6000,Avaliacoes!$A$2:$A$6000,$A24,Avaliacoes!$F$2:$F$6000,"IV",Avaliacoes!$H$2:$H$6000,0))</f>
        <v>2</v>
      </c>
      <c r="J24" s="6" t="n">
        <f aca="false">IF($A24="","",COUNTIFS(Avaliacoes!$A$2:$A$6000,$A24,Avaliacoes!$F$2:$F$6000,"I",Avaliacoes!$H$2:$H$6000,0,Avaliacoes!$G$2:$G$6000,"&lt;&gt;")*Dimensoes!$E$2)</f>
        <v>14</v>
      </c>
      <c r="K24" s="6" t="n">
        <f aca="false">IF($A24="","",COUNTIFS(Avaliacoes!$A$2:$A$6000,$A24,Avaliacoes!$F$2:$F$6000,"II",Avaliacoes!$H$2:$H$6000,0,Avaliacoes!$G$2:$G$6000,"&lt;&gt;")*Dimensoes!$E$3)</f>
        <v>8</v>
      </c>
      <c r="L24" s="6" t="n">
        <f aca="false">IF($A24="","",COUNTIFS(Avaliacoes!$A$2:$A$6000,$A24,Avaliacoes!$F$2:$F$6000,"III",Avaliacoes!$H$2:$H$6000,0,Avaliacoes!$G$2:$G$6000,"&lt;&gt;")*Dimensoes!$E$4)</f>
        <v>2</v>
      </c>
      <c r="M24" s="6" t="n">
        <f aca="false">IF($A24="","",COUNTIFS(Avaliacoes!$A$2:$A$6000,$A24,Avaliacoes!$F$2:$F$6000,"IV",Avaliacoes!$H$2:$H$6000,0,Avaliacoes!$G$2:$G$6000,"&lt;&gt;")*Dimensoes!$E$5)</f>
        <v>4</v>
      </c>
      <c r="N24" s="9" t="n">
        <f aca="false">IF($A24="","",IF(J24&gt;0,F24/J24,""))</f>
        <v>0.785714285714286</v>
      </c>
      <c r="O24" s="9" t="n">
        <f aca="false">IF($A24="","",IF(K24&gt;0,G24/K24,""))</f>
        <v>0.875</v>
      </c>
      <c r="P24" s="9" t="n">
        <f aca="false">IF($A24="","",IF(L24&gt;0,H24/L24,""))</f>
        <v>0.5</v>
      </c>
      <c r="Q24" s="9" t="n">
        <f aca="false">IF($A24="","",IF(M24&gt;0,I24/M24,""))</f>
        <v>0.5</v>
      </c>
      <c r="R24" s="17" t="n">
        <f aca="false">IF($A24="","",IF((IF(N24="",0,Dimensoes!$C$2)+IF(O24="",0,Dimensoes!$C$3)+IF(P24="",0,Dimensoes!$C$4)+IF(Q24="",0,Dimensoes!$C$5))=0,"",(IF(N24="",0,N24*Dimensoes!$C$2)+IF(O24="",0,O24*Dimensoes!$C$3)+IF(P24="",0,P24*Dimensoes!$C$4)+IF(Q24="",0,Q24*Dimensoes!$C$5))/(IF(N24="",0,Dimensoes!$C$2)+IF(O24="",0,Dimensoes!$C$3)+IF(P24="",0,Dimensoes!$C$4)+IF(Q24="",0,Dimensoes!$C$5))))</f>
        <v>0.665178571428571</v>
      </c>
      <c r="S24" s="0" t="str">
        <f aca="false">IF(R24="","",IF(R24&lt;Faixas!$C$3,"vermelho",IF(R24&lt;Faixas!$C$4,"amarelo","verde")))</f>
        <v>amarelo</v>
      </c>
      <c r="T24" s="9" t="n">
        <f aca="false">IF($A24="","",IF(N24="",0,N24*Dimensoes!$C$2)+IF(O24="",0,O24*Dimensoes!$C$3)+IF(P24="",0,P24*Dimensoes!$C$4)+IF(Q24="",0,Q24*Dimensoes!$C$5))</f>
        <v>0.665178571428571</v>
      </c>
      <c r="U24" s="6" t="n">
        <f aca="false">IF($A24="","",IF(OR(E24="concluida",E24="incompleta"),1,0))</f>
        <v>1</v>
      </c>
    </row>
    <row r="25" customFormat="false" ht="15" hidden="false" customHeight="false" outlineLevel="0" collapsed="false">
      <c r="A25" s="0" t="n">
        <f aca="false">IF(Visitas!A25="","",Visitas!A25)</f>
        <v>24</v>
      </c>
      <c r="B25" s="0" t="str">
        <f aca="false">IF($A25="","",Visitas!C25)</f>
        <v>2026</v>
      </c>
      <c r="C25" s="7" t="n">
        <f aca="false">IF($A25="","",Visitas!D25)</f>
        <v>46093</v>
      </c>
      <c r="D25" s="0" t="str">
        <f aca="false">IF($A25="","",Visitas!B25)</f>
        <v>UPA Dona Rosa</v>
      </c>
      <c r="E25" s="0" t="str">
        <f aca="false">IF($A25="","",Visitas!F25)</f>
        <v>concluida</v>
      </c>
      <c r="F25" s="6" t="n">
        <f aca="false">IF($A25="","",SUMIFS(Avaliacoes!$G$2:$G$6000,Avaliacoes!$A$2:$A$6000,$A25,Avaliacoes!$F$2:$F$6000,"I",Avaliacoes!$H$2:$H$6000,0))</f>
        <v>12</v>
      </c>
      <c r="G25" s="6" t="n">
        <f aca="false">IF($A25="","",SUMIFS(Avaliacoes!$G$2:$G$6000,Avaliacoes!$A$2:$A$6000,$A25,Avaliacoes!$F$2:$F$6000,"II",Avaliacoes!$H$2:$H$6000,0))</f>
        <v>8</v>
      </c>
      <c r="H25" s="6" t="n">
        <f aca="false">IF($A25="","",SUMIFS(Avaliacoes!$G$2:$G$6000,Avaliacoes!$A$2:$A$6000,$A25,Avaliacoes!$F$2:$F$6000,"III",Avaliacoes!$H$2:$H$6000,0))</f>
        <v>2</v>
      </c>
      <c r="I25" s="6" t="n">
        <f aca="false">IF($A25="","",SUMIFS(Avaliacoes!$G$2:$G$6000,Avaliacoes!$A$2:$A$6000,$A25,Avaliacoes!$F$2:$F$6000,"IV",Avaliacoes!$H$2:$H$6000,0))</f>
        <v>4</v>
      </c>
      <c r="J25" s="6" t="n">
        <f aca="false">IF($A25="","",COUNTIFS(Avaliacoes!$A$2:$A$6000,$A25,Avaliacoes!$F$2:$F$6000,"I",Avaliacoes!$H$2:$H$6000,0,Avaliacoes!$G$2:$G$6000,"&lt;&gt;")*Dimensoes!$E$2)</f>
        <v>14</v>
      </c>
      <c r="K25" s="6" t="n">
        <f aca="false">IF($A25="","",COUNTIFS(Avaliacoes!$A$2:$A$6000,$A25,Avaliacoes!$F$2:$F$6000,"II",Avaliacoes!$H$2:$H$6000,0,Avaliacoes!$G$2:$G$6000,"&lt;&gt;")*Dimensoes!$E$3)</f>
        <v>8</v>
      </c>
      <c r="L25" s="6" t="n">
        <f aca="false">IF($A25="","",COUNTIFS(Avaliacoes!$A$2:$A$6000,$A25,Avaliacoes!$F$2:$F$6000,"III",Avaliacoes!$H$2:$H$6000,0,Avaliacoes!$G$2:$G$6000,"&lt;&gt;")*Dimensoes!$E$4)</f>
        <v>2</v>
      </c>
      <c r="M25" s="6" t="n">
        <f aca="false">IF($A25="","",COUNTIFS(Avaliacoes!$A$2:$A$6000,$A25,Avaliacoes!$F$2:$F$6000,"IV",Avaliacoes!$H$2:$H$6000,0,Avaliacoes!$G$2:$G$6000,"&lt;&gt;")*Dimensoes!$E$5)</f>
        <v>4</v>
      </c>
      <c r="N25" s="9" t="n">
        <f aca="false">IF($A25="","",IF(J25&gt;0,F25/J25,""))</f>
        <v>0.857142857142857</v>
      </c>
      <c r="O25" s="9" t="n">
        <f aca="false">IF($A25="","",IF(K25&gt;0,G25/K25,""))</f>
        <v>1</v>
      </c>
      <c r="P25" s="9" t="n">
        <f aca="false">IF($A25="","",IF(L25&gt;0,H25/L25,""))</f>
        <v>1</v>
      </c>
      <c r="Q25" s="9" t="n">
        <f aca="false">IF($A25="","",IF(M25&gt;0,I25/M25,""))</f>
        <v>1</v>
      </c>
      <c r="R25" s="17" t="n">
        <f aca="false">IF($A25="","",IF((IF(N25="",0,Dimensoes!$C$2)+IF(O25="",0,Dimensoes!$C$3)+IF(P25="",0,Dimensoes!$C$4)+IF(Q25="",0,Dimensoes!$C$5))=0,"",(IF(N25="",0,N25*Dimensoes!$C$2)+IF(O25="",0,O25*Dimensoes!$C$3)+IF(P25="",0,P25*Dimensoes!$C$4)+IF(Q25="",0,Q25*Dimensoes!$C$5))/(IF(N25="",0,Dimensoes!$C$2)+IF(O25="",0,Dimensoes!$C$3)+IF(P25="",0,Dimensoes!$C$4)+IF(Q25="",0,Dimensoes!$C$5))))</f>
        <v>0.964285714285714</v>
      </c>
      <c r="S25" s="0" t="str">
        <f aca="false">IF(R25="","",IF(R25&lt;Faixas!$C$3,"vermelho",IF(R25&lt;Faixas!$C$4,"amarelo","verde")))</f>
        <v>verde</v>
      </c>
      <c r="T25" s="9" t="n">
        <f aca="false">IF($A25="","",IF(N25="",0,N25*Dimensoes!$C$2)+IF(O25="",0,O25*Dimensoes!$C$3)+IF(P25="",0,P25*Dimensoes!$C$4)+IF(Q25="",0,Q25*Dimensoes!$C$5))</f>
        <v>0.964285714285714</v>
      </c>
      <c r="U25" s="6" t="n">
        <f aca="false">IF($A25="","",IF(OR(E25="concluida",E25="incompleta"),1,0))</f>
        <v>1</v>
      </c>
    </row>
    <row r="26" customFormat="false" ht="15" hidden="false" customHeight="false" outlineLevel="0" collapsed="false">
      <c r="A26" s="0" t="n">
        <f aca="false">IF(Visitas!A26="","",Visitas!A26)</f>
        <v>25</v>
      </c>
      <c r="B26" s="0" t="str">
        <f aca="false">IF($A26="","",Visitas!C26)</f>
        <v>2026</v>
      </c>
      <c r="C26" s="7" t="n">
        <f aca="false">IF($A26="","",Visitas!D26)</f>
        <v>46122</v>
      </c>
      <c r="D26" s="0" t="str">
        <f aca="false">IF($A26="","",Visitas!B26)</f>
        <v>Banco de Sangue</v>
      </c>
      <c r="E26" s="0" t="str">
        <f aca="false">IF($A26="","",Visitas!F26)</f>
        <v>concluida</v>
      </c>
      <c r="F26" s="6" t="n">
        <f aca="false">IF($A26="","",SUMIFS(Avaliacoes!$G$2:$G$6000,Avaliacoes!$A$2:$A$6000,$A26,Avaliacoes!$F$2:$F$6000,"I",Avaliacoes!$H$2:$H$6000,0))</f>
        <v>7</v>
      </c>
      <c r="G26" s="6" t="n">
        <f aca="false">IF($A26="","",SUMIFS(Avaliacoes!$G$2:$G$6000,Avaliacoes!$A$2:$A$6000,$A26,Avaliacoes!$F$2:$F$6000,"II",Avaliacoes!$H$2:$H$6000,0))</f>
        <v>8</v>
      </c>
      <c r="H26" s="6" t="n">
        <f aca="false">IF($A26="","",SUMIFS(Avaliacoes!$G$2:$G$6000,Avaliacoes!$A$2:$A$6000,$A26,Avaliacoes!$F$2:$F$6000,"III",Avaliacoes!$H$2:$H$6000,0))</f>
        <v>1</v>
      </c>
      <c r="I26" s="6" t="n">
        <f aca="false">IF($A26="","",SUMIFS(Avaliacoes!$G$2:$G$6000,Avaliacoes!$A$2:$A$6000,$A26,Avaliacoes!$F$2:$F$6000,"IV",Avaliacoes!$H$2:$H$6000,0))</f>
        <v>2</v>
      </c>
      <c r="J26" s="6" t="n">
        <f aca="false">IF($A26="","",COUNTIFS(Avaliacoes!$A$2:$A$6000,$A26,Avaliacoes!$F$2:$F$6000,"I",Avaliacoes!$H$2:$H$6000,0,Avaliacoes!$G$2:$G$6000,"&lt;&gt;")*Dimensoes!$E$2)</f>
        <v>14</v>
      </c>
      <c r="K26" s="6" t="n">
        <f aca="false">IF($A26="","",COUNTIFS(Avaliacoes!$A$2:$A$6000,$A26,Avaliacoes!$F$2:$F$6000,"II",Avaliacoes!$H$2:$H$6000,0,Avaliacoes!$G$2:$G$6000,"&lt;&gt;")*Dimensoes!$E$3)</f>
        <v>8</v>
      </c>
      <c r="L26" s="6" t="n">
        <f aca="false">IF($A26="","",COUNTIFS(Avaliacoes!$A$2:$A$6000,$A26,Avaliacoes!$F$2:$F$6000,"III",Avaliacoes!$H$2:$H$6000,0,Avaliacoes!$G$2:$G$6000,"&lt;&gt;")*Dimensoes!$E$4)</f>
        <v>2</v>
      </c>
      <c r="M26" s="6" t="n">
        <f aca="false">IF($A26="","",COUNTIFS(Avaliacoes!$A$2:$A$6000,$A26,Avaliacoes!$F$2:$F$6000,"IV",Avaliacoes!$H$2:$H$6000,0,Avaliacoes!$G$2:$G$6000,"&lt;&gt;")*Dimensoes!$E$5)</f>
        <v>4</v>
      </c>
      <c r="N26" s="9" t="n">
        <f aca="false">IF($A26="","",IF(J26&gt;0,F26/J26,""))</f>
        <v>0.5</v>
      </c>
      <c r="O26" s="9" t="n">
        <f aca="false">IF($A26="","",IF(K26&gt;0,G26/K26,""))</f>
        <v>1</v>
      </c>
      <c r="P26" s="9" t="n">
        <f aca="false">IF($A26="","",IF(L26&gt;0,H26/L26,""))</f>
        <v>0.5</v>
      </c>
      <c r="Q26" s="9" t="n">
        <f aca="false">IF($A26="","",IF(M26&gt;0,I26/M26,""))</f>
        <v>0.5</v>
      </c>
      <c r="R26" s="17" t="n">
        <f aca="false">IF($A26="","",IF((IF(N26="",0,Dimensoes!$C$2)+IF(O26="",0,Dimensoes!$C$3)+IF(P26="",0,Dimensoes!$C$4)+IF(Q26="",0,Dimensoes!$C$5))=0,"",(IF(N26="",0,N26*Dimensoes!$C$2)+IF(O26="",0,O26*Dimensoes!$C$3)+IF(P26="",0,P26*Dimensoes!$C$4)+IF(Q26="",0,Q26*Dimensoes!$C$5))/(IF(N26="",0,Dimensoes!$C$2)+IF(O26="",0,Dimensoes!$C$3)+IF(P26="",0,Dimensoes!$C$4)+IF(Q26="",0,Dimensoes!$C$5))))</f>
        <v>0.625</v>
      </c>
      <c r="S26" s="0" t="str">
        <f aca="false">IF(R26="","",IF(R26&lt;Faixas!$C$3,"vermelho",IF(R26&lt;Faixas!$C$4,"amarelo","verde")))</f>
        <v>amarelo</v>
      </c>
      <c r="T26" s="9" t="n">
        <f aca="false">IF($A26="","",IF(N26="",0,N26*Dimensoes!$C$2)+IF(O26="",0,O26*Dimensoes!$C$3)+IF(P26="",0,P26*Dimensoes!$C$4)+IF(Q26="",0,Q26*Dimensoes!$C$5))</f>
        <v>0.625</v>
      </c>
      <c r="U26" s="6" t="n">
        <f aca="false">IF($A26="","",IF(OR(E26="concluida",E26="incompleta"),1,0))</f>
        <v>1</v>
      </c>
    </row>
    <row r="27" customFormat="false" ht="15" hidden="false" customHeight="false" outlineLevel="0" collapsed="false">
      <c r="A27" s="0" t="n">
        <f aca="false">IF(Visitas!A27="","",Visitas!A27)</f>
        <v>26</v>
      </c>
      <c r="B27" s="0" t="str">
        <f aca="false">IF($A27="","",Visitas!C27)</f>
        <v>2026</v>
      </c>
      <c r="C27" s="7" t="n">
        <f aca="false">IF($A27="","",Visitas!D27)</f>
        <v>46156</v>
      </c>
      <c r="D27" s="0" t="str">
        <f aca="false">IF($A27="","",Visitas!B27)</f>
        <v>UBS Parque Gramado</v>
      </c>
      <c r="E27" s="0" t="str">
        <f aca="false">IF($A27="","",Visitas!F27)</f>
        <v>concluida</v>
      </c>
      <c r="F27" s="6" t="n">
        <f aca="false">IF($A27="","",SUMIFS(Avaliacoes!$G$2:$G$6000,Avaliacoes!$A$2:$A$6000,$A27,Avaliacoes!$F$2:$F$6000,"I",Avaliacoes!$H$2:$H$6000,0))</f>
        <v>7</v>
      </c>
      <c r="G27" s="6" t="n">
        <f aca="false">IF($A27="","",SUMIFS(Avaliacoes!$G$2:$G$6000,Avaliacoes!$A$2:$A$6000,$A27,Avaliacoes!$F$2:$F$6000,"II",Avaliacoes!$H$2:$H$6000,0))</f>
        <v>6</v>
      </c>
      <c r="H27" s="6" t="n">
        <f aca="false">IF($A27="","",SUMIFS(Avaliacoes!$G$2:$G$6000,Avaliacoes!$A$2:$A$6000,$A27,Avaliacoes!$F$2:$F$6000,"III",Avaliacoes!$H$2:$H$6000,0))</f>
        <v>1</v>
      </c>
      <c r="I27" s="6" t="n">
        <f aca="false">IF($A27="","",SUMIFS(Avaliacoes!$G$2:$G$6000,Avaliacoes!$A$2:$A$6000,$A27,Avaliacoes!$F$2:$F$6000,"IV",Avaliacoes!$H$2:$H$6000,0))</f>
        <v>4</v>
      </c>
      <c r="J27" s="6" t="n">
        <f aca="false">IF($A27="","",COUNTIFS(Avaliacoes!$A$2:$A$6000,$A27,Avaliacoes!$F$2:$F$6000,"I",Avaliacoes!$H$2:$H$6000,0,Avaliacoes!$G$2:$G$6000,"&lt;&gt;")*Dimensoes!$E$2)</f>
        <v>14</v>
      </c>
      <c r="K27" s="6" t="n">
        <f aca="false">IF($A27="","",COUNTIFS(Avaliacoes!$A$2:$A$6000,$A27,Avaliacoes!$F$2:$F$6000,"II",Avaliacoes!$H$2:$H$6000,0,Avaliacoes!$G$2:$G$6000,"&lt;&gt;")*Dimensoes!$E$3)</f>
        <v>8</v>
      </c>
      <c r="L27" s="6" t="n">
        <f aca="false">IF($A27="","",COUNTIFS(Avaliacoes!$A$2:$A$6000,$A27,Avaliacoes!$F$2:$F$6000,"III",Avaliacoes!$H$2:$H$6000,0,Avaliacoes!$G$2:$G$6000,"&lt;&gt;")*Dimensoes!$E$4)</f>
        <v>2</v>
      </c>
      <c r="M27" s="6" t="n">
        <f aca="false">IF($A27="","",COUNTIFS(Avaliacoes!$A$2:$A$6000,$A27,Avaliacoes!$F$2:$F$6000,"IV",Avaliacoes!$H$2:$H$6000,0,Avaliacoes!$G$2:$G$6000,"&lt;&gt;")*Dimensoes!$E$5)</f>
        <v>4</v>
      </c>
      <c r="N27" s="9" t="n">
        <f aca="false">IF($A27="","",IF(J27&gt;0,F27/J27,""))</f>
        <v>0.5</v>
      </c>
      <c r="O27" s="9" t="n">
        <f aca="false">IF($A27="","",IF(K27&gt;0,G27/K27,""))</f>
        <v>0.75</v>
      </c>
      <c r="P27" s="9" t="n">
        <f aca="false">IF($A27="","",IF(L27&gt;0,H27/L27,""))</f>
        <v>0.5</v>
      </c>
      <c r="Q27" s="9" t="n">
        <f aca="false">IF($A27="","",IF(M27&gt;0,I27/M27,""))</f>
        <v>1</v>
      </c>
      <c r="R27" s="17" t="n">
        <f aca="false">IF($A27="","",IF((IF(N27="",0,Dimensoes!$C$2)+IF(O27="",0,Dimensoes!$C$3)+IF(P27="",0,Dimensoes!$C$4)+IF(Q27="",0,Dimensoes!$C$5))=0,"",(IF(N27="",0,N27*Dimensoes!$C$2)+IF(O27="",0,O27*Dimensoes!$C$3)+IF(P27="",0,P27*Dimensoes!$C$4)+IF(Q27="",0,Q27*Dimensoes!$C$5))/(IF(N27="",0,Dimensoes!$C$2)+IF(O27="",0,Dimensoes!$C$3)+IF(P27="",0,Dimensoes!$C$4)+IF(Q27="",0,Dimensoes!$C$5))))</f>
        <v>0.6875</v>
      </c>
      <c r="S27" s="0" t="str">
        <f aca="false">IF(R27="","",IF(R27&lt;Faixas!$C$3,"vermelho",IF(R27&lt;Faixas!$C$4,"amarelo","verde")))</f>
        <v>amarelo</v>
      </c>
      <c r="T27" s="9" t="n">
        <f aca="false">IF($A27="","",IF(N27="",0,N27*Dimensoes!$C$2)+IF(O27="",0,O27*Dimensoes!$C$3)+IF(P27="",0,P27*Dimensoes!$C$4)+IF(Q27="",0,Q27*Dimensoes!$C$5))</f>
        <v>0.6875</v>
      </c>
      <c r="U27" s="6" t="n">
        <f aca="false">IF($A27="","",IF(OR(E27="concluida",E27="incompleta"),1,0))</f>
        <v>1</v>
      </c>
    </row>
    <row r="28" customFormat="false" ht="15" hidden="false" customHeight="false" outlineLevel="0" collapsed="false">
      <c r="A28" s="0" t="n">
        <f aca="false">IF(Visitas!A28="","",Visitas!A28)</f>
        <v>27</v>
      </c>
      <c r="B28" s="0" t="str">
        <f aca="false">IF($A28="","",Visitas!C28)</f>
        <v>2026</v>
      </c>
      <c r="C28" s="7" t="n">
        <f aca="false">IF($A28="","",Visitas!D28)</f>
        <v>46142</v>
      </c>
      <c r="D28" s="0" t="str">
        <f aca="false">IF($A28="","",Visitas!B28)</f>
        <v>ESF São José</v>
      </c>
      <c r="E28" s="0" t="str">
        <f aca="false">IF($A28="","",Visitas!F28)</f>
        <v>concluida</v>
      </c>
      <c r="F28" s="6" t="n">
        <f aca="false">IF($A28="","",SUMIFS(Avaliacoes!$G$2:$G$6000,Avaliacoes!$A$2:$A$6000,$A28,Avaliacoes!$F$2:$F$6000,"I",Avaliacoes!$H$2:$H$6000,0))</f>
        <v>9</v>
      </c>
      <c r="G28" s="6" t="n">
        <f aca="false">IF($A28="","",SUMIFS(Avaliacoes!$G$2:$G$6000,Avaliacoes!$A$2:$A$6000,$A28,Avaliacoes!$F$2:$F$6000,"II",Avaliacoes!$H$2:$H$6000,0))</f>
        <v>8</v>
      </c>
      <c r="H28" s="6" t="n">
        <f aca="false">IF($A28="","",SUMIFS(Avaliacoes!$G$2:$G$6000,Avaliacoes!$A$2:$A$6000,$A28,Avaliacoes!$F$2:$F$6000,"III",Avaliacoes!$H$2:$H$6000,0))</f>
        <v>2</v>
      </c>
      <c r="I28" s="6" t="n">
        <f aca="false">IF($A28="","",SUMIFS(Avaliacoes!$G$2:$G$6000,Avaliacoes!$A$2:$A$6000,$A28,Avaliacoes!$F$2:$F$6000,"IV",Avaliacoes!$H$2:$H$6000,0))</f>
        <v>2</v>
      </c>
      <c r="J28" s="6" t="n">
        <f aca="false">IF($A28="","",COUNTIFS(Avaliacoes!$A$2:$A$6000,$A28,Avaliacoes!$F$2:$F$6000,"I",Avaliacoes!$H$2:$H$6000,0,Avaliacoes!$G$2:$G$6000,"&lt;&gt;")*Dimensoes!$E$2)</f>
        <v>14</v>
      </c>
      <c r="K28" s="6" t="n">
        <f aca="false">IF($A28="","",COUNTIFS(Avaliacoes!$A$2:$A$6000,$A28,Avaliacoes!$F$2:$F$6000,"II",Avaliacoes!$H$2:$H$6000,0,Avaliacoes!$G$2:$G$6000,"&lt;&gt;")*Dimensoes!$E$3)</f>
        <v>8</v>
      </c>
      <c r="L28" s="6" t="n">
        <f aca="false">IF($A28="","",COUNTIFS(Avaliacoes!$A$2:$A$6000,$A28,Avaliacoes!$F$2:$F$6000,"III",Avaliacoes!$H$2:$H$6000,0,Avaliacoes!$G$2:$G$6000,"&lt;&gt;")*Dimensoes!$E$4)</f>
        <v>2</v>
      </c>
      <c r="M28" s="6" t="n">
        <f aca="false">IF($A28="","",COUNTIFS(Avaliacoes!$A$2:$A$6000,$A28,Avaliacoes!$F$2:$F$6000,"IV",Avaliacoes!$H$2:$H$6000,0,Avaliacoes!$G$2:$G$6000,"&lt;&gt;")*Dimensoes!$E$5)</f>
        <v>4</v>
      </c>
      <c r="N28" s="9" t="n">
        <f aca="false">IF($A28="","",IF(J28&gt;0,F28/J28,""))</f>
        <v>0.642857142857143</v>
      </c>
      <c r="O28" s="9" t="n">
        <f aca="false">IF($A28="","",IF(K28&gt;0,G28/K28,""))</f>
        <v>1</v>
      </c>
      <c r="P28" s="9" t="n">
        <f aca="false">IF($A28="","",IF(L28&gt;0,H28/L28,""))</f>
        <v>1</v>
      </c>
      <c r="Q28" s="9" t="n">
        <f aca="false">IF($A28="","",IF(M28&gt;0,I28/M28,""))</f>
        <v>0.5</v>
      </c>
      <c r="R28" s="17" t="n">
        <f aca="false">IF($A28="","",IF((IF(N28="",0,Dimensoes!$C$2)+IF(O28="",0,Dimensoes!$C$3)+IF(P28="",0,Dimensoes!$C$4)+IF(Q28="",0,Dimensoes!$C$5))=0,"",(IF(N28="",0,N28*Dimensoes!$C$2)+IF(O28="",0,O28*Dimensoes!$C$3)+IF(P28="",0,P28*Dimensoes!$C$4)+IF(Q28="",0,Q28*Dimensoes!$C$5))/(IF(N28="",0,Dimensoes!$C$2)+IF(O28="",0,Dimensoes!$C$3)+IF(P28="",0,Dimensoes!$C$4)+IF(Q28="",0,Dimensoes!$C$5))))</f>
        <v>0.785714285714286</v>
      </c>
      <c r="S28" s="0" t="str">
        <f aca="false">IF(R28="","",IF(R28&lt;Faixas!$C$3,"vermelho",IF(R28&lt;Faixas!$C$4,"amarelo","verde")))</f>
        <v>amarelo</v>
      </c>
      <c r="T28" s="9" t="n">
        <f aca="false">IF($A28="","",IF(N28="",0,N28*Dimensoes!$C$2)+IF(O28="",0,O28*Dimensoes!$C$3)+IF(P28="",0,P28*Dimensoes!$C$4)+IF(Q28="",0,Q28*Dimensoes!$C$5))</f>
        <v>0.785714285714286</v>
      </c>
      <c r="U28" s="6" t="n">
        <f aca="false">IF($A28="","",IF(OR(E28="concluida",E28="incompleta"),1,0))</f>
        <v>1</v>
      </c>
    </row>
    <row r="29" customFormat="false" ht="15" hidden="false" customHeight="false" outlineLevel="0" collapsed="false">
      <c r="A29" s="0" t="n">
        <f aca="false">IF(Visitas!A29="","",Visitas!A29)</f>
        <v>28</v>
      </c>
      <c r="B29" s="0" t="str">
        <f aca="false">IF($A29="","",Visitas!C29)</f>
        <v>2026</v>
      </c>
      <c r="C29" s="7" t="n">
        <f aca="false">IF($A29="","",Visitas!D29)</f>
        <v>46190</v>
      </c>
      <c r="D29" s="0" t="str">
        <f aca="false">IF($A29="","",Visitas!B29)</f>
        <v>ESF Praia Azul</v>
      </c>
      <c r="E29" s="0" t="str">
        <f aca="false">IF($A29="","",Visitas!F29)</f>
        <v>concluida</v>
      </c>
      <c r="F29" s="6" t="n">
        <f aca="false">IF($A29="","",SUMIFS(Avaliacoes!$G$2:$G$6000,Avaliacoes!$A$2:$A$6000,$A29,Avaliacoes!$F$2:$F$6000,"I",Avaliacoes!$H$2:$H$6000,0))</f>
        <v>12</v>
      </c>
      <c r="G29" s="6" t="n">
        <f aca="false">IF($A29="","",SUMIFS(Avaliacoes!$G$2:$G$6000,Avaliacoes!$A$2:$A$6000,$A29,Avaliacoes!$F$2:$F$6000,"II",Avaliacoes!$H$2:$H$6000,0))</f>
        <v>8</v>
      </c>
      <c r="H29" s="6" t="n">
        <f aca="false">IF($A29="","",SUMIFS(Avaliacoes!$G$2:$G$6000,Avaliacoes!$A$2:$A$6000,$A29,Avaliacoes!$F$2:$F$6000,"III",Avaliacoes!$H$2:$H$6000,0))</f>
        <v>2</v>
      </c>
      <c r="I29" s="6" t="n">
        <f aca="false">IF($A29="","",SUMIFS(Avaliacoes!$G$2:$G$6000,Avaliacoes!$A$2:$A$6000,$A29,Avaliacoes!$F$2:$F$6000,"IV",Avaliacoes!$H$2:$H$6000,0))</f>
        <v>3</v>
      </c>
      <c r="J29" s="6" t="n">
        <f aca="false">IF($A29="","",COUNTIFS(Avaliacoes!$A$2:$A$6000,$A29,Avaliacoes!$F$2:$F$6000,"I",Avaliacoes!$H$2:$H$6000,0,Avaliacoes!$G$2:$G$6000,"&lt;&gt;")*Dimensoes!$E$2)</f>
        <v>14</v>
      </c>
      <c r="K29" s="6" t="n">
        <f aca="false">IF($A29="","",COUNTIFS(Avaliacoes!$A$2:$A$6000,$A29,Avaliacoes!$F$2:$F$6000,"II",Avaliacoes!$H$2:$H$6000,0,Avaliacoes!$G$2:$G$6000,"&lt;&gt;")*Dimensoes!$E$3)</f>
        <v>8</v>
      </c>
      <c r="L29" s="6" t="n">
        <f aca="false">IF($A29="","",COUNTIFS(Avaliacoes!$A$2:$A$6000,$A29,Avaliacoes!$F$2:$F$6000,"III",Avaliacoes!$H$2:$H$6000,0,Avaliacoes!$G$2:$G$6000,"&lt;&gt;")*Dimensoes!$E$4)</f>
        <v>2</v>
      </c>
      <c r="M29" s="6" t="n">
        <f aca="false">IF($A29="","",COUNTIFS(Avaliacoes!$A$2:$A$6000,$A29,Avaliacoes!$F$2:$F$6000,"IV",Avaliacoes!$H$2:$H$6000,0,Avaliacoes!$G$2:$G$6000,"&lt;&gt;")*Dimensoes!$E$5)</f>
        <v>4</v>
      </c>
      <c r="N29" s="9" t="n">
        <f aca="false">IF($A29="","",IF(J29&gt;0,F29/J29,""))</f>
        <v>0.857142857142857</v>
      </c>
      <c r="O29" s="9" t="n">
        <f aca="false">IF($A29="","",IF(K29&gt;0,G29/K29,""))</f>
        <v>1</v>
      </c>
      <c r="P29" s="9" t="n">
        <f aca="false">IF($A29="","",IF(L29&gt;0,H29/L29,""))</f>
        <v>1</v>
      </c>
      <c r="Q29" s="9" t="n">
        <f aca="false">IF($A29="","",IF(M29&gt;0,I29/M29,""))</f>
        <v>0.75</v>
      </c>
      <c r="R29" s="17" t="n">
        <f aca="false">IF($A29="","",IF((IF(N29="",0,Dimensoes!$C$2)+IF(O29="",0,Dimensoes!$C$3)+IF(P29="",0,Dimensoes!$C$4)+IF(Q29="",0,Dimensoes!$C$5))=0,"",(IF(N29="",0,N29*Dimensoes!$C$2)+IF(O29="",0,O29*Dimensoes!$C$3)+IF(P29="",0,P29*Dimensoes!$C$4)+IF(Q29="",0,Q29*Dimensoes!$C$5))/(IF(N29="",0,Dimensoes!$C$2)+IF(O29="",0,Dimensoes!$C$3)+IF(P29="",0,Dimensoes!$C$4)+IF(Q29="",0,Dimensoes!$C$5))))</f>
        <v>0.901785714285714</v>
      </c>
      <c r="S29" s="0" t="str">
        <f aca="false">IF(R29="","",IF(R29&lt;Faixas!$C$3,"vermelho",IF(R29&lt;Faixas!$C$4,"amarelo","verde")))</f>
        <v>verde</v>
      </c>
      <c r="T29" s="9" t="n">
        <f aca="false">IF($A29="","",IF(N29="",0,N29*Dimensoes!$C$2)+IF(O29="",0,O29*Dimensoes!$C$3)+IF(P29="",0,P29*Dimensoes!$C$4)+IF(Q29="",0,Q29*Dimensoes!$C$5))</f>
        <v>0.901785714285714</v>
      </c>
      <c r="U29" s="6" t="n">
        <f aca="false">IF($A29="","",IF(OR(E29="concluida",E29="incompleta"),1,0))</f>
        <v>1</v>
      </c>
    </row>
    <row r="30" customFormat="false" ht="15" hidden="false" customHeight="false" outlineLevel="0" collapsed="false">
      <c r="A30" s="0" t="n">
        <f aca="false">IF(Visitas!A30="","",Visitas!A30)</f>
        <v>29</v>
      </c>
      <c r="B30" s="0" t="str">
        <f aca="false">IF($A30="","",Visitas!C30)</f>
        <v>2026</v>
      </c>
      <c r="C30" s="7" t="n">
        <f aca="false">IF($A30="","",Visitas!D30)</f>
        <v>46162</v>
      </c>
      <c r="D30" s="0" t="str">
        <f aca="false">IF($A30="","",Visitas!B30)</f>
        <v>ESF Jardim Brasil</v>
      </c>
      <c r="E30" s="0" t="str">
        <f aca="false">IF($A30="","",Visitas!F30)</f>
        <v>concluida</v>
      </c>
      <c r="F30" s="6" t="n">
        <f aca="false">IF($A30="","",SUMIFS(Avaliacoes!$G$2:$G$6000,Avaliacoes!$A$2:$A$6000,$A30,Avaliacoes!$F$2:$F$6000,"I",Avaliacoes!$H$2:$H$6000,0))</f>
        <v>14</v>
      </c>
      <c r="G30" s="6" t="n">
        <f aca="false">IF($A30="","",SUMIFS(Avaliacoes!$G$2:$G$6000,Avaliacoes!$A$2:$A$6000,$A30,Avaliacoes!$F$2:$F$6000,"II",Avaliacoes!$H$2:$H$6000,0))</f>
        <v>8</v>
      </c>
      <c r="H30" s="6" t="n">
        <f aca="false">IF($A30="","",SUMIFS(Avaliacoes!$G$2:$G$6000,Avaliacoes!$A$2:$A$6000,$A30,Avaliacoes!$F$2:$F$6000,"III",Avaliacoes!$H$2:$H$6000,0))</f>
        <v>2</v>
      </c>
      <c r="I30" s="6" t="n">
        <f aca="false">IF($A30="","",SUMIFS(Avaliacoes!$G$2:$G$6000,Avaliacoes!$A$2:$A$6000,$A30,Avaliacoes!$F$2:$F$6000,"IV",Avaliacoes!$H$2:$H$6000,0))</f>
        <v>4</v>
      </c>
      <c r="J30" s="6" t="n">
        <f aca="false">IF($A30="","",COUNTIFS(Avaliacoes!$A$2:$A$6000,$A30,Avaliacoes!$F$2:$F$6000,"I",Avaliacoes!$H$2:$H$6000,0,Avaliacoes!$G$2:$G$6000,"&lt;&gt;")*Dimensoes!$E$2)</f>
        <v>14</v>
      </c>
      <c r="K30" s="6" t="n">
        <f aca="false">IF($A30="","",COUNTIFS(Avaliacoes!$A$2:$A$6000,$A30,Avaliacoes!$F$2:$F$6000,"II",Avaliacoes!$H$2:$H$6000,0,Avaliacoes!$G$2:$G$6000,"&lt;&gt;")*Dimensoes!$E$3)</f>
        <v>8</v>
      </c>
      <c r="L30" s="6" t="n">
        <f aca="false">IF($A30="","",COUNTIFS(Avaliacoes!$A$2:$A$6000,$A30,Avaliacoes!$F$2:$F$6000,"III",Avaliacoes!$H$2:$H$6000,0,Avaliacoes!$G$2:$G$6000,"&lt;&gt;")*Dimensoes!$E$4)</f>
        <v>2</v>
      </c>
      <c r="M30" s="6" t="n">
        <f aca="false">IF($A30="","",COUNTIFS(Avaliacoes!$A$2:$A$6000,$A30,Avaliacoes!$F$2:$F$6000,"IV",Avaliacoes!$H$2:$H$6000,0,Avaliacoes!$G$2:$G$6000,"&lt;&gt;")*Dimensoes!$E$5)</f>
        <v>4</v>
      </c>
      <c r="N30" s="9" t="n">
        <f aca="false">IF($A30="","",IF(J30&gt;0,F30/J30,""))</f>
        <v>1</v>
      </c>
      <c r="O30" s="9" t="n">
        <f aca="false">IF($A30="","",IF(K30&gt;0,G30/K30,""))</f>
        <v>1</v>
      </c>
      <c r="P30" s="9" t="n">
        <f aca="false">IF($A30="","",IF(L30&gt;0,H30/L30,""))</f>
        <v>1</v>
      </c>
      <c r="Q30" s="9" t="n">
        <f aca="false">IF($A30="","",IF(M30&gt;0,I30/M30,""))</f>
        <v>1</v>
      </c>
      <c r="R30" s="17" t="n">
        <f aca="false">IF($A30="","",IF((IF(N30="",0,Dimensoes!$C$2)+IF(O30="",0,Dimensoes!$C$3)+IF(P30="",0,Dimensoes!$C$4)+IF(Q30="",0,Dimensoes!$C$5))=0,"",(IF(N30="",0,N30*Dimensoes!$C$2)+IF(O30="",0,O30*Dimensoes!$C$3)+IF(P30="",0,P30*Dimensoes!$C$4)+IF(Q30="",0,Q30*Dimensoes!$C$5))/(IF(N30="",0,Dimensoes!$C$2)+IF(O30="",0,Dimensoes!$C$3)+IF(P30="",0,Dimensoes!$C$4)+IF(Q30="",0,Dimensoes!$C$5))))</f>
        <v>1</v>
      </c>
      <c r="S30" s="0" t="str">
        <f aca="false">IF(R30="","",IF(R30&lt;Faixas!$C$3,"vermelho",IF(R30&lt;Faixas!$C$4,"amarelo","verde")))</f>
        <v>verde</v>
      </c>
      <c r="T30" s="9" t="n">
        <f aca="false">IF($A30="","",IF(N30="",0,N30*Dimensoes!$C$2)+IF(O30="",0,O30*Dimensoes!$C$3)+IF(P30="",0,P30*Dimensoes!$C$4)+IF(Q30="",0,Q30*Dimensoes!$C$5))</f>
        <v>1</v>
      </c>
      <c r="U30" s="6" t="n">
        <f aca="false">IF($A30="","",IF(OR(E30="concluida",E30="incompleta"),1,0))</f>
        <v>1</v>
      </c>
    </row>
    <row r="31" customFormat="false" ht="15" hidden="false" customHeight="false" outlineLevel="0" collapsed="false">
      <c r="A31" s="0" t="n">
        <f aca="false">IF(Visitas!A31="","",Visitas!A31)</f>
        <v>30</v>
      </c>
      <c r="B31" s="0" t="str">
        <f aca="false">IF($A31="","",Visitas!C31)</f>
        <v>2026</v>
      </c>
      <c r="C31" s="7" t="n">
        <f aca="false">IF($A31="","",Visitas!D31)</f>
        <v>46094</v>
      </c>
      <c r="D31" s="0" t="str">
        <f aca="false">IF($A31="","",Visitas!B31)</f>
        <v>CAPS Adulto</v>
      </c>
      <c r="E31" s="0" t="str">
        <f aca="false">IF($A31="","",Visitas!F31)</f>
        <v>concluida</v>
      </c>
      <c r="F31" s="6" t="n">
        <f aca="false">IF($A31="","",SUMIFS(Avaliacoes!$G$2:$G$6000,Avaliacoes!$A$2:$A$6000,$A31,Avaliacoes!$F$2:$F$6000,"I",Avaliacoes!$H$2:$H$6000,0))</f>
        <v>12</v>
      </c>
      <c r="G31" s="6" t="n">
        <f aca="false">IF($A31="","",SUMIFS(Avaliacoes!$G$2:$G$6000,Avaliacoes!$A$2:$A$6000,$A31,Avaliacoes!$F$2:$F$6000,"II",Avaliacoes!$H$2:$H$6000,0))</f>
        <v>7</v>
      </c>
      <c r="H31" s="6" t="n">
        <f aca="false">IF($A31="","",SUMIFS(Avaliacoes!$G$2:$G$6000,Avaliacoes!$A$2:$A$6000,$A31,Avaliacoes!$F$2:$F$6000,"III",Avaliacoes!$H$2:$H$6000,0))</f>
        <v>1</v>
      </c>
      <c r="I31" s="6" t="n">
        <f aca="false">IF($A31="","",SUMIFS(Avaliacoes!$G$2:$G$6000,Avaliacoes!$A$2:$A$6000,$A31,Avaliacoes!$F$2:$F$6000,"IV",Avaliacoes!$H$2:$H$6000,0))</f>
        <v>3</v>
      </c>
      <c r="J31" s="6" t="n">
        <f aca="false">IF($A31="","",COUNTIFS(Avaliacoes!$A$2:$A$6000,$A31,Avaliacoes!$F$2:$F$6000,"I",Avaliacoes!$H$2:$H$6000,0,Avaliacoes!$G$2:$G$6000,"&lt;&gt;")*Dimensoes!$E$2)</f>
        <v>14</v>
      </c>
      <c r="K31" s="6" t="n">
        <f aca="false">IF($A31="","",COUNTIFS(Avaliacoes!$A$2:$A$6000,$A31,Avaliacoes!$F$2:$F$6000,"II",Avaliacoes!$H$2:$H$6000,0,Avaliacoes!$G$2:$G$6000,"&lt;&gt;")*Dimensoes!$E$3)</f>
        <v>8</v>
      </c>
      <c r="L31" s="6" t="n">
        <f aca="false">IF($A31="","",COUNTIFS(Avaliacoes!$A$2:$A$6000,$A31,Avaliacoes!$F$2:$F$6000,"III",Avaliacoes!$H$2:$H$6000,0,Avaliacoes!$G$2:$G$6000,"&lt;&gt;")*Dimensoes!$E$4)</f>
        <v>2</v>
      </c>
      <c r="M31" s="6" t="n">
        <f aca="false">IF($A31="","",COUNTIFS(Avaliacoes!$A$2:$A$6000,$A31,Avaliacoes!$F$2:$F$6000,"IV",Avaliacoes!$H$2:$H$6000,0,Avaliacoes!$G$2:$G$6000,"&lt;&gt;")*Dimensoes!$E$5)</f>
        <v>4</v>
      </c>
      <c r="N31" s="9" t="n">
        <f aca="false">IF($A31="","",IF(J31&gt;0,F31/J31,""))</f>
        <v>0.857142857142857</v>
      </c>
      <c r="O31" s="9" t="n">
        <f aca="false">IF($A31="","",IF(K31&gt;0,G31/K31,""))</f>
        <v>0.875</v>
      </c>
      <c r="P31" s="9" t="n">
        <f aca="false">IF($A31="","",IF(L31&gt;0,H31/L31,""))</f>
        <v>0.5</v>
      </c>
      <c r="Q31" s="9" t="n">
        <f aca="false">IF($A31="","",IF(M31&gt;0,I31/M31,""))</f>
        <v>0.75</v>
      </c>
      <c r="R31" s="17" t="n">
        <f aca="false">IF($A31="","",IF((IF(N31="",0,Dimensoes!$C$2)+IF(O31="",0,Dimensoes!$C$3)+IF(P31="",0,Dimensoes!$C$4)+IF(Q31="",0,Dimensoes!$C$5))=0,"",(IF(N31="",0,N31*Dimensoes!$C$2)+IF(O31="",0,O31*Dimensoes!$C$3)+IF(P31="",0,P31*Dimensoes!$C$4)+IF(Q31="",0,Q31*Dimensoes!$C$5))/(IF(N31="",0,Dimensoes!$C$2)+IF(O31="",0,Dimensoes!$C$3)+IF(P31="",0,Dimensoes!$C$4)+IF(Q31="",0,Dimensoes!$C$5))))</f>
        <v>0.745535714285714</v>
      </c>
      <c r="S31" s="0" t="str">
        <f aca="false">IF(R31="","",IF(R31&lt;Faixas!$C$3,"vermelho",IF(R31&lt;Faixas!$C$4,"amarelo","verde")))</f>
        <v>amarelo</v>
      </c>
      <c r="T31" s="9" t="n">
        <f aca="false">IF($A31="","",IF(N31="",0,N31*Dimensoes!$C$2)+IF(O31="",0,O31*Dimensoes!$C$3)+IF(P31="",0,P31*Dimensoes!$C$4)+IF(Q31="",0,Q31*Dimensoes!$C$5))</f>
        <v>0.745535714285714</v>
      </c>
      <c r="U31" s="6" t="n">
        <f aca="false">IF($A31="","",IF(OR(E31="concluida",E31="incompleta"),1,0))</f>
        <v>1</v>
      </c>
    </row>
    <row r="32" customFormat="false" ht="15" hidden="false" customHeight="false" outlineLevel="0" collapsed="false">
      <c r="A32" s="0" t="n">
        <f aca="false">IF(Visitas!A32="","",Visitas!A32)</f>
        <v>31</v>
      </c>
      <c r="B32" s="0" t="str">
        <f aca="false">IF($A32="","",Visitas!C32)</f>
        <v>2026</v>
      </c>
      <c r="C32" s="7" t="n">
        <f aca="false">IF($A32="","",Visitas!D32)</f>
        <v>46125</v>
      </c>
      <c r="D32" s="0" t="str">
        <f aca="false">IF($A32="","",Visitas!B32)</f>
        <v>UBS Mathiensen</v>
      </c>
      <c r="E32" s="0" t="str">
        <f aca="false">IF($A32="","",Visitas!F32)</f>
        <v>concluida</v>
      </c>
      <c r="F32" s="6" t="n">
        <f aca="false">IF($A32="","",SUMIFS(Avaliacoes!$G$2:$G$6000,Avaliacoes!$A$2:$A$6000,$A32,Avaliacoes!$F$2:$F$6000,"I",Avaliacoes!$H$2:$H$6000,0))</f>
        <v>13</v>
      </c>
      <c r="G32" s="6" t="n">
        <f aca="false">IF($A32="","",SUMIFS(Avaliacoes!$G$2:$G$6000,Avaliacoes!$A$2:$A$6000,$A32,Avaliacoes!$F$2:$F$6000,"II",Avaliacoes!$H$2:$H$6000,0))</f>
        <v>6</v>
      </c>
      <c r="H32" s="6" t="n">
        <f aca="false">IF($A32="","",SUMIFS(Avaliacoes!$G$2:$G$6000,Avaliacoes!$A$2:$A$6000,$A32,Avaliacoes!$F$2:$F$6000,"III",Avaliacoes!$H$2:$H$6000,0))</f>
        <v>2</v>
      </c>
      <c r="I32" s="6" t="n">
        <f aca="false">IF($A32="","",SUMIFS(Avaliacoes!$G$2:$G$6000,Avaliacoes!$A$2:$A$6000,$A32,Avaliacoes!$F$2:$F$6000,"IV",Avaliacoes!$H$2:$H$6000,0))</f>
        <v>2</v>
      </c>
      <c r="J32" s="6" t="n">
        <f aca="false">IF($A32="","",COUNTIFS(Avaliacoes!$A$2:$A$6000,$A32,Avaliacoes!$F$2:$F$6000,"I",Avaliacoes!$H$2:$H$6000,0,Avaliacoes!$G$2:$G$6000,"&lt;&gt;")*Dimensoes!$E$2)</f>
        <v>14</v>
      </c>
      <c r="K32" s="6" t="n">
        <f aca="false">IF($A32="","",COUNTIFS(Avaliacoes!$A$2:$A$6000,$A32,Avaliacoes!$F$2:$F$6000,"II",Avaliacoes!$H$2:$H$6000,0,Avaliacoes!$G$2:$G$6000,"&lt;&gt;")*Dimensoes!$E$3)</f>
        <v>8</v>
      </c>
      <c r="L32" s="6" t="n">
        <f aca="false">IF($A32="","",COUNTIFS(Avaliacoes!$A$2:$A$6000,$A32,Avaliacoes!$F$2:$F$6000,"III",Avaliacoes!$H$2:$H$6000,0,Avaliacoes!$G$2:$G$6000,"&lt;&gt;")*Dimensoes!$E$4)</f>
        <v>2</v>
      </c>
      <c r="M32" s="6" t="n">
        <f aca="false">IF($A32="","",COUNTIFS(Avaliacoes!$A$2:$A$6000,$A32,Avaliacoes!$F$2:$F$6000,"IV",Avaliacoes!$H$2:$H$6000,0,Avaliacoes!$G$2:$G$6000,"&lt;&gt;")*Dimensoes!$E$5)</f>
        <v>4</v>
      </c>
      <c r="N32" s="9" t="n">
        <f aca="false">IF($A32="","",IF(J32&gt;0,F32/J32,""))</f>
        <v>0.928571428571429</v>
      </c>
      <c r="O32" s="9" t="n">
        <f aca="false">IF($A32="","",IF(K32&gt;0,G32/K32,""))</f>
        <v>0.75</v>
      </c>
      <c r="P32" s="9" t="n">
        <f aca="false">IF($A32="","",IF(L32&gt;0,H32/L32,""))</f>
        <v>1</v>
      </c>
      <c r="Q32" s="9" t="n">
        <f aca="false">IF($A32="","",IF(M32&gt;0,I32/M32,""))</f>
        <v>0.5</v>
      </c>
      <c r="R32" s="17" t="n">
        <f aca="false">IF($A32="","",IF((IF(N32="",0,Dimensoes!$C$2)+IF(O32="",0,Dimensoes!$C$3)+IF(P32="",0,Dimensoes!$C$4)+IF(Q32="",0,Dimensoes!$C$5))=0,"",(IF(N32="",0,N32*Dimensoes!$C$2)+IF(O32="",0,O32*Dimensoes!$C$3)+IF(P32="",0,P32*Dimensoes!$C$4)+IF(Q32="",0,Q32*Dimensoes!$C$5))/(IF(N32="",0,Dimensoes!$C$2)+IF(O32="",0,Dimensoes!$C$3)+IF(P32="",0,Dimensoes!$C$4)+IF(Q32="",0,Dimensoes!$C$5))))</f>
        <v>0.794642857142857</v>
      </c>
      <c r="S32" s="0" t="str">
        <f aca="false">IF(R32="","",IF(R32&lt;Faixas!$C$3,"vermelho",IF(R32&lt;Faixas!$C$4,"amarelo","verde")))</f>
        <v>amarelo</v>
      </c>
      <c r="T32" s="9" t="n">
        <f aca="false">IF($A32="","",IF(N32="",0,N32*Dimensoes!$C$2)+IF(O32="",0,O32*Dimensoes!$C$3)+IF(P32="",0,P32*Dimensoes!$C$4)+IF(Q32="",0,Q32*Dimensoes!$C$5))</f>
        <v>0.794642857142857</v>
      </c>
      <c r="U32" s="6" t="n">
        <f aca="false">IF($A32="","",IF(OR(E32="concluida",E32="incompleta"),1,0))</f>
        <v>1</v>
      </c>
    </row>
    <row r="33" customFormat="false" ht="15" hidden="false" customHeight="false" outlineLevel="0" collapsed="false">
      <c r="A33" s="0" t="n">
        <f aca="false">IF(Visitas!A33="","",Visitas!A33)</f>
        <v>32</v>
      </c>
      <c r="B33" s="0" t="str">
        <f aca="false">IF($A33="","",Visitas!C33)</f>
        <v>2026</v>
      </c>
      <c r="C33" s="7" t="n">
        <f aca="false">IF($A33="","",Visitas!D33)</f>
        <v>46189</v>
      </c>
      <c r="D33" s="0" t="str">
        <f aca="false">IF($A33="","",Visitas!B33)</f>
        <v>UBS São Vito</v>
      </c>
      <c r="E33" s="0" t="str">
        <f aca="false">IF($A33="","",Visitas!F33)</f>
        <v>concluida</v>
      </c>
      <c r="F33" s="6" t="n">
        <f aca="false">IF($A33="","",SUMIFS(Avaliacoes!$G$2:$G$6000,Avaliacoes!$A$2:$A$6000,$A33,Avaliacoes!$F$2:$F$6000,"I",Avaliacoes!$H$2:$H$6000,0))</f>
        <v>14</v>
      </c>
      <c r="G33" s="6" t="n">
        <f aca="false">IF($A33="","",SUMIFS(Avaliacoes!$G$2:$G$6000,Avaliacoes!$A$2:$A$6000,$A33,Avaliacoes!$F$2:$F$6000,"II",Avaliacoes!$H$2:$H$6000,0))</f>
        <v>8</v>
      </c>
      <c r="H33" s="6" t="n">
        <f aca="false">IF($A33="","",SUMIFS(Avaliacoes!$G$2:$G$6000,Avaliacoes!$A$2:$A$6000,$A33,Avaliacoes!$F$2:$F$6000,"III",Avaliacoes!$H$2:$H$6000,0))</f>
        <v>2</v>
      </c>
      <c r="I33" s="6" t="n">
        <f aca="false">IF($A33="","",SUMIFS(Avaliacoes!$G$2:$G$6000,Avaliacoes!$A$2:$A$6000,$A33,Avaliacoes!$F$2:$F$6000,"IV",Avaliacoes!$H$2:$H$6000,0))</f>
        <v>4</v>
      </c>
      <c r="J33" s="6" t="n">
        <f aca="false">IF($A33="","",COUNTIFS(Avaliacoes!$A$2:$A$6000,$A33,Avaliacoes!$F$2:$F$6000,"I",Avaliacoes!$H$2:$H$6000,0,Avaliacoes!$G$2:$G$6000,"&lt;&gt;")*Dimensoes!$E$2)</f>
        <v>14</v>
      </c>
      <c r="K33" s="6" t="n">
        <f aca="false">IF($A33="","",COUNTIFS(Avaliacoes!$A$2:$A$6000,$A33,Avaliacoes!$F$2:$F$6000,"II",Avaliacoes!$H$2:$H$6000,0,Avaliacoes!$G$2:$G$6000,"&lt;&gt;")*Dimensoes!$E$3)</f>
        <v>8</v>
      </c>
      <c r="L33" s="6" t="n">
        <f aca="false">IF($A33="","",COUNTIFS(Avaliacoes!$A$2:$A$6000,$A33,Avaliacoes!$F$2:$F$6000,"III",Avaliacoes!$H$2:$H$6000,0,Avaliacoes!$G$2:$G$6000,"&lt;&gt;")*Dimensoes!$E$4)</f>
        <v>2</v>
      </c>
      <c r="M33" s="6" t="n">
        <f aca="false">IF($A33="","",COUNTIFS(Avaliacoes!$A$2:$A$6000,$A33,Avaliacoes!$F$2:$F$6000,"IV",Avaliacoes!$H$2:$H$6000,0,Avaliacoes!$G$2:$G$6000,"&lt;&gt;")*Dimensoes!$E$5)</f>
        <v>4</v>
      </c>
      <c r="N33" s="9" t="n">
        <f aca="false">IF($A33="","",IF(J33&gt;0,F33/J33,""))</f>
        <v>1</v>
      </c>
      <c r="O33" s="9" t="n">
        <f aca="false">IF($A33="","",IF(K33&gt;0,G33/K33,""))</f>
        <v>1</v>
      </c>
      <c r="P33" s="9" t="n">
        <f aca="false">IF($A33="","",IF(L33&gt;0,H33/L33,""))</f>
        <v>1</v>
      </c>
      <c r="Q33" s="9" t="n">
        <f aca="false">IF($A33="","",IF(M33&gt;0,I33/M33,""))</f>
        <v>1</v>
      </c>
      <c r="R33" s="17" t="n">
        <f aca="false">IF($A33="","",IF((IF(N33="",0,Dimensoes!$C$2)+IF(O33="",0,Dimensoes!$C$3)+IF(P33="",0,Dimensoes!$C$4)+IF(Q33="",0,Dimensoes!$C$5))=0,"",(IF(N33="",0,N33*Dimensoes!$C$2)+IF(O33="",0,O33*Dimensoes!$C$3)+IF(P33="",0,P33*Dimensoes!$C$4)+IF(Q33="",0,Q33*Dimensoes!$C$5))/(IF(N33="",0,Dimensoes!$C$2)+IF(O33="",0,Dimensoes!$C$3)+IF(P33="",0,Dimensoes!$C$4)+IF(Q33="",0,Dimensoes!$C$5))))</f>
        <v>1</v>
      </c>
      <c r="S33" s="0" t="str">
        <f aca="false">IF(R33="","",IF(R33&lt;Faixas!$C$3,"vermelho",IF(R33&lt;Faixas!$C$4,"amarelo","verde")))</f>
        <v>verde</v>
      </c>
      <c r="T33" s="9" t="n">
        <f aca="false">IF($A33="","",IF(N33="",0,N33*Dimensoes!$C$2)+IF(O33="",0,O33*Dimensoes!$C$3)+IF(P33="",0,P33*Dimensoes!$C$4)+IF(Q33="",0,Q33*Dimensoes!$C$5))</f>
        <v>1</v>
      </c>
      <c r="U33" s="6" t="n">
        <f aca="false">IF($A33="","",IF(OR(E33="concluida",E33="incompleta"),1,0))</f>
        <v>1</v>
      </c>
    </row>
    <row r="34" customFormat="false" ht="15" hidden="false" customHeight="false" outlineLevel="0" collapsed="false">
      <c r="A34" s="0" t="n">
        <f aca="false">IF(Visitas!A34="","",Visitas!A34)</f>
        <v>33</v>
      </c>
      <c r="B34" s="0" t="str">
        <f aca="false">IF($A34="","",Visitas!C34)</f>
        <v>2026</v>
      </c>
      <c r="C34" s="7" t="n">
        <f aca="false">IF($A34="","",Visitas!D34)</f>
        <v>46234</v>
      </c>
      <c r="D34" s="0" t="str">
        <f aca="false">IF($A34="","",Visitas!B34)</f>
        <v>CAPS Infantil Larissa de Almeida</v>
      </c>
      <c r="E34" s="0" t="str">
        <f aca="false">IF($A34="","",Visitas!F34)</f>
        <v>concluida</v>
      </c>
      <c r="F34" s="6" t="n">
        <f aca="false">IF($A34="","",SUMIFS(Avaliacoes!$G$2:$G$6000,Avaliacoes!$A$2:$A$6000,$A34,Avaliacoes!$F$2:$F$6000,"I",Avaliacoes!$H$2:$H$6000,0))</f>
        <v>13</v>
      </c>
      <c r="G34" s="6" t="n">
        <f aca="false">IF($A34="","",SUMIFS(Avaliacoes!$G$2:$G$6000,Avaliacoes!$A$2:$A$6000,$A34,Avaliacoes!$F$2:$F$6000,"II",Avaliacoes!$H$2:$H$6000,0))</f>
        <v>8</v>
      </c>
      <c r="H34" s="6" t="n">
        <f aca="false">IF($A34="","",SUMIFS(Avaliacoes!$G$2:$G$6000,Avaliacoes!$A$2:$A$6000,$A34,Avaliacoes!$F$2:$F$6000,"III",Avaliacoes!$H$2:$H$6000,0))</f>
        <v>2</v>
      </c>
      <c r="I34" s="6" t="n">
        <f aca="false">IF($A34="","",SUMIFS(Avaliacoes!$G$2:$G$6000,Avaliacoes!$A$2:$A$6000,$A34,Avaliacoes!$F$2:$F$6000,"IV",Avaliacoes!$H$2:$H$6000,0))</f>
        <v>4</v>
      </c>
      <c r="J34" s="6" t="n">
        <f aca="false">IF($A34="","",COUNTIFS(Avaliacoes!$A$2:$A$6000,$A34,Avaliacoes!$F$2:$F$6000,"I",Avaliacoes!$H$2:$H$6000,0,Avaliacoes!$G$2:$G$6000,"&lt;&gt;")*Dimensoes!$E$2)</f>
        <v>14</v>
      </c>
      <c r="K34" s="6" t="n">
        <f aca="false">IF($A34="","",COUNTIFS(Avaliacoes!$A$2:$A$6000,$A34,Avaliacoes!$F$2:$F$6000,"II",Avaliacoes!$H$2:$H$6000,0,Avaliacoes!$G$2:$G$6000,"&lt;&gt;")*Dimensoes!$E$3)</f>
        <v>8</v>
      </c>
      <c r="L34" s="6" t="n">
        <f aca="false">IF($A34="","",COUNTIFS(Avaliacoes!$A$2:$A$6000,$A34,Avaliacoes!$F$2:$F$6000,"III",Avaliacoes!$H$2:$H$6000,0,Avaliacoes!$G$2:$G$6000,"&lt;&gt;")*Dimensoes!$E$4)</f>
        <v>2</v>
      </c>
      <c r="M34" s="6" t="n">
        <f aca="false">IF($A34="","",COUNTIFS(Avaliacoes!$A$2:$A$6000,$A34,Avaliacoes!$F$2:$F$6000,"IV",Avaliacoes!$H$2:$H$6000,0,Avaliacoes!$G$2:$G$6000,"&lt;&gt;")*Dimensoes!$E$5)</f>
        <v>4</v>
      </c>
      <c r="N34" s="9" t="n">
        <f aca="false">IF($A34="","",IF(J34&gt;0,F34/J34,""))</f>
        <v>0.928571428571429</v>
      </c>
      <c r="O34" s="9" t="n">
        <f aca="false">IF($A34="","",IF(K34&gt;0,G34/K34,""))</f>
        <v>1</v>
      </c>
      <c r="P34" s="9" t="n">
        <f aca="false">IF($A34="","",IF(L34&gt;0,H34/L34,""))</f>
        <v>1</v>
      </c>
      <c r="Q34" s="9" t="n">
        <f aca="false">IF($A34="","",IF(M34&gt;0,I34/M34,""))</f>
        <v>1</v>
      </c>
      <c r="R34" s="17" t="n">
        <f aca="false">IF($A34="","",IF((IF(N34="",0,Dimensoes!$C$2)+IF(O34="",0,Dimensoes!$C$3)+IF(P34="",0,Dimensoes!$C$4)+IF(Q34="",0,Dimensoes!$C$5))=0,"",(IF(N34="",0,N34*Dimensoes!$C$2)+IF(O34="",0,O34*Dimensoes!$C$3)+IF(P34="",0,P34*Dimensoes!$C$4)+IF(Q34="",0,Q34*Dimensoes!$C$5))/(IF(N34="",0,Dimensoes!$C$2)+IF(O34="",0,Dimensoes!$C$3)+IF(P34="",0,Dimensoes!$C$4)+IF(Q34="",0,Dimensoes!$C$5))))</f>
        <v>0.982142857142857</v>
      </c>
      <c r="S34" s="0" t="str">
        <f aca="false">IF(R34="","",IF(R34&lt;Faixas!$C$3,"vermelho",IF(R34&lt;Faixas!$C$4,"amarelo","verde")))</f>
        <v>verde</v>
      </c>
      <c r="T34" s="9" t="n">
        <f aca="false">IF($A34="","",IF(N34="",0,N34*Dimensoes!$C$2)+IF(O34="",0,O34*Dimensoes!$C$3)+IF(P34="",0,P34*Dimensoes!$C$4)+IF(Q34="",0,Q34*Dimensoes!$C$5))</f>
        <v>0.982142857142857</v>
      </c>
      <c r="U34" s="6" t="n">
        <f aca="false">IF($A34="","",IF(OR(E34="concluida",E34="incompleta"),1,0))</f>
        <v>1</v>
      </c>
    </row>
    <row r="35" customFormat="false" ht="15" hidden="false" customHeight="false" outlineLevel="0" collapsed="false">
      <c r="A35" s="0" t="n">
        <f aca="false">IF(Visitas!A35="","",Visitas!A35)</f>
        <v>34</v>
      </c>
      <c r="B35" s="0" t="str">
        <f aca="false">IF($A35="","",Visitas!C35)</f>
        <v>2026</v>
      </c>
      <c r="C35" s="7" t="n">
        <f aca="false">IF($A35="","",Visitas!D35)</f>
        <v>46254</v>
      </c>
      <c r="D35" s="0" t="str">
        <f aca="false">IF($A35="","",Visitas!B35)</f>
        <v>UBS Parque das Nações</v>
      </c>
      <c r="E35" s="0" t="str">
        <f aca="false">IF($A35="","",Visitas!F35)</f>
        <v>concluida</v>
      </c>
      <c r="F35" s="6" t="n">
        <f aca="false">IF($A35="","",SUMIFS(Avaliacoes!$G$2:$G$6000,Avaliacoes!$A$2:$A$6000,$A35,Avaliacoes!$F$2:$F$6000,"I",Avaliacoes!$H$2:$H$6000,0))</f>
        <v>10</v>
      </c>
      <c r="G35" s="6" t="n">
        <f aca="false">IF($A35="","",SUMIFS(Avaliacoes!$G$2:$G$6000,Avaliacoes!$A$2:$A$6000,$A35,Avaliacoes!$F$2:$F$6000,"II",Avaliacoes!$H$2:$H$6000,0))</f>
        <v>6</v>
      </c>
      <c r="H35" s="6" t="n">
        <f aca="false">IF($A35="","",SUMIFS(Avaliacoes!$G$2:$G$6000,Avaliacoes!$A$2:$A$6000,$A35,Avaliacoes!$F$2:$F$6000,"III",Avaliacoes!$H$2:$H$6000,0))</f>
        <v>2</v>
      </c>
      <c r="I35" s="6" t="n">
        <f aca="false">IF($A35="","",SUMIFS(Avaliacoes!$G$2:$G$6000,Avaliacoes!$A$2:$A$6000,$A35,Avaliacoes!$F$2:$F$6000,"IV",Avaliacoes!$H$2:$H$6000,0))</f>
        <v>2</v>
      </c>
      <c r="J35" s="6" t="n">
        <f aca="false">IF($A35="","",COUNTIFS(Avaliacoes!$A$2:$A$6000,$A35,Avaliacoes!$F$2:$F$6000,"I",Avaliacoes!$H$2:$H$6000,0,Avaliacoes!$G$2:$G$6000,"&lt;&gt;")*Dimensoes!$E$2)</f>
        <v>14</v>
      </c>
      <c r="K35" s="6" t="n">
        <f aca="false">IF($A35="","",COUNTIFS(Avaliacoes!$A$2:$A$6000,$A35,Avaliacoes!$F$2:$F$6000,"II",Avaliacoes!$H$2:$H$6000,0,Avaliacoes!$G$2:$G$6000,"&lt;&gt;")*Dimensoes!$E$3)</f>
        <v>8</v>
      </c>
      <c r="L35" s="6" t="n">
        <f aca="false">IF($A35="","",COUNTIFS(Avaliacoes!$A$2:$A$6000,$A35,Avaliacoes!$F$2:$F$6000,"III",Avaliacoes!$H$2:$H$6000,0,Avaliacoes!$G$2:$G$6000,"&lt;&gt;")*Dimensoes!$E$4)</f>
        <v>2</v>
      </c>
      <c r="M35" s="6" t="n">
        <f aca="false">IF($A35="","",COUNTIFS(Avaliacoes!$A$2:$A$6000,$A35,Avaliacoes!$F$2:$F$6000,"IV",Avaliacoes!$H$2:$H$6000,0,Avaliacoes!$G$2:$G$6000,"&lt;&gt;")*Dimensoes!$E$5)</f>
        <v>4</v>
      </c>
      <c r="N35" s="9" t="n">
        <f aca="false">IF($A35="","",IF(J35&gt;0,F35/J35,""))</f>
        <v>0.714285714285714</v>
      </c>
      <c r="O35" s="9" t="n">
        <f aca="false">IF($A35="","",IF(K35&gt;0,G35/K35,""))</f>
        <v>0.75</v>
      </c>
      <c r="P35" s="9" t="n">
        <f aca="false">IF($A35="","",IF(L35&gt;0,H35/L35,""))</f>
        <v>1</v>
      </c>
      <c r="Q35" s="9" t="n">
        <f aca="false">IF($A35="","",IF(M35&gt;0,I35/M35,""))</f>
        <v>0.5</v>
      </c>
      <c r="R35" s="17" t="n">
        <f aca="false">IF($A35="","",IF((IF(N35="",0,Dimensoes!$C$2)+IF(O35="",0,Dimensoes!$C$3)+IF(P35="",0,Dimensoes!$C$4)+IF(Q35="",0,Dimensoes!$C$5))=0,"",(IF(N35="",0,N35*Dimensoes!$C$2)+IF(O35="",0,O35*Dimensoes!$C$3)+IF(P35="",0,P35*Dimensoes!$C$4)+IF(Q35="",0,Q35*Dimensoes!$C$5))/(IF(N35="",0,Dimensoes!$C$2)+IF(O35="",0,Dimensoes!$C$3)+IF(P35="",0,Dimensoes!$C$4)+IF(Q35="",0,Dimensoes!$C$5))))</f>
        <v>0.741071428571429</v>
      </c>
      <c r="S35" s="0" t="str">
        <f aca="false">IF(R35="","",IF(R35&lt;Faixas!$C$3,"vermelho",IF(R35&lt;Faixas!$C$4,"amarelo","verde")))</f>
        <v>amarelo</v>
      </c>
      <c r="T35" s="9" t="n">
        <f aca="false">IF($A35="","",IF(N35="",0,N35*Dimensoes!$C$2)+IF(O35="",0,O35*Dimensoes!$C$3)+IF(P35="",0,P35*Dimensoes!$C$4)+IF(Q35="",0,Q35*Dimensoes!$C$5))</f>
        <v>0.741071428571429</v>
      </c>
      <c r="U35" s="6" t="n">
        <f aca="false">IF($A35="","",IF(OR(E35="concluida",E35="incompleta"),1,0))</f>
        <v>1</v>
      </c>
    </row>
    <row r="36" customFormat="false" ht="15" hidden="false" customHeight="false" outlineLevel="0" collapsed="false">
      <c r="A36" s="0" t="n">
        <f aca="false">IF(Visitas!A36="","",Visitas!A36)</f>
        <v>35</v>
      </c>
      <c r="B36" s="0" t="str">
        <f aca="false">IF($A36="","",Visitas!C36)</f>
        <v>2026</v>
      </c>
      <c r="C36" s="7" t="n">
        <f aca="false">IF($A36="","",Visitas!D36)</f>
        <v>46240</v>
      </c>
      <c r="D36" s="0" t="str">
        <f aca="false">IF($A36="","",Visitas!B36)</f>
        <v>ESF Liberdade</v>
      </c>
      <c r="E36" s="0" t="str">
        <f aca="false">IF($A36="","",Visitas!F36)</f>
        <v>concluida</v>
      </c>
      <c r="F36" s="6" t="n">
        <f aca="false">IF($A36="","",SUMIFS(Avaliacoes!$G$2:$G$6000,Avaliacoes!$A$2:$A$6000,$A36,Avaliacoes!$F$2:$F$6000,"I",Avaliacoes!$H$2:$H$6000,0))</f>
        <v>10</v>
      </c>
      <c r="G36" s="6" t="n">
        <f aca="false">IF($A36="","",SUMIFS(Avaliacoes!$G$2:$G$6000,Avaliacoes!$A$2:$A$6000,$A36,Avaliacoes!$F$2:$F$6000,"II",Avaliacoes!$H$2:$H$6000,0))</f>
        <v>7</v>
      </c>
      <c r="H36" s="6" t="n">
        <f aca="false">IF($A36="","",SUMIFS(Avaliacoes!$G$2:$G$6000,Avaliacoes!$A$2:$A$6000,$A36,Avaliacoes!$F$2:$F$6000,"III",Avaliacoes!$H$2:$H$6000,0))</f>
        <v>1</v>
      </c>
      <c r="I36" s="6" t="n">
        <f aca="false">IF($A36="","",SUMIFS(Avaliacoes!$G$2:$G$6000,Avaliacoes!$A$2:$A$6000,$A36,Avaliacoes!$F$2:$F$6000,"IV",Avaliacoes!$H$2:$H$6000,0))</f>
        <v>2</v>
      </c>
      <c r="J36" s="6" t="n">
        <f aca="false">IF($A36="","",COUNTIFS(Avaliacoes!$A$2:$A$6000,$A36,Avaliacoes!$F$2:$F$6000,"I",Avaliacoes!$H$2:$H$6000,0,Avaliacoes!$G$2:$G$6000,"&lt;&gt;")*Dimensoes!$E$2)</f>
        <v>14</v>
      </c>
      <c r="K36" s="6" t="n">
        <f aca="false">IF($A36="","",COUNTIFS(Avaliacoes!$A$2:$A$6000,$A36,Avaliacoes!$F$2:$F$6000,"II",Avaliacoes!$H$2:$H$6000,0,Avaliacoes!$G$2:$G$6000,"&lt;&gt;")*Dimensoes!$E$3)</f>
        <v>8</v>
      </c>
      <c r="L36" s="6" t="n">
        <f aca="false">IF($A36="","",COUNTIFS(Avaliacoes!$A$2:$A$6000,$A36,Avaliacoes!$F$2:$F$6000,"III",Avaliacoes!$H$2:$H$6000,0,Avaliacoes!$G$2:$G$6000,"&lt;&gt;")*Dimensoes!$E$4)</f>
        <v>2</v>
      </c>
      <c r="M36" s="6" t="n">
        <f aca="false">IF($A36="","",COUNTIFS(Avaliacoes!$A$2:$A$6000,$A36,Avaliacoes!$F$2:$F$6000,"IV",Avaliacoes!$H$2:$H$6000,0,Avaliacoes!$G$2:$G$6000,"&lt;&gt;")*Dimensoes!$E$5)</f>
        <v>4</v>
      </c>
      <c r="N36" s="9" t="n">
        <f aca="false">IF($A36="","",IF(J36&gt;0,F36/J36,""))</f>
        <v>0.714285714285714</v>
      </c>
      <c r="O36" s="9" t="n">
        <f aca="false">IF($A36="","",IF(K36&gt;0,G36/K36,""))</f>
        <v>0.875</v>
      </c>
      <c r="P36" s="9" t="n">
        <f aca="false">IF($A36="","",IF(L36&gt;0,H36/L36,""))</f>
        <v>0.5</v>
      </c>
      <c r="Q36" s="9" t="n">
        <f aca="false">IF($A36="","",IF(M36&gt;0,I36/M36,""))</f>
        <v>0.5</v>
      </c>
      <c r="R36" s="17" t="n">
        <f aca="false">IF($A36="","",IF((IF(N36="",0,Dimensoes!$C$2)+IF(O36="",0,Dimensoes!$C$3)+IF(P36="",0,Dimensoes!$C$4)+IF(Q36="",0,Dimensoes!$C$5))=0,"",(IF(N36="",0,N36*Dimensoes!$C$2)+IF(O36="",0,O36*Dimensoes!$C$3)+IF(P36="",0,P36*Dimensoes!$C$4)+IF(Q36="",0,Q36*Dimensoes!$C$5))/(IF(N36="",0,Dimensoes!$C$2)+IF(O36="",0,Dimensoes!$C$3)+IF(P36="",0,Dimensoes!$C$4)+IF(Q36="",0,Dimensoes!$C$5))))</f>
        <v>0.647321428571429</v>
      </c>
      <c r="S36" s="0" t="str">
        <f aca="false">IF(R36="","",IF(R36&lt;Faixas!$C$3,"vermelho",IF(R36&lt;Faixas!$C$4,"amarelo","verde")))</f>
        <v>amarelo</v>
      </c>
      <c r="T36" s="9" t="n">
        <f aca="false">IF($A36="","",IF(N36="",0,N36*Dimensoes!$C$2)+IF(O36="",0,O36*Dimensoes!$C$3)+IF(P36="",0,P36*Dimensoes!$C$4)+IF(Q36="",0,Q36*Dimensoes!$C$5))</f>
        <v>0.647321428571429</v>
      </c>
      <c r="U36" s="6" t="n">
        <f aca="false">IF($A36="","",IF(OR(E36="concluida",E36="incompleta"),1,0))</f>
        <v>1</v>
      </c>
    </row>
    <row r="37" customFormat="false" ht="15" hidden="false" customHeight="false" outlineLevel="0" collapsed="false">
      <c r="A37" s="0" t="n">
        <f aca="false">IF(Visitas!A37="","",Visitas!A37)</f>
        <v>36</v>
      </c>
      <c r="B37" s="0" t="str">
        <f aca="false">IF($A37="","",Visitas!C37)</f>
        <v>2026</v>
      </c>
      <c r="C37" s="7" t="n">
        <f aca="false">IF($A37="","",Visitas!D37)</f>
        <v>46258</v>
      </c>
      <c r="D37" s="0" t="str">
        <f aca="false">IF($A37="","",Visitas!B37)</f>
        <v>ESF Jaguari</v>
      </c>
      <c r="E37" s="0" t="str">
        <f aca="false">IF($A37="","",Visitas!F37)</f>
        <v>concluida</v>
      </c>
      <c r="F37" s="6" t="n">
        <f aca="false">IF($A37="","",SUMIFS(Avaliacoes!$G$2:$G$6000,Avaliacoes!$A$2:$A$6000,$A37,Avaliacoes!$F$2:$F$6000,"I",Avaliacoes!$H$2:$H$6000,0))</f>
        <v>10</v>
      </c>
      <c r="G37" s="6" t="n">
        <f aca="false">IF($A37="","",SUMIFS(Avaliacoes!$G$2:$G$6000,Avaliacoes!$A$2:$A$6000,$A37,Avaliacoes!$F$2:$F$6000,"II",Avaliacoes!$H$2:$H$6000,0))</f>
        <v>7</v>
      </c>
      <c r="H37" s="6" t="n">
        <f aca="false">IF($A37="","",SUMIFS(Avaliacoes!$G$2:$G$6000,Avaliacoes!$A$2:$A$6000,$A37,Avaliacoes!$F$2:$F$6000,"III",Avaliacoes!$H$2:$H$6000,0))</f>
        <v>1</v>
      </c>
      <c r="I37" s="6" t="n">
        <f aca="false">IF($A37="","",SUMIFS(Avaliacoes!$G$2:$G$6000,Avaliacoes!$A$2:$A$6000,$A37,Avaliacoes!$F$2:$F$6000,"IV",Avaliacoes!$H$2:$H$6000,0))</f>
        <v>4</v>
      </c>
      <c r="J37" s="6" t="n">
        <f aca="false">IF($A37="","",COUNTIFS(Avaliacoes!$A$2:$A$6000,$A37,Avaliacoes!$F$2:$F$6000,"I",Avaliacoes!$H$2:$H$6000,0,Avaliacoes!$G$2:$G$6000,"&lt;&gt;")*Dimensoes!$E$2)</f>
        <v>14</v>
      </c>
      <c r="K37" s="6" t="n">
        <f aca="false">IF($A37="","",COUNTIFS(Avaliacoes!$A$2:$A$6000,$A37,Avaliacoes!$F$2:$F$6000,"II",Avaliacoes!$H$2:$H$6000,0,Avaliacoes!$G$2:$G$6000,"&lt;&gt;")*Dimensoes!$E$3)</f>
        <v>8</v>
      </c>
      <c r="L37" s="6" t="n">
        <f aca="false">IF($A37="","",COUNTIFS(Avaliacoes!$A$2:$A$6000,$A37,Avaliacoes!$F$2:$F$6000,"III",Avaliacoes!$H$2:$H$6000,0,Avaliacoes!$G$2:$G$6000,"&lt;&gt;")*Dimensoes!$E$4)</f>
        <v>2</v>
      </c>
      <c r="M37" s="6" t="n">
        <f aca="false">IF($A37="","",COUNTIFS(Avaliacoes!$A$2:$A$6000,$A37,Avaliacoes!$F$2:$F$6000,"IV",Avaliacoes!$H$2:$H$6000,0,Avaliacoes!$G$2:$G$6000,"&lt;&gt;")*Dimensoes!$E$5)</f>
        <v>4</v>
      </c>
      <c r="N37" s="9" t="n">
        <f aca="false">IF($A37="","",IF(J37&gt;0,F37/J37,""))</f>
        <v>0.714285714285714</v>
      </c>
      <c r="O37" s="9" t="n">
        <f aca="false">IF($A37="","",IF(K37&gt;0,G37/K37,""))</f>
        <v>0.875</v>
      </c>
      <c r="P37" s="9" t="n">
        <f aca="false">IF($A37="","",IF(L37&gt;0,H37/L37,""))</f>
        <v>0.5</v>
      </c>
      <c r="Q37" s="9" t="n">
        <f aca="false">IF($A37="","",IF(M37&gt;0,I37/M37,""))</f>
        <v>1</v>
      </c>
      <c r="R37" s="17" t="n">
        <f aca="false">IF($A37="","",IF((IF(N37="",0,Dimensoes!$C$2)+IF(O37="",0,Dimensoes!$C$3)+IF(P37="",0,Dimensoes!$C$4)+IF(Q37="",0,Dimensoes!$C$5))=0,"",(IF(N37="",0,N37*Dimensoes!$C$2)+IF(O37="",0,O37*Dimensoes!$C$3)+IF(P37="",0,P37*Dimensoes!$C$4)+IF(Q37="",0,Q37*Dimensoes!$C$5))/(IF(N37="",0,Dimensoes!$C$2)+IF(O37="",0,Dimensoes!$C$3)+IF(P37="",0,Dimensoes!$C$4)+IF(Q37="",0,Dimensoes!$C$5))))</f>
        <v>0.772321428571429</v>
      </c>
      <c r="S37" s="0" t="str">
        <f aca="false">IF(R37="","",IF(R37&lt;Faixas!$C$3,"vermelho",IF(R37&lt;Faixas!$C$4,"amarelo","verde")))</f>
        <v>amarelo</v>
      </c>
      <c r="T37" s="9" t="n">
        <f aca="false">IF($A37="","",IF(N37="",0,N37*Dimensoes!$C$2)+IF(O37="",0,O37*Dimensoes!$C$3)+IF(P37="",0,P37*Dimensoes!$C$4)+IF(Q37="",0,Q37*Dimensoes!$C$5))</f>
        <v>0.772321428571429</v>
      </c>
      <c r="U37" s="6" t="n">
        <f aca="false">IF($A37="","",IF(OR(E37="concluida",E37="incompleta"),1,0))</f>
        <v>1</v>
      </c>
    </row>
    <row r="38" customFormat="false" ht="15" hidden="false" customHeight="false" outlineLevel="0" collapsed="false">
      <c r="A38" s="0" t="n">
        <f aca="false">IF(Visitas!A38="","",Visitas!A38)</f>
        <v>37</v>
      </c>
      <c r="B38" s="0" t="str">
        <f aca="false">IF($A38="","",Visitas!C38)</f>
        <v>2026</v>
      </c>
      <c r="C38" s="7" t="n">
        <f aca="false">IF($A38="","",Visitas!D38)</f>
        <v>46239</v>
      </c>
      <c r="D38" s="0" t="str">
        <f aca="false">IF($A38="","",Visitas!B38)</f>
        <v>ESF Zanaga I</v>
      </c>
      <c r="E38" s="0" t="str">
        <f aca="false">IF($A38="","",Visitas!F38)</f>
        <v>concluida</v>
      </c>
      <c r="F38" s="6" t="n">
        <f aca="false">IF($A38="","",SUMIFS(Avaliacoes!$G$2:$G$6000,Avaliacoes!$A$2:$A$6000,$A38,Avaliacoes!$F$2:$F$6000,"I",Avaliacoes!$H$2:$H$6000,0))</f>
        <v>9</v>
      </c>
      <c r="G38" s="6" t="n">
        <f aca="false">IF($A38="","",SUMIFS(Avaliacoes!$G$2:$G$6000,Avaliacoes!$A$2:$A$6000,$A38,Avaliacoes!$F$2:$F$6000,"II",Avaliacoes!$H$2:$H$6000,0))</f>
        <v>6</v>
      </c>
      <c r="H38" s="6" t="n">
        <f aca="false">IF($A38="","",SUMIFS(Avaliacoes!$G$2:$G$6000,Avaliacoes!$A$2:$A$6000,$A38,Avaliacoes!$F$2:$F$6000,"III",Avaliacoes!$H$2:$H$6000,0))</f>
        <v>2</v>
      </c>
      <c r="I38" s="6" t="n">
        <f aca="false">IF($A38="","",SUMIFS(Avaliacoes!$G$2:$G$6000,Avaliacoes!$A$2:$A$6000,$A38,Avaliacoes!$F$2:$F$6000,"IV",Avaliacoes!$H$2:$H$6000,0))</f>
        <v>4</v>
      </c>
      <c r="J38" s="6" t="n">
        <f aca="false">IF($A38="","",COUNTIFS(Avaliacoes!$A$2:$A$6000,$A38,Avaliacoes!$F$2:$F$6000,"I",Avaliacoes!$H$2:$H$6000,0,Avaliacoes!$G$2:$G$6000,"&lt;&gt;")*Dimensoes!$E$2)</f>
        <v>14</v>
      </c>
      <c r="K38" s="6" t="n">
        <f aca="false">IF($A38="","",COUNTIFS(Avaliacoes!$A$2:$A$6000,$A38,Avaliacoes!$F$2:$F$6000,"II",Avaliacoes!$H$2:$H$6000,0,Avaliacoes!$G$2:$G$6000,"&lt;&gt;")*Dimensoes!$E$3)</f>
        <v>8</v>
      </c>
      <c r="L38" s="6" t="n">
        <f aca="false">IF($A38="","",COUNTIFS(Avaliacoes!$A$2:$A$6000,$A38,Avaliacoes!$F$2:$F$6000,"III",Avaliacoes!$H$2:$H$6000,0,Avaliacoes!$G$2:$G$6000,"&lt;&gt;")*Dimensoes!$E$4)</f>
        <v>2</v>
      </c>
      <c r="M38" s="6" t="n">
        <f aca="false">IF($A38="","",COUNTIFS(Avaliacoes!$A$2:$A$6000,$A38,Avaliacoes!$F$2:$F$6000,"IV",Avaliacoes!$H$2:$H$6000,0,Avaliacoes!$G$2:$G$6000,"&lt;&gt;")*Dimensoes!$E$5)</f>
        <v>4</v>
      </c>
      <c r="N38" s="9" t="n">
        <f aca="false">IF($A38="","",IF(J38&gt;0,F38/J38,""))</f>
        <v>0.642857142857143</v>
      </c>
      <c r="O38" s="9" t="n">
        <f aca="false">IF($A38="","",IF(K38&gt;0,G38/K38,""))</f>
        <v>0.75</v>
      </c>
      <c r="P38" s="9" t="n">
        <f aca="false">IF($A38="","",IF(L38&gt;0,H38/L38,""))</f>
        <v>1</v>
      </c>
      <c r="Q38" s="9" t="n">
        <f aca="false">IF($A38="","",IF(M38&gt;0,I38/M38,""))</f>
        <v>1</v>
      </c>
      <c r="R38" s="17" t="n">
        <f aca="false">IF($A38="","",IF((IF(N38="",0,Dimensoes!$C$2)+IF(O38="",0,Dimensoes!$C$3)+IF(P38="",0,Dimensoes!$C$4)+IF(Q38="",0,Dimensoes!$C$5))=0,"",(IF(N38="",0,N38*Dimensoes!$C$2)+IF(O38="",0,O38*Dimensoes!$C$3)+IF(P38="",0,P38*Dimensoes!$C$4)+IF(Q38="",0,Q38*Dimensoes!$C$5))/(IF(N38="",0,Dimensoes!$C$2)+IF(O38="",0,Dimensoes!$C$3)+IF(P38="",0,Dimensoes!$C$4)+IF(Q38="",0,Dimensoes!$C$5))))</f>
        <v>0.848214285714286</v>
      </c>
      <c r="S38" s="0" t="str">
        <f aca="false">IF(R38="","",IF(R38&lt;Faixas!$C$3,"vermelho",IF(R38&lt;Faixas!$C$4,"amarelo","verde")))</f>
        <v>verde</v>
      </c>
      <c r="T38" s="9" t="n">
        <f aca="false">IF($A38="","",IF(N38="",0,N38*Dimensoes!$C$2)+IF(O38="",0,O38*Dimensoes!$C$3)+IF(P38="",0,P38*Dimensoes!$C$4)+IF(Q38="",0,Q38*Dimensoes!$C$5))</f>
        <v>0.848214285714286</v>
      </c>
      <c r="U38" s="6" t="n">
        <f aca="false">IF($A38="","",IF(OR(E38="concluida",E38="incompleta"),1,0))</f>
        <v>1</v>
      </c>
    </row>
    <row r="39" customFormat="false" ht="15" hidden="false" customHeight="false" outlineLevel="0" collapsed="false">
      <c r="A39" s="0" t="n">
        <f aca="false">IF(Visitas!A39="","",Visitas!A39)</f>
        <v>38</v>
      </c>
      <c r="B39" s="0" t="str">
        <f aca="false">IF($A39="","",Visitas!C39)</f>
        <v>2026</v>
      </c>
      <c r="C39" s="7" t="n">
        <f aca="false">IF($A39="","",Visitas!D39)</f>
        <v>46254</v>
      </c>
      <c r="D39" s="0" t="str">
        <f aca="false">IF($A39="","",Visitas!B39)</f>
        <v>UBS Cariobinha</v>
      </c>
      <c r="E39" s="0" t="str">
        <f aca="false">IF($A39="","",Visitas!F39)</f>
        <v>concluida</v>
      </c>
      <c r="F39" s="6" t="n">
        <f aca="false">IF($A39="","",SUMIFS(Avaliacoes!$G$2:$G$6000,Avaliacoes!$A$2:$A$6000,$A39,Avaliacoes!$F$2:$F$6000,"I",Avaliacoes!$H$2:$H$6000,0))</f>
        <v>11</v>
      </c>
      <c r="G39" s="6" t="n">
        <f aca="false">IF($A39="","",SUMIFS(Avaliacoes!$G$2:$G$6000,Avaliacoes!$A$2:$A$6000,$A39,Avaliacoes!$F$2:$F$6000,"II",Avaliacoes!$H$2:$H$6000,0))</f>
        <v>8</v>
      </c>
      <c r="H39" s="6" t="n">
        <f aca="false">IF($A39="","",SUMIFS(Avaliacoes!$G$2:$G$6000,Avaliacoes!$A$2:$A$6000,$A39,Avaliacoes!$F$2:$F$6000,"III",Avaliacoes!$H$2:$H$6000,0))</f>
        <v>2</v>
      </c>
      <c r="I39" s="6" t="n">
        <f aca="false">IF($A39="","",SUMIFS(Avaliacoes!$G$2:$G$6000,Avaliacoes!$A$2:$A$6000,$A39,Avaliacoes!$F$2:$F$6000,"IV",Avaliacoes!$H$2:$H$6000,0))</f>
        <v>4</v>
      </c>
      <c r="J39" s="6" t="n">
        <f aca="false">IF($A39="","",COUNTIFS(Avaliacoes!$A$2:$A$6000,$A39,Avaliacoes!$F$2:$F$6000,"I",Avaliacoes!$H$2:$H$6000,0,Avaliacoes!$G$2:$G$6000,"&lt;&gt;")*Dimensoes!$E$2)</f>
        <v>14</v>
      </c>
      <c r="K39" s="6" t="n">
        <f aca="false">IF($A39="","",COUNTIFS(Avaliacoes!$A$2:$A$6000,$A39,Avaliacoes!$F$2:$F$6000,"II",Avaliacoes!$H$2:$H$6000,0,Avaliacoes!$G$2:$G$6000,"&lt;&gt;")*Dimensoes!$E$3)</f>
        <v>8</v>
      </c>
      <c r="L39" s="6" t="n">
        <f aca="false">IF($A39="","",COUNTIFS(Avaliacoes!$A$2:$A$6000,$A39,Avaliacoes!$F$2:$F$6000,"III",Avaliacoes!$H$2:$H$6000,0,Avaliacoes!$G$2:$G$6000,"&lt;&gt;")*Dimensoes!$E$4)</f>
        <v>2</v>
      </c>
      <c r="M39" s="6" t="n">
        <f aca="false">IF($A39="","",COUNTIFS(Avaliacoes!$A$2:$A$6000,$A39,Avaliacoes!$F$2:$F$6000,"IV",Avaliacoes!$H$2:$H$6000,0,Avaliacoes!$G$2:$G$6000,"&lt;&gt;")*Dimensoes!$E$5)</f>
        <v>4</v>
      </c>
      <c r="N39" s="9" t="n">
        <f aca="false">IF($A39="","",IF(J39&gt;0,F39/J39,""))</f>
        <v>0.785714285714286</v>
      </c>
      <c r="O39" s="9" t="n">
        <f aca="false">IF($A39="","",IF(K39&gt;0,G39/K39,""))</f>
        <v>1</v>
      </c>
      <c r="P39" s="9" t="n">
        <f aca="false">IF($A39="","",IF(L39&gt;0,H39/L39,""))</f>
        <v>1</v>
      </c>
      <c r="Q39" s="9" t="n">
        <f aca="false">IF($A39="","",IF(M39&gt;0,I39/M39,""))</f>
        <v>1</v>
      </c>
      <c r="R39" s="17" t="n">
        <f aca="false">IF($A39="","",IF((IF(N39="",0,Dimensoes!$C$2)+IF(O39="",0,Dimensoes!$C$3)+IF(P39="",0,Dimensoes!$C$4)+IF(Q39="",0,Dimensoes!$C$5))=0,"",(IF(N39="",0,N39*Dimensoes!$C$2)+IF(O39="",0,O39*Dimensoes!$C$3)+IF(P39="",0,P39*Dimensoes!$C$4)+IF(Q39="",0,Q39*Dimensoes!$C$5))/(IF(N39="",0,Dimensoes!$C$2)+IF(O39="",0,Dimensoes!$C$3)+IF(P39="",0,Dimensoes!$C$4)+IF(Q39="",0,Dimensoes!$C$5))))</f>
        <v>0.946428571428571</v>
      </c>
      <c r="S39" s="0" t="str">
        <f aca="false">IF(R39="","",IF(R39&lt;Faixas!$C$3,"vermelho",IF(R39&lt;Faixas!$C$4,"amarelo","verde")))</f>
        <v>verde</v>
      </c>
      <c r="T39" s="9" t="n">
        <f aca="false">IF($A39="","",IF(N39="",0,N39*Dimensoes!$C$2)+IF(O39="",0,O39*Dimensoes!$C$3)+IF(P39="",0,P39*Dimensoes!$C$4)+IF(Q39="",0,Q39*Dimensoes!$C$5))</f>
        <v>0.946428571428571</v>
      </c>
      <c r="U39" s="6" t="n">
        <f aca="false">IF($A39="","",IF(OR(E39="concluida",E39="incompleta"),1,0))</f>
        <v>1</v>
      </c>
    </row>
    <row r="40" customFormat="false" ht="15" hidden="false" customHeight="false" outlineLevel="0" collapsed="false">
      <c r="A40" s="0" t="n">
        <f aca="false">IF(Visitas!A40="","",Visitas!A40)</f>
        <v>39</v>
      </c>
      <c r="B40" s="0" t="str">
        <f aca="false">IF($A40="","",Visitas!C40)</f>
        <v>2026</v>
      </c>
      <c r="C40" s="7" t="n">
        <f aca="false">IF($A40="","",Visitas!D40)</f>
        <v>46191</v>
      </c>
      <c r="D40" s="0" t="str">
        <f aca="false">IF($A40="","",Visitas!B40)</f>
        <v>SAE/DST</v>
      </c>
      <c r="E40" s="0" t="str">
        <f aca="false">IF($A40="","",Visitas!F40)</f>
        <v>concluida</v>
      </c>
      <c r="F40" s="6" t="n">
        <f aca="false">IF($A40="","",SUMIFS(Avaliacoes!$G$2:$G$6000,Avaliacoes!$A$2:$A$6000,$A40,Avaliacoes!$F$2:$F$6000,"I",Avaliacoes!$H$2:$H$6000,0))</f>
        <v>11</v>
      </c>
      <c r="G40" s="6" t="n">
        <f aca="false">IF($A40="","",SUMIFS(Avaliacoes!$G$2:$G$6000,Avaliacoes!$A$2:$A$6000,$A40,Avaliacoes!$F$2:$F$6000,"II",Avaliacoes!$H$2:$H$6000,0))</f>
        <v>8</v>
      </c>
      <c r="H40" s="6" t="n">
        <f aca="false">IF($A40="","",SUMIFS(Avaliacoes!$G$2:$G$6000,Avaliacoes!$A$2:$A$6000,$A40,Avaliacoes!$F$2:$F$6000,"III",Avaliacoes!$H$2:$H$6000,0))</f>
        <v>2</v>
      </c>
      <c r="I40" s="6" t="n">
        <f aca="false">IF($A40="","",SUMIFS(Avaliacoes!$G$2:$G$6000,Avaliacoes!$A$2:$A$6000,$A40,Avaliacoes!$F$2:$F$6000,"IV",Avaliacoes!$H$2:$H$6000,0))</f>
        <v>0</v>
      </c>
      <c r="J40" s="6" t="n">
        <f aca="false">IF($A40="","",COUNTIFS(Avaliacoes!$A$2:$A$6000,$A40,Avaliacoes!$F$2:$F$6000,"I",Avaliacoes!$H$2:$H$6000,0,Avaliacoes!$G$2:$G$6000,"&lt;&gt;")*Dimensoes!$E$2)</f>
        <v>14</v>
      </c>
      <c r="K40" s="6" t="n">
        <f aca="false">IF($A40="","",COUNTIFS(Avaliacoes!$A$2:$A$6000,$A40,Avaliacoes!$F$2:$F$6000,"II",Avaliacoes!$H$2:$H$6000,0,Avaliacoes!$G$2:$G$6000,"&lt;&gt;")*Dimensoes!$E$3)</f>
        <v>8</v>
      </c>
      <c r="L40" s="6" t="n">
        <f aca="false">IF($A40="","",COUNTIFS(Avaliacoes!$A$2:$A$6000,$A40,Avaliacoes!$F$2:$F$6000,"III",Avaliacoes!$H$2:$H$6000,0,Avaliacoes!$G$2:$G$6000,"&lt;&gt;")*Dimensoes!$E$4)</f>
        <v>2</v>
      </c>
      <c r="M40" s="6" t="n">
        <f aca="false">IF($A40="","",COUNTIFS(Avaliacoes!$A$2:$A$6000,$A40,Avaliacoes!$F$2:$F$6000,"IV",Avaliacoes!$H$2:$H$6000,0,Avaliacoes!$G$2:$G$6000,"&lt;&gt;")*Dimensoes!$E$5)</f>
        <v>0</v>
      </c>
      <c r="N40" s="9" t="n">
        <f aca="false">IF($A40="","",IF(J40&gt;0,F40/J40,""))</f>
        <v>0.785714285714286</v>
      </c>
      <c r="O40" s="9" t="n">
        <f aca="false">IF($A40="","",IF(K40&gt;0,G40/K40,""))</f>
        <v>1</v>
      </c>
      <c r="P40" s="9" t="n">
        <f aca="false">IF($A40="","",IF(L40&gt;0,H40/L40,""))</f>
        <v>1</v>
      </c>
      <c r="Q40" s="9" t="str">
        <f aca="false">IF($A40="","",IF(M40&gt;0,I40/M40,""))</f>
        <v/>
      </c>
      <c r="R40" s="17" t="n">
        <f aca="false">IF($A40="","",IF((IF(N40="",0,Dimensoes!$C$2)+IF(O40="",0,Dimensoes!$C$3)+IF(P40="",0,Dimensoes!$C$4)+IF(Q40="",0,Dimensoes!$C$5))=0,"",(IF(N40="",0,N40*Dimensoes!$C$2)+IF(O40="",0,O40*Dimensoes!$C$3)+IF(P40="",0,P40*Dimensoes!$C$4)+IF(Q40="",0,Q40*Dimensoes!$C$5))/(IF(N40="",0,Dimensoes!$C$2)+IF(O40="",0,Dimensoes!$C$3)+IF(P40="",0,Dimensoes!$C$4)+IF(Q40="",0,Dimensoes!$C$5))))</f>
        <v>0.928571428571429</v>
      </c>
      <c r="S40" s="0" t="str">
        <f aca="false">IF(R40="","",IF(R40&lt;Faixas!$C$3,"vermelho",IF(R40&lt;Faixas!$C$4,"amarelo","verde")))</f>
        <v>verde</v>
      </c>
      <c r="T40" s="9" t="n">
        <f aca="false">IF($A40="","",IF(N40="",0,N40*Dimensoes!$C$2)+IF(O40="",0,O40*Dimensoes!$C$3)+IF(P40="",0,P40*Dimensoes!$C$4)+IF(Q40="",0,Q40*Dimensoes!$C$5))</f>
        <v>0.696428571428571</v>
      </c>
      <c r="U40" s="6" t="n">
        <f aca="false">IF($A40="","",IF(OR(E40="concluida",E40="incompleta"),1,0))</f>
        <v>1</v>
      </c>
    </row>
    <row r="41" customFormat="false" ht="15" hidden="false" customHeight="false" outlineLevel="0" collapsed="false">
      <c r="A41" s="0" t="n">
        <f aca="false">IF(Visitas!A41="","",Visitas!A41)</f>
        <v>40</v>
      </c>
      <c r="B41" s="0" t="str">
        <f aca="false">IF($A41="","",Visitas!C41)</f>
        <v>2026</v>
      </c>
      <c r="C41" s="7" t="n">
        <f aca="false">IF($A41="","",Visitas!D41)</f>
        <v>46092</v>
      </c>
      <c r="D41" s="0" t="str">
        <f aca="false">IF($A41="","",Visitas!B41)</f>
        <v>UBS Vila Gallo</v>
      </c>
      <c r="E41" s="0" t="str">
        <f aca="false">IF($A41="","",Visitas!F41)</f>
        <v>concluida</v>
      </c>
      <c r="F41" s="6" t="n">
        <f aca="false">IF($A41="","",SUMIFS(Avaliacoes!$G$2:$G$6000,Avaliacoes!$A$2:$A$6000,$A41,Avaliacoes!$F$2:$F$6000,"I",Avaliacoes!$H$2:$H$6000,0))</f>
        <v>12</v>
      </c>
      <c r="G41" s="6" t="n">
        <f aca="false">IF($A41="","",SUMIFS(Avaliacoes!$G$2:$G$6000,Avaliacoes!$A$2:$A$6000,$A41,Avaliacoes!$F$2:$F$6000,"II",Avaliacoes!$H$2:$H$6000,0))</f>
        <v>6</v>
      </c>
      <c r="H41" s="6" t="n">
        <f aca="false">IF($A41="","",SUMIFS(Avaliacoes!$G$2:$G$6000,Avaliacoes!$A$2:$A$6000,$A41,Avaliacoes!$F$2:$F$6000,"III",Avaliacoes!$H$2:$H$6000,0))</f>
        <v>2</v>
      </c>
      <c r="I41" s="6" t="n">
        <f aca="false">IF($A41="","",SUMIFS(Avaliacoes!$G$2:$G$6000,Avaliacoes!$A$2:$A$6000,$A41,Avaliacoes!$F$2:$F$6000,"IV",Avaliacoes!$H$2:$H$6000,0))</f>
        <v>2</v>
      </c>
      <c r="J41" s="6" t="n">
        <f aca="false">IF($A41="","",COUNTIFS(Avaliacoes!$A$2:$A$6000,$A41,Avaliacoes!$F$2:$F$6000,"I",Avaliacoes!$H$2:$H$6000,0,Avaliacoes!$G$2:$G$6000,"&lt;&gt;")*Dimensoes!$E$2)</f>
        <v>14</v>
      </c>
      <c r="K41" s="6" t="n">
        <f aca="false">IF($A41="","",COUNTIFS(Avaliacoes!$A$2:$A$6000,$A41,Avaliacoes!$F$2:$F$6000,"II",Avaliacoes!$H$2:$H$6000,0,Avaliacoes!$G$2:$G$6000,"&lt;&gt;")*Dimensoes!$E$3)</f>
        <v>8</v>
      </c>
      <c r="L41" s="6" t="n">
        <f aca="false">IF($A41="","",COUNTIFS(Avaliacoes!$A$2:$A$6000,$A41,Avaliacoes!$F$2:$F$6000,"III",Avaliacoes!$H$2:$H$6000,0,Avaliacoes!$G$2:$G$6000,"&lt;&gt;")*Dimensoes!$E$4)</f>
        <v>2</v>
      </c>
      <c r="M41" s="6" t="n">
        <f aca="false">IF($A41="","",COUNTIFS(Avaliacoes!$A$2:$A$6000,$A41,Avaliacoes!$F$2:$F$6000,"IV",Avaliacoes!$H$2:$H$6000,0,Avaliacoes!$G$2:$G$6000,"&lt;&gt;")*Dimensoes!$E$5)</f>
        <v>4</v>
      </c>
      <c r="N41" s="9" t="n">
        <f aca="false">IF($A41="","",IF(J41&gt;0,F41/J41,""))</f>
        <v>0.857142857142857</v>
      </c>
      <c r="O41" s="9" t="n">
        <f aca="false">IF($A41="","",IF(K41&gt;0,G41/K41,""))</f>
        <v>0.75</v>
      </c>
      <c r="P41" s="9" t="n">
        <f aca="false">IF($A41="","",IF(L41&gt;0,H41/L41,""))</f>
        <v>1</v>
      </c>
      <c r="Q41" s="9" t="n">
        <f aca="false">IF($A41="","",IF(M41&gt;0,I41/M41,""))</f>
        <v>0.5</v>
      </c>
      <c r="R41" s="17" t="n">
        <f aca="false">IF($A41="","",IF((IF(N41="",0,Dimensoes!$C$2)+IF(O41="",0,Dimensoes!$C$3)+IF(P41="",0,Dimensoes!$C$4)+IF(Q41="",0,Dimensoes!$C$5))=0,"",(IF(N41="",0,N41*Dimensoes!$C$2)+IF(O41="",0,O41*Dimensoes!$C$3)+IF(P41="",0,P41*Dimensoes!$C$4)+IF(Q41="",0,Q41*Dimensoes!$C$5))/(IF(N41="",0,Dimensoes!$C$2)+IF(O41="",0,Dimensoes!$C$3)+IF(P41="",0,Dimensoes!$C$4)+IF(Q41="",0,Dimensoes!$C$5))))</f>
        <v>0.776785714285714</v>
      </c>
      <c r="S41" s="0" t="str">
        <f aca="false">IF(R41="","",IF(R41&lt;Faixas!$C$3,"vermelho",IF(R41&lt;Faixas!$C$4,"amarelo","verde")))</f>
        <v>amarelo</v>
      </c>
      <c r="T41" s="9" t="n">
        <f aca="false">IF($A41="","",IF(N41="",0,N41*Dimensoes!$C$2)+IF(O41="",0,O41*Dimensoes!$C$3)+IF(P41="",0,P41*Dimensoes!$C$4)+IF(Q41="",0,Q41*Dimensoes!$C$5))</f>
        <v>0.776785714285714</v>
      </c>
      <c r="U41" s="6" t="n">
        <f aca="false">IF($A41="","",IF(OR(E41="concluida",E41="incompleta"),1,0))</f>
        <v>1</v>
      </c>
    </row>
    <row r="42" customFormat="false" ht="15" hidden="false" customHeight="false" outlineLevel="0" collapsed="false">
      <c r="A42" s="0" t="n">
        <f aca="false">IF(Visitas!A42="","",Visitas!A42)</f>
        <v>41</v>
      </c>
      <c r="B42" s="0" t="str">
        <f aca="false">IF($A42="","",Visitas!C42)</f>
        <v>2026</v>
      </c>
      <c r="C42" s="7" t="n">
        <f aca="false">IF($A42="","",Visitas!D42)</f>
        <v>46161</v>
      </c>
      <c r="D42" s="0" t="str">
        <f aca="false">IF($A42="","",Visitas!B42)</f>
        <v>CCZ - Centro de Controle de Zoonoses</v>
      </c>
      <c r="E42" s="0" t="str">
        <f aca="false">IF($A42="","",Visitas!F42)</f>
        <v>concluida</v>
      </c>
      <c r="F42" s="6" t="n">
        <f aca="false">IF($A42="","",SUMIFS(Avaliacoes!$G$2:$G$6000,Avaliacoes!$A$2:$A$6000,$A42,Avaliacoes!$F$2:$F$6000,"I",Avaliacoes!$H$2:$H$6000,0))</f>
        <v>7</v>
      </c>
      <c r="G42" s="6" t="n">
        <f aca="false">IF($A42="","",SUMIFS(Avaliacoes!$G$2:$G$6000,Avaliacoes!$A$2:$A$6000,$A42,Avaliacoes!$F$2:$F$6000,"II",Avaliacoes!$H$2:$H$6000,0))</f>
        <v>4</v>
      </c>
      <c r="H42" s="6" t="n">
        <f aca="false">IF($A42="","",SUMIFS(Avaliacoes!$G$2:$G$6000,Avaliacoes!$A$2:$A$6000,$A42,Avaliacoes!$F$2:$F$6000,"III",Avaliacoes!$H$2:$H$6000,0))</f>
        <v>1</v>
      </c>
      <c r="I42" s="6" t="n">
        <f aca="false">IF($A42="","",SUMIFS(Avaliacoes!$G$2:$G$6000,Avaliacoes!$A$2:$A$6000,$A42,Avaliacoes!$F$2:$F$6000,"IV",Avaliacoes!$H$2:$H$6000,0))</f>
        <v>0</v>
      </c>
      <c r="J42" s="6" t="n">
        <f aca="false">IF($A42="","",COUNTIFS(Avaliacoes!$A$2:$A$6000,$A42,Avaliacoes!$F$2:$F$6000,"I",Avaliacoes!$H$2:$H$6000,0,Avaliacoes!$G$2:$G$6000,"&lt;&gt;")*Dimensoes!$E$2)</f>
        <v>14</v>
      </c>
      <c r="K42" s="6" t="n">
        <f aca="false">IF($A42="","",COUNTIFS(Avaliacoes!$A$2:$A$6000,$A42,Avaliacoes!$F$2:$F$6000,"II",Avaliacoes!$H$2:$H$6000,0,Avaliacoes!$G$2:$G$6000,"&lt;&gt;")*Dimensoes!$E$3)</f>
        <v>8</v>
      </c>
      <c r="L42" s="6" t="n">
        <f aca="false">IF($A42="","",COUNTIFS(Avaliacoes!$A$2:$A$6000,$A42,Avaliacoes!$F$2:$F$6000,"III",Avaliacoes!$H$2:$H$6000,0,Avaliacoes!$G$2:$G$6000,"&lt;&gt;")*Dimensoes!$E$4)</f>
        <v>2</v>
      </c>
      <c r="M42" s="6" t="n">
        <f aca="false">IF($A42="","",COUNTIFS(Avaliacoes!$A$2:$A$6000,$A42,Avaliacoes!$F$2:$F$6000,"IV",Avaliacoes!$H$2:$H$6000,0,Avaliacoes!$G$2:$G$6000,"&lt;&gt;")*Dimensoes!$E$5)</f>
        <v>4</v>
      </c>
      <c r="N42" s="9" t="n">
        <f aca="false">IF($A42="","",IF(J42&gt;0,F42/J42,""))</f>
        <v>0.5</v>
      </c>
      <c r="O42" s="9" t="n">
        <f aca="false">IF($A42="","",IF(K42&gt;0,G42/K42,""))</f>
        <v>0.5</v>
      </c>
      <c r="P42" s="9" t="n">
        <f aca="false">IF($A42="","",IF(L42&gt;0,H42/L42,""))</f>
        <v>0.5</v>
      </c>
      <c r="Q42" s="9" t="n">
        <f aca="false">IF($A42="","",IF(M42&gt;0,I42/M42,""))</f>
        <v>0</v>
      </c>
      <c r="R42" s="17" t="n">
        <f aca="false">IF($A42="","",IF((IF(N42="",0,Dimensoes!$C$2)+IF(O42="",0,Dimensoes!$C$3)+IF(P42="",0,Dimensoes!$C$4)+IF(Q42="",0,Dimensoes!$C$5))=0,"",(IF(N42="",0,N42*Dimensoes!$C$2)+IF(O42="",0,O42*Dimensoes!$C$3)+IF(P42="",0,P42*Dimensoes!$C$4)+IF(Q42="",0,Q42*Dimensoes!$C$5))/(IF(N42="",0,Dimensoes!$C$2)+IF(O42="",0,Dimensoes!$C$3)+IF(P42="",0,Dimensoes!$C$4)+IF(Q42="",0,Dimensoes!$C$5))))</f>
        <v>0.375</v>
      </c>
      <c r="S42" s="0" t="str">
        <f aca="false">IF(R42="","",IF(R42&lt;Faixas!$C$3,"vermelho",IF(R42&lt;Faixas!$C$4,"amarelo","verde")))</f>
        <v>vermelho</v>
      </c>
      <c r="T42" s="9" t="n">
        <f aca="false">IF($A42="","",IF(N42="",0,N42*Dimensoes!$C$2)+IF(O42="",0,O42*Dimensoes!$C$3)+IF(P42="",0,P42*Dimensoes!$C$4)+IF(Q42="",0,Q42*Dimensoes!$C$5))</f>
        <v>0.375</v>
      </c>
      <c r="U42" s="6" t="n">
        <f aca="false">IF($A42="","",IF(OR(E42="concluida",E42="incompleta"),1,0))</f>
        <v>1</v>
      </c>
    </row>
    <row r="43" customFormat="false" ht="15" hidden="false" customHeight="false" outlineLevel="0" collapsed="false">
      <c r="A43" s="0" t="n">
        <f aca="false">IF(Visitas!A43="","",Visitas!A43)</f>
        <v>42</v>
      </c>
      <c r="B43" s="0" t="str">
        <f aca="false">IF($A43="","",Visitas!C43)</f>
        <v>2026</v>
      </c>
      <c r="C43" s="7" t="n">
        <f aca="false">IF($A43="","",Visitas!D43)</f>
        <v>46189</v>
      </c>
      <c r="D43" s="0" t="str">
        <f aca="false">IF($A43="","",Visitas!B43)</f>
        <v>UBS Jardim Ipiranga</v>
      </c>
      <c r="E43" s="0" t="str">
        <f aca="false">IF($A43="","",Visitas!F43)</f>
        <v>concluida</v>
      </c>
      <c r="F43" s="6" t="n">
        <f aca="false">IF($A43="","",SUMIFS(Avaliacoes!$G$2:$G$6000,Avaliacoes!$A$2:$A$6000,$A43,Avaliacoes!$F$2:$F$6000,"I",Avaliacoes!$H$2:$H$6000,0))</f>
        <v>12</v>
      </c>
      <c r="G43" s="6" t="n">
        <f aca="false">IF($A43="","",SUMIFS(Avaliacoes!$G$2:$G$6000,Avaliacoes!$A$2:$A$6000,$A43,Avaliacoes!$F$2:$F$6000,"II",Avaliacoes!$H$2:$H$6000,0))</f>
        <v>8</v>
      </c>
      <c r="H43" s="6" t="n">
        <f aca="false">IF($A43="","",SUMIFS(Avaliacoes!$G$2:$G$6000,Avaliacoes!$A$2:$A$6000,$A43,Avaliacoes!$F$2:$F$6000,"III",Avaliacoes!$H$2:$H$6000,0))</f>
        <v>1</v>
      </c>
      <c r="I43" s="6" t="n">
        <f aca="false">IF($A43="","",SUMIFS(Avaliacoes!$G$2:$G$6000,Avaliacoes!$A$2:$A$6000,$A43,Avaliacoes!$F$2:$F$6000,"IV",Avaliacoes!$H$2:$H$6000,0))</f>
        <v>4</v>
      </c>
      <c r="J43" s="6" t="n">
        <f aca="false">IF($A43="","",COUNTIFS(Avaliacoes!$A$2:$A$6000,$A43,Avaliacoes!$F$2:$F$6000,"I",Avaliacoes!$H$2:$H$6000,0,Avaliacoes!$G$2:$G$6000,"&lt;&gt;")*Dimensoes!$E$2)</f>
        <v>14</v>
      </c>
      <c r="K43" s="6" t="n">
        <f aca="false">IF($A43="","",COUNTIFS(Avaliacoes!$A$2:$A$6000,$A43,Avaliacoes!$F$2:$F$6000,"II",Avaliacoes!$H$2:$H$6000,0,Avaliacoes!$G$2:$G$6000,"&lt;&gt;")*Dimensoes!$E$3)</f>
        <v>8</v>
      </c>
      <c r="L43" s="6" t="n">
        <f aca="false">IF($A43="","",COUNTIFS(Avaliacoes!$A$2:$A$6000,$A43,Avaliacoes!$F$2:$F$6000,"III",Avaliacoes!$H$2:$H$6000,0,Avaliacoes!$G$2:$G$6000,"&lt;&gt;")*Dimensoes!$E$4)</f>
        <v>2</v>
      </c>
      <c r="M43" s="6" t="n">
        <f aca="false">IF($A43="","",COUNTIFS(Avaliacoes!$A$2:$A$6000,$A43,Avaliacoes!$F$2:$F$6000,"IV",Avaliacoes!$H$2:$H$6000,0,Avaliacoes!$G$2:$G$6000,"&lt;&gt;")*Dimensoes!$E$5)</f>
        <v>4</v>
      </c>
      <c r="N43" s="9" t="n">
        <f aca="false">IF($A43="","",IF(J43&gt;0,F43/J43,""))</f>
        <v>0.857142857142857</v>
      </c>
      <c r="O43" s="9" t="n">
        <f aca="false">IF($A43="","",IF(K43&gt;0,G43/K43,""))</f>
        <v>1</v>
      </c>
      <c r="P43" s="9" t="n">
        <f aca="false">IF($A43="","",IF(L43&gt;0,H43/L43,""))</f>
        <v>0.5</v>
      </c>
      <c r="Q43" s="9" t="n">
        <f aca="false">IF($A43="","",IF(M43&gt;0,I43/M43,""))</f>
        <v>1</v>
      </c>
      <c r="R43" s="17" t="n">
        <f aca="false">IF($A43="","",IF((IF(N43="",0,Dimensoes!$C$2)+IF(O43="",0,Dimensoes!$C$3)+IF(P43="",0,Dimensoes!$C$4)+IF(Q43="",0,Dimensoes!$C$5))=0,"",(IF(N43="",0,N43*Dimensoes!$C$2)+IF(O43="",0,O43*Dimensoes!$C$3)+IF(P43="",0,P43*Dimensoes!$C$4)+IF(Q43="",0,Q43*Dimensoes!$C$5))/(IF(N43="",0,Dimensoes!$C$2)+IF(O43="",0,Dimensoes!$C$3)+IF(P43="",0,Dimensoes!$C$4)+IF(Q43="",0,Dimensoes!$C$5))))</f>
        <v>0.839285714285714</v>
      </c>
      <c r="S43" s="0" t="str">
        <f aca="false">IF(R43="","",IF(R43&lt;Faixas!$C$3,"vermelho",IF(R43&lt;Faixas!$C$4,"amarelo","verde")))</f>
        <v>verde</v>
      </c>
      <c r="T43" s="9" t="n">
        <f aca="false">IF($A43="","",IF(N43="",0,N43*Dimensoes!$C$2)+IF(O43="",0,O43*Dimensoes!$C$3)+IF(P43="",0,P43*Dimensoes!$C$4)+IF(Q43="",0,Q43*Dimensoes!$C$5))</f>
        <v>0.839285714285714</v>
      </c>
      <c r="U43" s="6" t="n">
        <f aca="false">IF($A43="","",IF(OR(E43="concluida",E43="incompleta"),1,0))</f>
        <v>1</v>
      </c>
    </row>
    <row r="44" customFormat="false" ht="15" hidden="false" customHeight="false" outlineLevel="0" collapsed="false">
      <c r="A44" s="0" t="n">
        <f aca="false">IF(Visitas!A44="","",Visitas!A44)</f>
        <v>43</v>
      </c>
      <c r="B44" s="0" t="str">
        <f aca="false">IF($A44="","",Visitas!C44)</f>
        <v>2026</v>
      </c>
      <c r="C44" s="7" t="n">
        <f aca="false">IF($A44="","",Visitas!D44)</f>
        <v>46107</v>
      </c>
      <c r="D44" s="0" t="str">
        <f aca="false">IF($A44="","",Visitas!B44)</f>
        <v>PA Antonio Zanaga</v>
      </c>
      <c r="E44" s="0" t="str">
        <f aca="false">IF($A44="","",Visitas!F44)</f>
        <v>concluida</v>
      </c>
      <c r="F44" s="6" t="n">
        <f aca="false">IF($A44="","",SUMIFS(Avaliacoes!$G$2:$G$6000,Avaliacoes!$A$2:$A$6000,$A44,Avaliacoes!$F$2:$F$6000,"I",Avaliacoes!$H$2:$H$6000,0))</f>
        <v>12</v>
      </c>
      <c r="G44" s="6" t="n">
        <f aca="false">IF($A44="","",SUMIFS(Avaliacoes!$G$2:$G$6000,Avaliacoes!$A$2:$A$6000,$A44,Avaliacoes!$F$2:$F$6000,"II",Avaliacoes!$H$2:$H$6000,0))</f>
        <v>8</v>
      </c>
      <c r="H44" s="6" t="n">
        <f aca="false">IF($A44="","",SUMIFS(Avaliacoes!$G$2:$G$6000,Avaliacoes!$A$2:$A$6000,$A44,Avaliacoes!$F$2:$F$6000,"III",Avaliacoes!$H$2:$H$6000,0))</f>
        <v>2</v>
      </c>
      <c r="I44" s="6" t="n">
        <f aca="false">IF($A44="","",SUMIFS(Avaliacoes!$G$2:$G$6000,Avaliacoes!$A$2:$A$6000,$A44,Avaliacoes!$F$2:$F$6000,"IV",Avaliacoes!$H$2:$H$6000,0))</f>
        <v>4</v>
      </c>
      <c r="J44" s="6" t="n">
        <f aca="false">IF($A44="","",COUNTIFS(Avaliacoes!$A$2:$A$6000,$A44,Avaliacoes!$F$2:$F$6000,"I",Avaliacoes!$H$2:$H$6000,0,Avaliacoes!$G$2:$G$6000,"&lt;&gt;")*Dimensoes!$E$2)</f>
        <v>14</v>
      </c>
      <c r="K44" s="6" t="n">
        <f aca="false">IF($A44="","",COUNTIFS(Avaliacoes!$A$2:$A$6000,$A44,Avaliacoes!$F$2:$F$6000,"II",Avaliacoes!$H$2:$H$6000,0,Avaliacoes!$G$2:$G$6000,"&lt;&gt;")*Dimensoes!$E$3)</f>
        <v>8</v>
      </c>
      <c r="L44" s="6" t="n">
        <f aca="false">IF($A44="","",COUNTIFS(Avaliacoes!$A$2:$A$6000,$A44,Avaliacoes!$F$2:$F$6000,"III",Avaliacoes!$H$2:$H$6000,0,Avaliacoes!$G$2:$G$6000,"&lt;&gt;")*Dimensoes!$E$4)</f>
        <v>2</v>
      </c>
      <c r="M44" s="6" t="n">
        <f aca="false">IF($A44="","",COUNTIFS(Avaliacoes!$A$2:$A$6000,$A44,Avaliacoes!$F$2:$F$6000,"IV",Avaliacoes!$H$2:$H$6000,0,Avaliacoes!$G$2:$G$6000,"&lt;&gt;")*Dimensoes!$E$5)</f>
        <v>4</v>
      </c>
      <c r="N44" s="9" t="n">
        <f aca="false">IF($A44="","",IF(J44&gt;0,F44/J44,""))</f>
        <v>0.857142857142857</v>
      </c>
      <c r="O44" s="9" t="n">
        <f aca="false">IF($A44="","",IF(K44&gt;0,G44/K44,""))</f>
        <v>1</v>
      </c>
      <c r="P44" s="9" t="n">
        <f aca="false">IF($A44="","",IF(L44&gt;0,H44/L44,""))</f>
        <v>1</v>
      </c>
      <c r="Q44" s="9" t="n">
        <f aca="false">IF($A44="","",IF(M44&gt;0,I44/M44,""))</f>
        <v>1</v>
      </c>
      <c r="R44" s="17" t="n">
        <f aca="false">IF($A44="","",IF((IF(N44="",0,Dimensoes!$C$2)+IF(O44="",0,Dimensoes!$C$3)+IF(P44="",0,Dimensoes!$C$4)+IF(Q44="",0,Dimensoes!$C$5))=0,"",(IF(N44="",0,N44*Dimensoes!$C$2)+IF(O44="",0,O44*Dimensoes!$C$3)+IF(P44="",0,P44*Dimensoes!$C$4)+IF(Q44="",0,Q44*Dimensoes!$C$5))/(IF(N44="",0,Dimensoes!$C$2)+IF(O44="",0,Dimensoes!$C$3)+IF(P44="",0,Dimensoes!$C$4)+IF(Q44="",0,Dimensoes!$C$5))))</f>
        <v>0.964285714285714</v>
      </c>
      <c r="S44" s="0" t="str">
        <f aca="false">IF(R44="","",IF(R44&lt;Faixas!$C$3,"vermelho",IF(R44&lt;Faixas!$C$4,"amarelo","verde")))</f>
        <v>verde</v>
      </c>
      <c r="T44" s="9" t="n">
        <f aca="false">IF($A44="","",IF(N44="",0,N44*Dimensoes!$C$2)+IF(O44="",0,O44*Dimensoes!$C$3)+IF(P44="",0,P44*Dimensoes!$C$4)+IF(Q44="",0,Q44*Dimensoes!$C$5))</f>
        <v>0.964285714285714</v>
      </c>
      <c r="U44" s="6" t="n">
        <f aca="false">IF($A44="","",IF(OR(E44="concluida",E44="incompleta"),1,0))</f>
        <v>1</v>
      </c>
    </row>
    <row r="45" customFormat="false" ht="15" hidden="false" customHeight="false" outlineLevel="0" collapsed="false">
      <c r="A45" s="0" t="n">
        <f aca="false">IF(Visitas!A45="","",Visitas!A45)</f>
        <v>44</v>
      </c>
      <c r="B45" s="0" t="str">
        <f aca="false">IF($A45="","",Visitas!C45)</f>
        <v>2026</v>
      </c>
      <c r="C45" s="7" t="n">
        <f aca="false">IF($A45="","",Visitas!D45)</f>
        <v>46163</v>
      </c>
      <c r="D45" s="0" t="str">
        <f aca="false">IF($A45="","",Visitas!B45)</f>
        <v>UBS Jardim Boer</v>
      </c>
      <c r="E45" s="0" t="str">
        <f aca="false">IF($A45="","",Visitas!F45)</f>
        <v>concluida</v>
      </c>
      <c r="F45" s="6" t="n">
        <f aca="false">IF($A45="","",SUMIFS(Avaliacoes!$G$2:$G$6000,Avaliacoes!$A$2:$A$6000,$A45,Avaliacoes!$F$2:$F$6000,"I",Avaliacoes!$H$2:$H$6000,0))</f>
        <v>8</v>
      </c>
      <c r="G45" s="6" t="n">
        <f aca="false">IF($A45="","",SUMIFS(Avaliacoes!$G$2:$G$6000,Avaliacoes!$A$2:$A$6000,$A45,Avaliacoes!$F$2:$F$6000,"II",Avaliacoes!$H$2:$H$6000,0))</f>
        <v>6</v>
      </c>
      <c r="H45" s="6" t="n">
        <f aca="false">IF($A45="","",SUMIFS(Avaliacoes!$G$2:$G$6000,Avaliacoes!$A$2:$A$6000,$A45,Avaliacoes!$F$2:$F$6000,"III",Avaliacoes!$H$2:$H$6000,0))</f>
        <v>2</v>
      </c>
      <c r="I45" s="6" t="n">
        <f aca="false">IF($A45="","",SUMIFS(Avaliacoes!$G$2:$G$6000,Avaliacoes!$A$2:$A$6000,$A45,Avaliacoes!$F$2:$F$6000,"IV",Avaliacoes!$H$2:$H$6000,0))</f>
        <v>4</v>
      </c>
      <c r="J45" s="6" t="n">
        <f aca="false">IF($A45="","",COUNTIFS(Avaliacoes!$A$2:$A$6000,$A45,Avaliacoes!$F$2:$F$6000,"I",Avaliacoes!$H$2:$H$6000,0,Avaliacoes!$G$2:$G$6000,"&lt;&gt;")*Dimensoes!$E$2)</f>
        <v>14</v>
      </c>
      <c r="K45" s="6" t="n">
        <f aca="false">IF($A45="","",COUNTIFS(Avaliacoes!$A$2:$A$6000,$A45,Avaliacoes!$F$2:$F$6000,"II",Avaliacoes!$H$2:$H$6000,0,Avaliacoes!$G$2:$G$6000,"&lt;&gt;")*Dimensoes!$E$3)</f>
        <v>8</v>
      </c>
      <c r="L45" s="6" t="n">
        <f aca="false">IF($A45="","",COUNTIFS(Avaliacoes!$A$2:$A$6000,$A45,Avaliacoes!$F$2:$F$6000,"III",Avaliacoes!$H$2:$H$6000,0,Avaliacoes!$G$2:$G$6000,"&lt;&gt;")*Dimensoes!$E$4)</f>
        <v>2</v>
      </c>
      <c r="M45" s="6" t="n">
        <f aca="false">IF($A45="","",COUNTIFS(Avaliacoes!$A$2:$A$6000,$A45,Avaliacoes!$F$2:$F$6000,"IV",Avaliacoes!$H$2:$H$6000,0,Avaliacoes!$G$2:$G$6000,"&lt;&gt;")*Dimensoes!$E$5)</f>
        <v>4</v>
      </c>
      <c r="N45" s="9" t="n">
        <f aca="false">IF($A45="","",IF(J45&gt;0,F45/J45,""))</f>
        <v>0.571428571428571</v>
      </c>
      <c r="O45" s="9" t="n">
        <f aca="false">IF($A45="","",IF(K45&gt;0,G45/K45,""))</f>
        <v>0.75</v>
      </c>
      <c r="P45" s="9" t="n">
        <f aca="false">IF($A45="","",IF(L45&gt;0,H45/L45,""))</f>
        <v>1</v>
      </c>
      <c r="Q45" s="9" t="n">
        <f aca="false">IF($A45="","",IF(M45&gt;0,I45/M45,""))</f>
        <v>1</v>
      </c>
      <c r="R45" s="17" t="n">
        <f aca="false">IF($A45="","",IF((IF(N45="",0,Dimensoes!$C$2)+IF(O45="",0,Dimensoes!$C$3)+IF(P45="",0,Dimensoes!$C$4)+IF(Q45="",0,Dimensoes!$C$5))=0,"",(IF(N45="",0,N45*Dimensoes!$C$2)+IF(O45="",0,O45*Dimensoes!$C$3)+IF(P45="",0,P45*Dimensoes!$C$4)+IF(Q45="",0,Q45*Dimensoes!$C$5))/(IF(N45="",0,Dimensoes!$C$2)+IF(O45="",0,Dimensoes!$C$3)+IF(P45="",0,Dimensoes!$C$4)+IF(Q45="",0,Dimensoes!$C$5))))</f>
        <v>0.830357142857143</v>
      </c>
      <c r="S45" s="0" t="str">
        <f aca="false">IF(R45="","",IF(R45&lt;Faixas!$C$3,"vermelho",IF(R45&lt;Faixas!$C$4,"amarelo","verde")))</f>
        <v>verde</v>
      </c>
      <c r="T45" s="9" t="n">
        <f aca="false">IF($A45="","",IF(N45="",0,N45*Dimensoes!$C$2)+IF(O45="",0,O45*Dimensoes!$C$3)+IF(P45="",0,P45*Dimensoes!$C$4)+IF(Q45="",0,Q45*Dimensoes!$C$5))</f>
        <v>0.830357142857143</v>
      </c>
      <c r="U45" s="6" t="n">
        <f aca="false">IF($A45="","",IF(OR(E45="concluida",E45="incompleta"),1,0))</f>
        <v>1</v>
      </c>
    </row>
    <row r="46" customFormat="false" ht="15" hidden="false" customHeight="false" outlineLevel="0" collapsed="false">
      <c r="A46" s="0" t="n">
        <f aca="false">IF(Visitas!A46="","",Visitas!A46)</f>
        <v>45</v>
      </c>
      <c r="B46" s="0" t="str">
        <f aca="false">IF($A46="","",Visitas!C46)</f>
        <v>2026</v>
      </c>
      <c r="C46" s="7" t="n">
        <f aca="false">IF($A46="","",Visitas!D46)</f>
        <v>46136</v>
      </c>
      <c r="D46" s="0" t="str">
        <f aca="false">IF($A46="","",Visitas!B46)</f>
        <v>ESF Alvorada</v>
      </c>
      <c r="E46" s="0" t="str">
        <f aca="false">IF($A46="","",Visitas!F46)</f>
        <v>concluida</v>
      </c>
      <c r="F46" s="6" t="n">
        <f aca="false">IF($A46="","",SUMIFS(Avaliacoes!$G$2:$G$6000,Avaliacoes!$A$2:$A$6000,$A46,Avaliacoes!$F$2:$F$6000,"I",Avaliacoes!$H$2:$H$6000,0))</f>
        <v>10</v>
      </c>
      <c r="G46" s="6" t="n">
        <f aca="false">IF($A46="","",SUMIFS(Avaliacoes!$G$2:$G$6000,Avaliacoes!$A$2:$A$6000,$A46,Avaliacoes!$F$2:$F$6000,"II",Avaliacoes!$H$2:$H$6000,0))</f>
        <v>5</v>
      </c>
      <c r="H46" s="6" t="n">
        <f aca="false">IF($A46="","",SUMIFS(Avaliacoes!$G$2:$G$6000,Avaliacoes!$A$2:$A$6000,$A46,Avaliacoes!$F$2:$F$6000,"III",Avaliacoes!$H$2:$H$6000,0))</f>
        <v>2</v>
      </c>
      <c r="I46" s="6" t="n">
        <f aca="false">IF($A46="","",SUMIFS(Avaliacoes!$G$2:$G$6000,Avaliacoes!$A$2:$A$6000,$A46,Avaliacoes!$F$2:$F$6000,"IV",Avaliacoes!$H$2:$H$6000,0))</f>
        <v>4</v>
      </c>
      <c r="J46" s="6" t="n">
        <f aca="false">IF($A46="","",COUNTIFS(Avaliacoes!$A$2:$A$6000,$A46,Avaliacoes!$F$2:$F$6000,"I",Avaliacoes!$H$2:$H$6000,0,Avaliacoes!$G$2:$G$6000,"&lt;&gt;")*Dimensoes!$E$2)</f>
        <v>14</v>
      </c>
      <c r="K46" s="6" t="n">
        <f aca="false">IF($A46="","",COUNTIFS(Avaliacoes!$A$2:$A$6000,$A46,Avaliacoes!$F$2:$F$6000,"II",Avaliacoes!$H$2:$H$6000,0,Avaliacoes!$G$2:$G$6000,"&lt;&gt;")*Dimensoes!$E$3)</f>
        <v>8</v>
      </c>
      <c r="L46" s="6" t="n">
        <f aca="false">IF($A46="","",COUNTIFS(Avaliacoes!$A$2:$A$6000,$A46,Avaliacoes!$F$2:$F$6000,"III",Avaliacoes!$H$2:$H$6000,0,Avaliacoes!$G$2:$G$6000,"&lt;&gt;")*Dimensoes!$E$4)</f>
        <v>2</v>
      </c>
      <c r="M46" s="6" t="n">
        <f aca="false">IF($A46="","",COUNTIFS(Avaliacoes!$A$2:$A$6000,$A46,Avaliacoes!$F$2:$F$6000,"IV",Avaliacoes!$H$2:$H$6000,0,Avaliacoes!$G$2:$G$6000,"&lt;&gt;")*Dimensoes!$E$5)</f>
        <v>4</v>
      </c>
      <c r="N46" s="9" t="n">
        <f aca="false">IF($A46="","",IF(J46&gt;0,F46/J46,""))</f>
        <v>0.714285714285714</v>
      </c>
      <c r="O46" s="9" t="n">
        <f aca="false">IF($A46="","",IF(K46&gt;0,G46/K46,""))</f>
        <v>0.625</v>
      </c>
      <c r="P46" s="9" t="n">
        <f aca="false">IF($A46="","",IF(L46&gt;0,H46/L46,""))</f>
        <v>1</v>
      </c>
      <c r="Q46" s="9" t="n">
        <f aca="false">IF($A46="","",IF(M46&gt;0,I46/M46,""))</f>
        <v>1</v>
      </c>
      <c r="R46" s="17" t="n">
        <f aca="false">IF($A46="","",IF((IF(N46="",0,Dimensoes!$C$2)+IF(O46="",0,Dimensoes!$C$3)+IF(P46="",0,Dimensoes!$C$4)+IF(Q46="",0,Dimensoes!$C$5))=0,"",(IF(N46="",0,N46*Dimensoes!$C$2)+IF(O46="",0,O46*Dimensoes!$C$3)+IF(P46="",0,P46*Dimensoes!$C$4)+IF(Q46="",0,Q46*Dimensoes!$C$5))/(IF(N46="",0,Dimensoes!$C$2)+IF(O46="",0,Dimensoes!$C$3)+IF(P46="",0,Dimensoes!$C$4)+IF(Q46="",0,Dimensoes!$C$5))))</f>
        <v>0.834821428571429</v>
      </c>
      <c r="S46" s="0" t="str">
        <f aca="false">IF(R46="","",IF(R46&lt;Faixas!$C$3,"vermelho",IF(R46&lt;Faixas!$C$4,"amarelo","verde")))</f>
        <v>verde</v>
      </c>
      <c r="T46" s="9" t="n">
        <f aca="false">IF($A46="","",IF(N46="",0,N46*Dimensoes!$C$2)+IF(O46="",0,O46*Dimensoes!$C$3)+IF(P46="",0,P46*Dimensoes!$C$4)+IF(Q46="",0,Q46*Dimensoes!$C$5))</f>
        <v>0.834821428571429</v>
      </c>
      <c r="U46" s="6" t="n">
        <f aca="false">IF($A46="","",IF(OR(E46="concluida",E46="incompleta"),1,0))</f>
        <v>1</v>
      </c>
    </row>
    <row r="47" customFormat="false" ht="15" hidden="false" customHeight="false" outlineLevel="0" collapsed="false">
      <c r="A47" s="0" t="n">
        <f aca="false">IF(Visitas!A47="","",Visitas!A47)</f>
        <v>46</v>
      </c>
      <c r="B47" s="0" t="str">
        <f aca="false">IF($A47="","",Visitas!C47)</f>
        <v>2026</v>
      </c>
      <c r="C47" s="7" t="n">
        <f aca="false">IF($A47="","",Visitas!D47)</f>
        <v>46240</v>
      </c>
      <c r="D47" s="0" t="str">
        <f aca="false">IF($A47="","",Visitas!B47)</f>
        <v>ESF Mário Covas</v>
      </c>
      <c r="E47" s="0" t="str">
        <f aca="false">IF($A47="","",Visitas!F47)</f>
        <v>concluida</v>
      </c>
      <c r="F47" s="6" t="n">
        <f aca="false">IF($A47="","",SUMIFS(Avaliacoes!$G$2:$G$6000,Avaliacoes!$A$2:$A$6000,$A47,Avaliacoes!$F$2:$F$6000,"I",Avaliacoes!$H$2:$H$6000,0))</f>
        <v>10</v>
      </c>
      <c r="G47" s="6" t="n">
        <f aca="false">IF($A47="","",SUMIFS(Avaliacoes!$G$2:$G$6000,Avaliacoes!$A$2:$A$6000,$A47,Avaliacoes!$F$2:$F$6000,"II",Avaliacoes!$H$2:$H$6000,0))</f>
        <v>4</v>
      </c>
      <c r="H47" s="6" t="n">
        <f aca="false">IF($A47="","",SUMIFS(Avaliacoes!$G$2:$G$6000,Avaliacoes!$A$2:$A$6000,$A47,Avaliacoes!$F$2:$F$6000,"III",Avaliacoes!$H$2:$H$6000,0))</f>
        <v>1</v>
      </c>
      <c r="I47" s="6" t="n">
        <f aca="false">IF($A47="","",SUMIFS(Avaliacoes!$G$2:$G$6000,Avaliacoes!$A$2:$A$6000,$A47,Avaliacoes!$F$2:$F$6000,"IV",Avaliacoes!$H$2:$H$6000,0))</f>
        <v>3</v>
      </c>
      <c r="J47" s="6" t="n">
        <f aca="false">IF($A47="","",COUNTIFS(Avaliacoes!$A$2:$A$6000,$A47,Avaliacoes!$F$2:$F$6000,"I",Avaliacoes!$H$2:$H$6000,0,Avaliacoes!$G$2:$G$6000,"&lt;&gt;")*Dimensoes!$E$2)</f>
        <v>14</v>
      </c>
      <c r="K47" s="6" t="n">
        <f aca="false">IF($A47="","",COUNTIFS(Avaliacoes!$A$2:$A$6000,$A47,Avaliacoes!$F$2:$F$6000,"II",Avaliacoes!$H$2:$H$6000,0,Avaliacoes!$G$2:$G$6000,"&lt;&gt;")*Dimensoes!$E$3)</f>
        <v>8</v>
      </c>
      <c r="L47" s="6" t="n">
        <f aca="false">IF($A47="","",COUNTIFS(Avaliacoes!$A$2:$A$6000,$A47,Avaliacoes!$F$2:$F$6000,"III",Avaliacoes!$H$2:$H$6000,0,Avaliacoes!$G$2:$G$6000,"&lt;&gt;")*Dimensoes!$E$4)</f>
        <v>2</v>
      </c>
      <c r="M47" s="6" t="n">
        <f aca="false">IF($A47="","",COUNTIFS(Avaliacoes!$A$2:$A$6000,$A47,Avaliacoes!$F$2:$F$6000,"IV",Avaliacoes!$H$2:$H$6000,0,Avaliacoes!$G$2:$G$6000,"&lt;&gt;")*Dimensoes!$E$5)</f>
        <v>4</v>
      </c>
      <c r="N47" s="9" t="n">
        <f aca="false">IF($A47="","",IF(J47&gt;0,F47/J47,""))</f>
        <v>0.714285714285714</v>
      </c>
      <c r="O47" s="9" t="n">
        <f aca="false">IF($A47="","",IF(K47&gt;0,G47/K47,""))</f>
        <v>0.5</v>
      </c>
      <c r="P47" s="9" t="n">
        <f aca="false">IF($A47="","",IF(L47&gt;0,H47/L47,""))</f>
        <v>0.5</v>
      </c>
      <c r="Q47" s="9" t="n">
        <f aca="false">IF($A47="","",IF(M47&gt;0,I47/M47,""))</f>
        <v>0.75</v>
      </c>
      <c r="R47" s="17" t="n">
        <f aca="false">IF($A47="","",IF((IF(N47="",0,Dimensoes!$C$2)+IF(O47="",0,Dimensoes!$C$3)+IF(P47="",0,Dimensoes!$C$4)+IF(Q47="",0,Dimensoes!$C$5))=0,"",(IF(N47="",0,N47*Dimensoes!$C$2)+IF(O47="",0,O47*Dimensoes!$C$3)+IF(P47="",0,P47*Dimensoes!$C$4)+IF(Q47="",0,Q47*Dimensoes!$C$5))/(IF(N47="",0,Dimensoes!$C$2)+IF(O47="",0,Dimensoes!$C$3)+IF(P47="",0,Dimensoes!$C$4)+IF(Q47="",0,Dimensoes!$C$5))))</f>
        <v>0.616071428571429</v>
      </c>
      <c r="S47" s="0" t="str">
        <f aca="false">IF(R47="","",IF(R47&lt;Faixas!$C$3,"vermelho",IF(R47&lt;Faixas!$C$4,"amarelo","verde")))</f>
        <v>amarelo</v>
      </c>
      <c r="T47" s="9" t="n">
        <f aca="false">IF($A47="","",IF(N47="",0,N47*Dimensoes!$C$2)+IF(O47="",0,O47*Dimensoes!$C$3)+IF(P47="",0,P47*Dimensoes!$C$4)+IF(Q47="",0,Q47*Dimensoes!$C$5))</f>
        <v>0.616071428571429</v>
      </c>
      <c r="U47" s="6" t="n">
        <f aca="false">IF($A47="","",IF(OR(E47="concluida",E47="incompleta"),1,0))</f>
        <v>1</v>
      </c>
    </row>
    <row r="48" customFormat="false" ht="15" hidden="false" customHeight="false" outlineLevel="0" collapsed="false">
      <c r="A48" s="0" t="n">
        <f aca="false">IF(Visitas!A48="","",Visitas!A48)</f>
        <v>47</v>
      </c>
      <c r="B48" s="0" t="str">
        <f aca="false">IF($A48="","",Visitas!C48)</f>
        <v>2026</v>
      </c>
      <c r="C48" s="7" t="n">
        <f aca="false">IF($A48="","",Visitas!D48)</f>
        <v>46119</v>
      </c>
      <c r="D48" s="0" t="str">
        <f aca="false">IF($A48="","",Visitas!B48)</f>
        <v>Núcleo de Especialidades de Americana</v>
      </c>
      <c r="E48" s="0" t="str">
        <f aca="false">IF($A48="","",Visitas!F48)</f>
        <v>concluida</v>
      </c>
      <c r="F48" s="6" t="n">
        <f aca="false">IF($A48="","",SUMIFS(Avaliacoes!$G$2:$G$6000,Avaliacoes!$A$2:$A$6000,$A48,Avaliacoes!$F$2:$F$6000,"I",Avaliacoes!$H$2:$H$6000,0))</f>
        <v>14</v>
      </c>
      <c r="G48" s="6" t="n">
        <f aca="false">IF($A48="","",SUMIFS(Avaliacoes!$G$2:$G$6000,Avaliacoes!$A$2:$A$6000,$A48,Avaliacoes!$F$2:$F$6000,"II",Avaliacoes!$H$2:$H$6000,0))</f>
        <v>6</v>
      </c>
      <c r="H48" s="6" t="n">
        <f aca="false">IF($A48="","",SUMIFS(Avaliacoes!$G$2:$G$6000,Avaliacoes!$A$2:$A$6000,$A48,Avaliacoes!$F$2:$F$6000,"III",Avaliacoes!$H$2:$H$6000,0))</f>
        <v>2</v>
      </c>
      <c r="I48" s="6" t="n">
        <f aca="false">IF($A48="","",SUMIFS(Avaliacoes!$G$2:$G$6000,Avaliacoes!$A$2:$A$6000,$A48,Avaliacoes!$F$2:$F$6000,"IV",Avaliacoes!$H$2:$H$6000,0))</f>
        <v>3</v>
      </c>
      <c r="J48" s="6" t="n">
        <f aca="false">IF($A48="","",COUNTIFS(Avaliacoes!$A$2:$A$6000,$A48,Avaliacoes!$F$2:$F$6000,"I",Avaliacoes!$H$2:$H$6000,0,Avaliacoes!$G$2:$G$6000,"&lt;&gt;")*Dimensoes!$E$2)</f>
        <v>14</v>
      </c>
      <c r="K48" s="6" t="n">
        <f aca="false">IF($A48="","",COUNTIFS(Avaliacoes!$A$2:$A$6000,$A48,Avaliacoes!$F$2:$F$6000,"II",Avaliacoes!$H$2:$H$6000,0,Avaliacoes!$G$2:$G$6000,"&lt;&gt;")*Dimensoes!$E$3)</f>
        <v>8</v>
      </c>
      <c r="L48" s="6" t="n">
        <f aca="false">IF($A48="","",COUNTIFS(Avaliacoes!$A$2:$A$6000,$A48,Avaliacoes!$F$2:$F$6000,"III",Avaliacoes!$H$2:$H$6000,0,Avaliacoes!$G$2:$G$6000,"&lt;&gt;")*Dimensoes!$E$4)</f>
        <v>2</v>
      </c>
      <c r="M48" s="6" t="n">
        <f aca="false">IF($A48="","",COUNTIFS(Avaliacoes!$A$2:$A$6000,$A48,Avaliacoes!$F$2:$F$6000,"IV",Avaliacoes!$H$2:$H$6000,0,Avaliacoes!$G$2:$G$6000,"&lt;&gt;")*Dimensoes!$E$5)</f>
        <v>4</v>
      </c>
      <c r="N48" s="9" t="n">
        <f aca="false">IF($A48="","",IF(J48&gt;0,F48/J48,""))</f>
        <v>1</v>
      </c>
      <c r="O48" s="9" t="n">
        <f aca="false">IF($A48="","",IF(K48&gt;0,G48/K48,""))</f>
        <v>0.75</v>
      </c>
      <c r="P48" s="9" t="n">
        <f aca="false">IF($A48="","",IF(L48&gt;0,H48/L48,""))</f>
        <v>1</v>
      </c>
      <c r="Q48" s="9" t="n">
        <f aca="false">IF($A48="","",IF(M48&gt;0,I48/M48,""))</f>
        <v>0.75</v>
      </c>
      <c r="R48" s="17" t="n">
        <f aca="false">IF($A48="","",IF((IF(N48="",0,Dimensoes!$C$2)+IF(O48="",0,Dimensoes!$C$3)+IF(P48="",0,Dimensoes!$C$4)+IF(Q48="",0,Dimensoes!$C$5))=0,"",(IF(N48="",0,N48*Dimensoes!$C$2)+IF(O48="",0,O48*Dimensoes!$C$3)+IF(P48="",0,P48*Dimensoes!$C$4)+IF(Q48="",0,Q48*Dimensoes!$C$5))/(IF(N48="",0,Dimensoes!$C$2)+IF(O48="",0,Dimensoes!$C$3)+IF(P48="",0,Dimensoes!$C$4)+IF(Q48="",0,Dimensoes!$C$5))))</f>
        <v>0.875</v>
      </c>
      <c r="S48" s="0" t="str">
        <f aca="false">IF(R48="","",IF(R48&lt;Faixas!$C$3,"vermelho",IF(R48&lt;Faixas!$C$4,"amarelo","verde")))</f>
        <v>verde</v>
      </c>
      <c r="T48" s="9" t="n">
        <f aca="false">IF($A48="","",IF(N48="",0,N48*Dimensoes!$C$2)+IF(O48="",0,O48*Dimensoes!$C$3)+IF(P48="",0,P48*Dimensoes!$C$4)+IF(Q48="",0,Q48*Dimensoes!$C$5))</f>
        <v>0.875</v>
      </c>
      <c r="U48" s="6" t="n">
        <f aca="false">IF($A48="","",IF(OR(E48="concluida",E48="incompleta"),1,0))</f>
        <v>1</v>
      </c>
    </row>
    <row r="49" customFormat="false" ht="15" hidden="false" customHeight="false" outlineLevel="0" collapsed="false">
      <c r="A49" s="0" t="n">
        <f aca="false">IF(Visitas!A49="","",Visitas!A49)</f>
        <v>48</v>
      </c>
      <c r="B49" s="0" t="str">
        <f aca="false">IF($A49="","",Visitas!C49)</f>
        <v>2026</v>
      </c>
      <c r="C49" s="7" t="n">
        <f aca="false">IF($A49="","",Visitas!D49)</f>
        <v>46134</v>
      </c>
      <c r="D49" s="0" t="str">
        <f aca="false">IF($A49="","",Visitas!B49)</f>
        <v>UBS São Domingos</v>
      </c>
      <c r="E49" s="0" t="str">
        <f aca="false">IF($A49="","",Visitas!F49)</f>
        <v>concluida</v>
      </c>
      <c r="F49" s="6" t="n">
        <f aca="false">IF($A49="","",SUMIFS(Avaliacoes!$G$2:$G$6000,Avaliacoes!$A$2:$A$6000,$A49,Avaliacoes!$F$2:$F$6000,"I",Avaliacoes!$H$2:$H$6000,0))</f>
        <v>12</v>
      </c>
      <c r="G49" s="6" t="n">
        <f aca="false">IF($A49="","",SUMIFS(Avaliacoes!$G$2:$G$6000,Avaliacoes!$A$2:$A$6000,$A49,Avaliacoes!$F$2:$F$6000,"II",Avaliacoes!$H$2:$H$6000,0))</f>
        <v>6</v>
      </c>
      <c r="H49" s="6" t="n">
        <f aca="false">IF($A49="","",SUMIFS(Avaliacoes!$G$2:$G$6000,Avaliacoes!$A$2:$A$6000,$A49,Avaliacoes!$F$2:$F$6000,"III",Avaliacoes!$H$2:$H$6000,0))</f>
        <v>2</v>
      </c>
      <c r="I49" s="6" t="n">
        <f aca="false">IF($A49="","",SUMIFS(Avaliacoes!$G$2:$G$6000,Avaliacoes!$A$2:$A$6000,$A49,Avaliacoes!$F$2:$F$6000,"IV",Avaliacoes!$H$2:$H$6000,0))</f>
        <v>4</v>
      </c>
      <c r="J49" s="6" t="n">
        <f aca="false">IF($A49="","",COUNTIFS(Avaliacoes!$A$2:$A$6000,$A49,Avaliacoes!$F$2:$F$6000,"I",Avaliacoes!$H$2:$H$6000,0,Avaliacoes!$G$2:$G$6000,"&lt;&gt;")*Dimensoes!$E$2)</f>
        <v>14</v>
      </c>
      <c r="K49" s="6" t="n">
        <f aca="false">IF($A49="","",COUNTIFS(Avaliacoes!$A$2:$A$6000,$A49,Avaliacoes!$F$2:$F$6000,"II",Avaliacoes!$H$2:$H$6000,0,Avaliacoes!$G$2:$G$6000,"&lt;&gt;")*Dimensoes!$E$3)</f>
        <v>8</v>
      </c>
      <c r="L49" s="6" t="n">
        <f aca="false">IF($A49="","",COUNTIFS(Avaliacoes!$A$2:$A$6000,$A49,Avaliacoes!$F$2:$F$6000,"III",Avaliacoes!$H$2:$H$6000,0,Avaliacoes!$G$2:$G$6000,"&lt;&gt;")*Dimensoes!$E$4)</f>
        <v>2</v>
      </c>
      <c r="M49" s="6" t="n">
        <f aca="false">IF($A49="","",COUNTIFS(Avaliacoes!$A$2:$A$6000,$A49,Avaliacoes!$F$2:$F$6000,"IV",Avaliacoes!$H$2:$H$6000,0,Avaliacoes!$G$2:$G$6000,"&lt;&gt;")*Dimensoes!$E$5)</f>
        <v>4</v>
      </c>
      <c r="N49" s="9" t="n">
        <f aca="false">IF($A49="","",IF(J49&gt;0,F49/J49,""))</f>
        <v>0.857142857142857</v>
      </c>
      <c r="O49" s="9" t="n">
        <f aca="false">IF($A49="","",IF(K49&gt;0,G49/K49,""))</f>
        <v>0.75</v>
      </c>
      <c r="P49" s="9" t="n">
        <f aca="false">IF($A49="","",IF(L49&gt;0,H49/L49,""))</f>
        <v>1</v>
      </c>
      <c r="Q49" s="9" t="n">
        <f aca="false">IF($A49="","",IF(M49&gt;0,I49/M49,""))</f>
        <v>1</v>
      </c>
      <c r="R49" s="17" t="n">
        <f aca="false">IF($A49="","",IF((IF(N49="",0,Dimensoes!$C$2)+IF(O49="",0,Dimensoes!$C$3)+IF(P49="",0,Dimensoes!$C$4)+IF(Q49="",0,Dimensoes!$C$5))=0,"",(IF(N49="",0,N49*Dimensoes!$C$2)+IF(O49="",0,O49*Dimensoes!$C$3)+IF(P49="",0,P49*Dimensoes!$C$4)+IF(Q49="",0,Q49*Dimensoes!$C$5))/(IF(N49="",0,Dimensoes!$C$2)+IF(O49="",0,Dimensoes!$C$3)+IF(P49="",0,Dimensoes!$C$4)+IF(Q49="",0,Dimensoes!$C$5))))</f>
        <v>0.901785714285714</v>
      </c>
      <c r="S49" s="0" t="str">
        <f aca="false">IF(R49="","",IF(R49&lt;Faixas!$C$3,"vermelho",IF(R49&lt;Faixas!$C$4,"amarelo","verde")))</f>
        <v>verde</v>
      </c>
      <c r="T49" s="9" t="n">
        <f aca="false">IF($A49="","",IF(N49="",0,N49*Dimensoes!$C$2)+IF(O49="",0,O49*Dimensoes!$C$3)+IF(P49="",0,P49*Dimensoes!$C$4)+IF(Q49="",0,Q49*Dimensoes!$C$5))</f>
        <v>0.901785714285714</v>
      </c>
      <c r="U49" s="6" t="n">
        <f aca="false">IF($A49="","",IF(OR(E49="concluida",E49="incompleta"),1,0))</f>
        <v>1</v>
      </c>
    </row>
    <row r="50" customFormat="false" ht="15" hidden="false" customHeight="false" outlineLevel="0" collapsed="false">
      <c r="A50" s="0" t="n">
        <f aca="false">IF(Visitas!A50="","",Visitas!A50)</f>
        <v>49</v>
      </c>
      <c r="B50" s="0" t="str">
        <f aca="false">IF($A50="","",Visitas!C50)</f>
        <v>2026</v>
      </c>
      <c r="C50" s="7" t="n">
        <f aca="false">IF($A50="","",Visitas!D50)</f>
        <v>46198</v>
      </c>
      <c r="D50" s="0" t="str">
        <f aca="false">IF($A50="","",Visitas!B50)</f>
        <v>UBS Guanabara</v>
      </c>
      <c r="E50" s="0" t="str">
        <f aca="false">IF($A50="","",Visitas!F50)</f>
        <v>concluida</v>
      </c>
      <c r="F50" s="6" t="n">
        <f aca="false">IF($A50="","",SUMIFS(Avaliacoes!$G$2:$G$6000,Avaliacoes!$A$2:$A$6000,$A50,Avaliacoes!$F$2:$F$6000,"I",Avaliacoes!$H$2:$H$6000,0))</f>
        <v>7</v>
      </c>
      <c r="G50" s="6" t="n">
        <f aca="false">IF($A50="","",SUMIFS(Avaliacoes!$G$2:$G$6000,Avaliacoes!$A$2:$A$6000,$A50,Avaliacoes!$F$2:$F$6000,"II",Avaliacoes!$H$2:$H$6000,0))</f>
        <v>6</v>
      </c>
      <c r="H50" s="6" t="n">
        <f aca="false">IF($A50="","",SUMIFS(Avaliacoes!$G$2:$G$6000,Avaliacoes!$A$2:$A$6000,$A50,Avaliacoes!$F$2:$F$6000,"III",Avaliacoes!$H$2:$H$6000,0))</f>
        <v>1</v>
      </c>
      <c r="I50" s="6" t="n">
        <f aca="false">IF($A50="","",SUMIFS(Avaliacoes!$G$2:$G$6000,Avaliacoes!$A$2:$A$6000,$A50,Avaliacoes!$F$2:$F$6000,"IV",Avaliacoes!$H$2:$H$6000,0))</f>
        <v>2</v>
      </c>
      <c r="J50" s="6" t="n">
        <f aca="false">IF($A50="","",COUNTIFS(Avaliacoes!$A$2:$A$6000,$A50,Avaliacoes!$F$2:$F$6000,"I",Avaliacoes!$H$2:$H$6000,0,Avaliacoes!$G$2:$G$6000,"&lt;&gt;")*Dimensoes!$E$2)</f>
        <v>14</v>
      </c>
      <c r="K50" s="6" t="n">
        <f aca="false">IF($A50="","",COUNTIFS(Avaliacoes!$A$2:$A$6000,$A50,Avaliacoes!$F$2:$F$6000,"II",Avaliacoes!$H$2:$H$6000,0,Avaliacoes!$G$2:$G$6000,"&lt;&gt;")*Dimensoes!$E$3)</f>
        <v>8</v>
      </c>
      <c r="L50" s="6" t="n">
        <f aca="false">IF($A50="","",COUNTIFS(Avaliacoes!$A$2:$A$6000,$A50,Avaliacoes!$F$2:$F$6000,"III",Avaliacoes!$H$2:$H$6000,0,Avaliacoes!$G$2:$G$6000,"&lt;&gt;")*Dimensoes!$E$4)</f>
        <v>2</v>
      </c>
      <c r="M50" s="6" t="n">
        <f aca="false">IF($A50="","",COUNTIFS(Avaliacoes!$A$2:$A$6000,$A50,Avaliacoes!$F$2:$F$6000,"IV",Avaliacoes!$H$2:$H$6000,0,Avaliacoes!$G$2:$G$6000,"&lt;&gt;")*Dimensoes!$E$5)</f>
        <v>4</v>
      </c>
      <c r="N50" s="9" t="n">
        <f aca="false">IF($A50="","",IF(J50&gt;0,F50/J50,""))</f>
        <v>0.5</v>
      </c>
      <c r="O50" s="9" t="n">
        <f aca="false">IF($A50="","",IF(K50&gt;0,G50/K50,""))</f>
        <v>0.75</v>
      </c>
      <c r="P50" s="9" t="n">
        <f aca="false">IF($A50="","",IF(L50&gt;0,H50/L50,""))</f>
        <v>0.5</v>
      </c>
      <c r="Q50" s="9" t="n">
        <f aca="false">IF($A50="","",IF(M50&gt;0,I50/M50,""))</f>
        <v>0.5</v>
      </c>
      <c r="R50" s="17" t="n">
        <f aca="false">IF($A50="","",IF((IF(N50="",0,Dimensoes!$C$2)+IF(O50="",0,Dimensoes!$C$3)+IF(P50="",0,Dimensoes!$C$4)+IF(Q50="",0,Dimensoes!$C$5))=0,"",(IF(N50="",0,N50*Dimensoes!$C$2)+IF(O50="",0,O50*Dimensoes!$C$3)+IF(P50="",0,P50*Dimensoes!$C$4)+IF(Q50="",0,Q50*Dimensoes!$C$5))/(IF(N50="",0,Dimensoes!$C$2)+IF(O50="",0,Dimensoes!$C$3)+IF(P50="",0,Dimensoes!$C$4)+IF(Q50="",0,Dimensoes!$C$5))))</f>
        <v>0.5625</v>
      </c>
      <c r="S50" s="0" t="str">
        <f aca="false">IF(R50="","",IF(R50&lt;Faixas!$C$3,"vermelho",IF(R50&lt;Faixas!$C$4,"amarelo","verde")))</f>
        <v>amarelo</v>
      </c>
      <c r="T50" s="9" t="n">
        <f aca="false">IF($A50="","",IF(N50="",0,N50*Dimensoes!$C$2)+IF(O50="",0,O50*Dimensoes!$C$3)+IF(P50="",0,P50*Dimensoes!$C$4)+IF(Q50="",0,Q50*Dimensoes!$C$5))</f>
        <v>0.5625</v>
      </c>
      <c r="U50" s="6" t="n">
        <f aca="false">IF($A50="","",IF(OR(E50="concluida",E50="incompleta"),1,0))</f>
        <v>1</v>
      </c>
    </row>
    <row r="51" customFormat="false" ht="15" hidden="false" customHeight="false" outlineLevel="0" collapsed="false">
      <c r="A51" s="0" t="n">
        <f aca="false">IF(Visitas!A51="","",Visitas!A51)</f>
        <v>50</v>
      </c>
      <c r="B51" s="0" t="str">
        <f aca="false">IF($A51="","",Visitas!C51)</f>
        <v>2026</v>
      </c>
      <c r="C51" s="7" t="n">
        <f aca="false">IF($A51="","",Visitas!D51)</f>
        <v>46240</v>
      </c>
      <c r="D51" s="0" t="str">
        <f aca="false">IF($A51="","",Visitas!B51)</f>
        <v>Clínica Modelo Zanaga</v>
      </c>
      <c r="E51" s="0" t="str">
        <f aca="false">IF($A51="","",Visitas!F51)</f>
        <v>concluida</v>
      </c>
      <c r="F51" s="6" t="n">
        <f aca="false">IF($A51="","",SUMIFS(Avaliacoes!$G$2:$G$6000,Avaliacoes!$A$2:$A$6000,$A51,Avaliacoes!$F$2:$F$6000,"I",Avaliacoes!$H$2:$H$6000,0))</f>
        <v>9</v>
      </c>
      <c r="G51" s="6" t="n">
        <f aca="false">IF($A51="","",SUMIFS(Avaliacoes!$G$2:$G$6000,Avaliacoes!$A$2:$A$6000,$A51,Avaliacoes!$F$2:$F$6000,"II",Avaliacoes!$H$2:$H$6000,0))</f>
        <v>8</v>
      </c>
      <c r="H51" s="6" t="n">
        <f aca="false">IF($A51="","",SUMIFS(Avaliacoes!$G$2:$G$6000,Avaliacoes!$A$2:$A$6000,$A51,Avaliacoes!$F$2:$F$6000,"III",Avaliacoes!$H$2:$H$6000,0))</f>
        <v>2</v>
      </c>
      <c r="I51" s="6" t="n">
        <f aca="false">IF($A51="","",SUMIFS(Avaliacoes!$G$2:$G$6000,Avaliacoes!$A$2:$A$6000,$A51,Avaliacoes!$F$2:$F$6000,"IV",Avaliacoes!$H$2:$H$6000,0))</f>
        <v>2</v>
      </c>
      <c r="J51" s="6" t="n">
        <f aca="false">IF($A51="","",COUNTIFS(Avaliacoes!$A$2:$A$6000,$A51,Avaliacoes!$F$2:$F$6000,"I",Avaliacoes!$H$2:$H$6000,0,Avaliacoes!$G$2:$G$6000,"&lt;&gt;")*Dimensoes!$E$2)</f>
        <v>14</v>
      </c>
      <c r="K51" s="6" t="n">
        <f aca="false">IF($A51="","",COUNTIFS(Avaliacoes!$A$2:$A$6000,$A51,Avaliacoes!$F$2:$F$6000,"II",Avaliacoes!$H$2:$H$6000,0,Avaliacoes!$G$2:$G$6000,"&lt;&gt;")*Dimensoes!$E$3)</f>
        <v>8</v>
      </c>
      <c r="L51" s="6" t="n">
        <f aca="false">IF($A51="","",COUNTIFS(Avaliacoes!$A$2:$A$6000,$A51,Avaliacoes!$F$2:$F$6000,"III",Avaliacoes!$H$2:$H$6000,0,Avaliacoes!$G$2:$G$6000,"&lt;&gt;")*Dimensoes!$E$4)</f>
        <v>2</v>
      </c>
      <c r="M51" s="6" t="n">
        <f aca="false">IF($A51="","",COUNTIFS(Avaliacoes!$A$2:$A$6000,$A51,Avaliacoes!$F$2:$F$6000,"IV",Avaliacoes!$H$2:$H$6000,0,Avaliacoes!$G$2:$G$6000,"&lt;&gt;")*Dimensoes!$E$5)</f>
        <v>2</v>
      </c>
      <c r="N51" s="9" t="n">
        <f aca="false">IF($A51="","",IF(J51&gt;0,F51/J51,""))</f>
        <v>0.642857142857143</v>
      </c>
      <c r="O51" s="9" t="n">
        <f aca="false">IF($A51="","",IF(K51&gt;0,G51/K51,""))</f>
        <v>1</v>
      </c>
      <c r="P51" s="9" t="n">
        <f aca="false">IF($A51="","",IF(L51&gt;0,H51/L51,""))</f>
        <v>1</v>
      </c>
      <c r="Q51" s="9" t="n">
        <f aca="false">IF($A51="","",IF(M51&gt;0,I51/M51,""))</f>
        <v>1</v>
      </c>
      <c r="R51" s="17" t="n">
        <f aca="false">IF($A51="","",IF((IF(N51="",0,Dimensoes!$C$2)+IF(O51="",0,Dimensoes!$C$3)+IF(P51="",0,Dimensoes!$C$4)+IF(Q51="",0,Dimensoes!$C$5))=0,"",(IF(N51="",0,N51*Dimensoes!$C$2)+IF(O51="",0,O51*Dimensoes!$C$3)+IF(P51="",0,P51*Dimensoes!$C$4)+IF(Q51="",0,Q51*Dimensoes!$C$5))/(IF(N51="",0,Dimensoes!$C$2)+IF(O51="",0,Dimensoes!$C$3)+IF(P51="",0,Dimensoes!$C$4)+IF(Q51="",0,Dimensoes!$C$5))))</f>
        <v>0.910714285714286</v>
      </c>
      <c r="S51" s="0" t="str">
        <f aca="false">IF(R51="","",IF(R51&lt;Faixas!$C$3,"vermelho",IF(R51&lt;Faixas!$C$4,"amarelo","verde")))</f>
        <v>verde</v>
      </c>
      <c r="T51" s="9" t="n">
        <f aca="false">IF($A51="","",IF(N51="",0,N51*Dimensoes!$C$2)+IF(O51="",0,O51*Dimensoes!$C$3)+IF(P51="",0,P51*Dimensoes!$C$4)+IF(Q51="",0,Q51*Dimensoes!$C$5))</f>
        <v>0.910714285714286</v>
      </c>
      <c r="U51" s="6" t="n">
        <f aca="false">IF($A51="","",IF(OR(E51="concluida",E51="incompleta"),1,0))</f>
        <v>1</v>
      </c>
    </row>
    <row r="52" customFormat="false" ht="15" hidden="false" customHeight="false" outlineLevel="0" collapsed="false">
      <c r="A52" s="0" t="n">
        <f aca="false">IF(Visitas!A52="","",Visitas!A52)</f>
        <v>51</v>
      </c>
      <c r="B52" s="0" t="str">
        <f aca="false">IF($A52="","",Visitas!C52)</f>
        <v>2026</v>
      </c>
      <c r="C52" s="7" t="n">
        <f aca="false">IF($A52="","",Visitas!D52)</f>
        <v>46258</v>
      </c>
      <c r="D52" s="0" t="str">
        <f aca="false">IF($A52="","",Visitas!B52)</f>
        <v>Farmácia Central</v>
      </c>
      <c r="E52" s="0" t="str">
        <f aca="false">IF($A52="","",Visitas!F52)</f>
        <v>concluida</v>
      </c>
      <c r="F52" s="6" t="n">
        <f aca="false">IF($A52="","",SUMIFS(Avaliacoes!$G$2:$G$6000,Avaliacoes!$A$2:$A$6000,$A52,Avaliacoes!$F$2:$F$6000,"I",Avaliacoes!$H$2:$H$6000,0))</f>
        <v>13</v>
      </c>
      <c r="G52" s="6" t="n">
        <f aca="false">IF($A52="","",SUMIFS(Avaliacoes!$G$2:$G$6000,Avaliacoes!$A$2:$A$6000,$A52,Avaliacoes!$F$2:$F$6000,"II",Avaliacoes!$H$2:$H$6000,0))</f>
        <v>8</v>
      </c>
      <c r="H52" s="6" t="n">
        <f aca="false">IF($A52="","",SUMIFS(Avaliacoes!$G$2:$G$6000,Avaliacoes!$A$2:$A$6000,$A52,Avaliacoes!$F$2:$F$6000,"III",Avaliacoes!$H$2:$H$6000,0))</f>
        <v>2</v>
      </c>
      <c r="I52" s="6" t="n">
        <f aca="false">IF($A52="","",SUMIFS(Avaliacoes!$G$2:$G$6000,Avaliacoes!$A$2:$A$6000,$A52,Avaliacoes!$F$2:$F$6000,"IV",Avaliacoes!$H$2:$H$6000,0))</f>
        <v>4</v>
      </c>
      <c r="J52" s="6" t="n">
        <f aca="false">IF($A52="","",COUNTIFS(Avaliacoes!$A$2:$A$6000,$A52,Avaliacoes!$F$2:$F$6000,"I",Avaliacoes!$H$2:$H$6000,0,Avaliacoes!$G$2:$G$6000,"&lt;&gt;")*Dimensoes!$E$2)</f>
        <v>14</v>
      </c>
      <c r="K52" s="6" t="n">
        <f aca="false">IF($A52="","",COUNTIFS(Avaliacoes!$A$2:$A$6000,$A52,Avaliacoes!$F$2:$F$6000,"II",Avaliacoes!$H$2:$H$6000,0,Avaliacoes!$G$2:$G$6000,"&lt;&gt;")*Dimensoes!$E$3)</f>
        <v>8</v>
      </c>
      <c r="L52" s="6" t="n">
        <f aca="false">IF($A52="","",COUNTIFS(Avaliacoes!$A$2:$A$6000,$A52,Avaliacoes!$F$2:$F$6000,"III",Avaliacoes!$H$2:$H$6000,0,Avaliacoes!$G$2:$G$6000,"&lt;&gt;")*Dimensoes!$E$4)</f>
        <v>2</v>
      </c>
      <c r="M52" s="6" t="n">
        <f aca="false">IF($A52="","",COUNTIFS(Avaliacoes!$A$2:$A$6000,$A52,Avaliacoes!$F$2:$F$6000,"IV",Avaliacoes!$H$2:$H$6000,0,Avaliacoes!$G$2:$G$6000,"&lt;&gt;")*Dimensoes!$E$5)</f>
        <v>4</v>
      </c>
      <c r="N52" s="9" t="n">
        <f aca="false">IF($A52="","",IF(J52&gt;0,F52/J52,""))</f>
        <v>0.928571428571429</v>
      </c>
      <c r="O52" s="9" t="n">
        <f aca="false">IF($A52="","",IF(K52&gt;0,G52/K52,""))</f>
        <v>1</v>
      </c>
      <c r="P52" s="9" t="n">
        <f aca="false">IF($A52="","",IF(L52&gt;0,H52/L52,""))</f>
        <v>1</v>
      </c>
      <c r="Q52" s="9" t="n">
        <f aca="false">IF($A52="","",IF(M52&gt;0,I52/M52,""))</f>
        <v>1</v>
      </c>
      <c r="R52" s="17" t="n">
        <f aca="false">IF($A52="","",IF((IF(N52="",0,Dimensoes!$C$2)+IF(O52="",0,Dimensoes!$C$3)+IF(P52="",0,Dimensoes!$C$4)+IF(Q52="",0,Dimensoes!$C$5))=0,"",(IF(N52="",0,N52*Dimensoes!$C$2)+IF(O52="",0,O52*Dimensoes!$C$3)+IF(P52="",0,P52*Dimensoes!$C$4)+IF(Q52="",0,Q52*Dimensoes!$C$5))/(IF(N52="",0,Dimensoes!$C$2)+IF(O52="",0,Dimensoes!$C$3)+IF(P52="",0,Dimensoes!$C$4)+IF(Q52="",0,Dimensoes!$C$5))))</f>
        <v>0.982142857142857</v>
      </c>
      <c r="S52" s="0" t="str">
        <f aca="false">IF(R52="","",IF(R52&lt;Faixas!$C$3,"vermelho",IF(R52&lt;Faixas!$C$4,"amarelo","verde")))</f>
        <v>verde</v>
      </c>
      <c r="T52" s="9" t="n">
        <f aca="false">IF($A52="","",IF(N52="",0,N52*Dimensoes!$C$2)+IF(O52="",0,O52*Dimensoes!$C$3)+IF(P52="",0,P52*Dimensoes!$C$4)+IF(Q52="",0,Q52*Dimensoes!$C$5))</f>
        <v>0.982142857142857</v>
      </c>
      <c r="U52" s="6" t="n">
        <f aca="false">IF($A52="","",IF(OR(E52="concluida",E52="incompleta"),1,0))</f>
        <v>1</v>
      </c>
    </row>
    <row r="53" customFormat="false" ht="15" hidden="false" customHeight="false" outlineLevel="0" collapsed="false">
      <c r="A53" s="0" t="n">
        <f aca="false">IF(Visitas!A53="","",Visitas!A53)</f>
        <v>52</v>
      </c>
      <c r="B53" s="0" t="str">
        <f aca="false">IF($A53="","",Visitas!C53)</f>
        <v>2026</v>
      </c>
      <c r="C53" s="7" t="n">
        <f aca="false">IF($A53="","",Visitas!D53)</f>
        <v>46188</v>
      </c>
      <c r="D53" s="0" t="str">
        <f aca="false">IF($A53="","",Visitas!B53)</f>
        <v>CEO - Centro de Especialidades Odontológicas</v>
      </c>
      <c r="E53" s="0" t="str">
        <f aca="false">IF($A53="","",Visitas!F53)</f>
        <v>concluida</v>
      </c>
      <c r="F53" s="6" t="n">
        <f aca="false">IF($A53="","",SUMIFS(Avaliacoes!$G$2:$G$6000,Avaliacoes!$A$2:$A$6000,$A53,Avaliacoes!$F$2:$F$6000,"I",Avaliacoes!$H$2:$H$6000,0))</f>
        <v>12</v>
      </c>
      <c r="G53" s="6" t="n">
        <f aca="false">IF($A53="","",SUMIFS(Avaliacoes!$G$2:$G$6000,Avaliacoes!$A$2:$A$6000,$A53,Avaliacoes!$F$2:$F$6000,"II",Avaliacoes!$H$2:$H$6000,0))</f>
        <v>8</v>
      </c>
      <c r="H53" s="6" t="n">
        <f aca="false">IF($A53="","",SUMIFS(Avaliacoes!$G$2:$G$6000,Avaliacoes!$A$2:$A$6000,$A53,Avaliacoes!$F$2:$F$6000,"III",Avaliacoes!$H$2:$H$6000,0))</f>
        <v>1</v>
      </c>
      <c r="I53" s="6" t="n">
        <f aca="false">IF($A53="","",SUMIFS(Avaliacoes!$G$2:$G$6000,Avaliacoes!$A$2:$A$6000,$A53,Avaliacoes!$F$2:$F$6000,"IV",Avaliacoes!$H$2:$H$6000,0))</f>
        <v>4</v>
      </c>
      <c r="J53" s="6" t="n">
        <f aca="false">IF($A53="","",COUNTIFS(Avaliacoes!$A$2:$A$6000,$A53,Avaliacoes!$F$2:$F$6000,"I",Avaliacoes!$H$2:$H$6000,0,Avaliacoes!$G$2:$G$6000,"&lt;&gt;")*Dimensoes!$E$2)</f>
        <v>14</v>
      </c>
      <c r="K53" s="6" t="n">
        <f aca="false">IF($A53="","",COUNTIFS(Avaliacoes!$A$2:$A$6000,$A53,Avaliacoes!$F$2:$F$6000,"II",Avaliacoes!$H$2:$H$6000,0,Avaliacoes!$G$2:$G$6000,"&lt;&gt;")*Dimensoes!$E$3)</f>
        <v>8</v>
      </c>
      <c r="L53" s="6" t="n">
        <f aca="false">IF($A53="","",COUNTIFS(Avaliacoes!$A$2:$A$6000,$A53,Avaliacoes!$F$2:$F$6000,"III",Avaliacoes!$H$2:$H$6000,0,Avaliacoes!$G$2:$G$6000,"&lt;&gt;")*Dimensoes!$E$4)</f>
        <v>2</v>
      </c>
      <c r="M53" s="6" t="n">
        <f aca="false">IF($A53="","",COUNTIFS(Avaliacoes!$A$2:$A$6000,$A53,Avaliacoes!$F$2:$F$6000,"IV",Avaliacoes!$H$2:$H$6000,0,Avaliacoes!$G$2:$G$6000,"&lt;&gt;")*Dimensoes!$E$5)</f>
        <v>4</v>
      </c>
      <c r="N53" s="9" t="n">
        <f aca="false">IF($A53="","",IF(J53&gt;0,F53/J53,""))</f>
        <v>0.857142857142857</v>
      </c>
      <c r="O53" s="9" t="n">
        <f aca="false">IF($A53="","",IF(K53&gt;0,G53/K53,""))</f>
        <v>1</v>
      </c>
      <c r="P53" s="9" t="n">
        <f aca="false">IF($A53="","",IF(L53&gt;0,H53/L53,""))</f>
        <v>0.5</v>
      </c>
      <c r="Q53" s="9" t="n">
        <f aca="false">IF($A53="","",IF(M53&gt;0,I53/M53,""))</f>
        <v>1</v>
      </c>
      <c r="R53" s="17" t="n">
        <f aca="false">IF($A53="","",IF((IF(N53="",0,Dimensoes!$C$2)+IF(O53="",0,Dimensoes!$C$3)+IF(P53="",0,Dimensoes!$C$4)+IF(Q53="",0,Dimensoes!$C$5))=0,"",(IF(N53="",0,N53*Dimensoes!$C$2)+IF(O53="",0,O53*Dimensoes!$C$3)+IF(P53="",0,P53*Dimensoes!$C$4)+IF(Q53="",0,Q53*Dimensoes!$C$5))/(IF(N53="",0,Dimensoes!$C$2)+IF(O53="",0,Dimensoes!$C$3)+IF(P53="",0,Dimensoes!$C$4)+IF(Q53="",0,Dimensoes!$C$5))))</f>
        <v>0.839285714285714</v>
      </c>
      <c r="S53" s="0" t="str">
        <f aca="false">IF(R53="","",IF(R53&lt;Faixas!$C$3,"vermelho",IF(R53&lt;Faixas!$C$4,"amarelo","verde")))</f>
        <v>verde</v>
      </c>
      <c r="T53" s="9" t="n">
        <f aca="false">IF($A53="","",IF(N53="",0,N53*Dimensoes!$C$2)+IF(O53="",0,O53*Dimensoes!$C$3)+IF(P53="",0,P53*Dimensoes!$C$4)+IF(Q53="",0,Q53*Dimensoes!$C$5))</f>
        <v>0.839285714285714</v>
      </c>
      <c r="U53" s="6" t="n">
        <f aca="false">IF($A53="","",IF(OR(E53="concluida",E53="incompleta"),1,0))</f>
        <v>1</v>
      </c>
    </row>
    <row r="54" customFormat="false" ht="15" hidden="false" customHeight="false" outlineLevel="0" collapsed="false">
      <c r="A54" s="0" t="str">
        <f aca="false">IF(Visitas!A54="","",Visitas!A54)</f>
        <v/>
      </c>
      <c r="B54" s="0" t="str">
        <f aca="false">IF($A54="","",Visitas!C54)</f>
        <v/>
      </c>
      <c r="C54" s="7" t="str">
        <f aca="false">IF($A54="","",Visitas!D54)</f>
        <v/>
      </c>
      <c r="D54" s="0" t="str">
        <f aca="false">IF($A54="","",Visitas!B54)</f>
        <v/>
      </c>
      <c r="E54" s="0" t="str">
        <f aca="false">IF($A54="","",Visitas!F54)</f>
        <v/>
      </c>
      <c r="F54" s="0" t="str">
        <f aca="false">IF($A54="","",SUMIFS(Avaliacoes!$G$2:$G$6000,Avaliacoes!$A$2:$A$6000,$A54,Avaliacoes!$F$2:$F$6000,"I",Avaliacoes!$H$2:$H$6000,0))</f>
        <v/>
      </c>
      <c r="G54" s="0" t="str">
        <f aca="false">IF($A54="","",SUMIFS(Avaliacoes!$G$2:$G$6000,Avaliacoes!$A$2:$A$6000,$A54,Avaliacoes!$F$2:$F$6000,"II",Avaliacoes!$H$2:$H$6000,0))</f>
        <v/>
      </c>
      <c r="H54" s="0" t="str">
        <f aca="false">IF($A54="","",SUMIFS(Avaliacoes!$G$2:$G$6000,Avaliacoes!$A$2:$A$6000,$A54,Avaliacoes!$F$2:$F$6000,"III",Avaliacoes!$H$2:$H$6000,0))</f>
        <v/>
      </c>
      <c r="I54" s="0" t="str">
        <f aca="false">IF($A54="","",SUMIFS(Avaliacoes!$G$2:$G$6000,Avaliacoes!$A$2:$A$6000,$A54,Avaliacoes!$F$2:$F$6000,"IV",Avaliacoes!$H$2:$H$6000,0))</f>
        <v/>
      </c>
      <c r="J54" s="0" t="str">
        <f aca="false">IF($A54="","",COUNTIFS(Avaliacoes!$A$2:$A$6000,$A54,Avaliacoes!$F$2:$F$6000,"I",Avaliacoes!$H$2:$H$6000,0,Avaliacoes!$G$2:$G$6000,"&lt;&gt;")*Dimensoes!$E$2)</f>
        <v/>
      </c>
      <c r="K54" s="0" t="str">
        <f aca="false">IF($A54="","",COUNTIFS(Avaliacoes!$A$2:$A$6000,$A54,Avaliacoes!$F$2:$F$6000,"II",Avaliacoes!$H$2:$H$6000,0,Avaliacoes!$G$2:$G$6000,"&lt;&gt;")*Dimensoes!$E$3)</f>
        <v/>
      </c>
      <c r="L54" s="0" t="str">
        <f aca="false">IF($A54="","",COUNTIFS(Avaliacoes!$A$2:$A$6000,$A54,Avaliacoes!$F$2:$F$6000,"III",Avaliacoes!$H$2:$H$6000,0,Avaliacoes!$G$2:$G$6000,"&lt;&gt;")*Dimensoes!$E$4)</f>
        <v/>
      </c>
      <c r="M54" s="0" t="str">
        <f aca="false">IF($A54="","",COUNTIFS(Avaliacoes!$A$2:$A$6000,$A54,Avaliacoes!$F$2:$F$6000,"IV",Avaliacoes!$H$2:$H$6000,0,Avaliacoes!$G$2:$G$6000,"&lt;&gt;")*Dimensoes!$E$5)</f>
        <v/>
      </c>
      <c r="N54" s="9" t="str">
        <f aca="false">IF($A54="","",IF(J54&gt;0,F54/J54,""))</f>
        <v/>
      </c>
      <c r="O54" s="9" t="str">
        <f aca="false">IF($A54="","",IF(K54&gt;0,G54/K54,""))</f>
        <v/>
      </c>
      <c r="P54" s="9" t="str">
        <f aca="false">IF($A54="","",IF(L54&gt;0,H54/L54,""))</f>
        <v/>
      </c>
      <c r="Q54" s="9" t="str">
        <f aca="false">IF($A54="","",IF(M54&gt;0,I54/M54,""))</f>
        <v/>
      </c>
      <c r="R54" s="17" t="str">
        <f aca="false">IF($A54="","",IF((IF(N54="",0,Dimensoes!$C$2)+IF(O54="",0,Dimensoes!$C$3)+IF(P54="",0,Dimensoes!$C$4)+IF(Q54="",0,Dimensoes!$C$5))=0,"",(IF(N54="",0,N54*Dimensoes!$C$2)+IF(O54="",0,O54*Dimensoes!$C$3)+IF(P54="",0,P54*Dimensoes!$C$4)+IF(Q54="",0,Q54*Dimensoes!$C$5))/(IF(N54="",0,Dimensoes!$C$2)+IF(O54="",0,Dimensoes!$C$3)+IF(P54="",0,Dimensoes!$C$4)+IF(Q54="",0,Dimensoes!$C$5))))</f>
        <v/>
      </c>
      <c r="S54" s="0" t="str">
        <f aca="false">IF(R54="","",IF(R54&lt;Faixas!$C$3,"vermelho",IF(R54&lt;Faixas!$C$4,"amarelo","verde")))</f>
        <v/>
      </c>
      <c r="T54" s="9" t="str">
        <f aca="false">IF($A54="","",IF(N54="",0,N54*Dimensoes!$C$2)+IF(O54="",0,O54*Dimensoes!$C$3)+IF(P54="",0,P54*Dimensoes!$C$4)+IF(Q54="",0,Q54*Dimensoes!$C$5))</f>
        <v/>
      </c>
      <c r="U54" s="0" t="str">
        <f aca="false">IF($A54="","",IF(OR(E54="concluida",E54="incompleta"),1,0))</f>
        <v/>
      </c>
    </row>
    <row r="55" customFormat="false" ht="15" hidden="false" customHeight="false" outlineLevel="0" collapsed="false">
      <c r="A55" s="0" t="str">
        <f aca="false">IF(Visitas!A55="","",Visitas!A55)</f>
        <v/>
      </c>
      <c r="B55" s="0" t="str">
        <f aca="false">IF($A55="","",Visitas!C55)</f>
        <v/>
      </c>
      <c r="C55" s="7" t="str">
        <f aca="false">IF($A55="","",Visitas!D55)</f>
        <v/>
      </c>
      <c r="D55" s="0" t="str">
        <f aca="false">IF($A55="","",Visitas!B55)</f>
        <v/>
      </c>
      <c r="E55" s="0" t="str">
        <f aca="false">IF($A55="","",Visitas!F55)</f>
        <v/>
      </c>
      <c r="F55" s="0" t="str">
        <f aca="false">IF($A55="","",SUMIFS(Avaliacoes!$G$2:$G$6000,Avaliacoes!$A$2:$A$6000,$A55,Avaliacoes!$F$2:$F$6000,"I",Avaliacoes!$H$2:$H$6000,0))</f>
        <v/>
      </c>
      <c r="G55" s="0" t="str">
        <f aca="false">IF($A55="","",SUMIFS(Avaliacoes!$G$2:$G$6000,Avaliacoes!$A$2:$A$6000,$A55,Avaliacoes!$F$2:$F$6000,"II",Avaliacoes!$H$2:$H$6000,0))</f>
        <v/>
      </c>
      <c r="H55" s="0" t="str">
        <f aca="false">IF($A55="","",SUMIFS(Avaliacoes!$G$2:$G$6000,Avaliacoes!$A$2:$A$6000,$A55,Avaliacoes!$F$2:$F$6000,"III",Avaliacoes!$H$2:$H$6000,0))</f>
        <v/>
      </c>
      <c r="I55" s="0" t="str">
        <f aca="false">IF($A55="","",SUMIFS(Avaliacoes!$G$2:$G$6000,Avaliacoes!$A$2:$A$6000,$A55,Avaliacoes!$F$2:$F$6000,"IV",Avaliacoes!$H$2:$H$6000,0))</f>
        <v/>
      </c>
      <c r="J55" s="0" t="str">
        <f aca="false">IF($A55="","",COUNTIFS(Avaliacoes!$A$2:$A$6000,$A55,Avaliacoes!$F$2:$F$6000,"I",Avaliacoes!$H$2:$H$6000,0,Avaliacoes!$G$2:$G$6000,"&lt;&gt;")*Dimensoes!$E$2)</f>
        <v/>
      </c>
      <c r="K55" s="0" t="str">
        <f aca="false">IF($A55="","",COUNTIFS(Avaliacoes!$A$2:$A$6000,$A55,Avaliacoes!$F$2:$F$6000,"II",Avaliacoes!$H$2:$H$6000,0,Avaliacoes!$G$2:$G$6000,"&lt;&gt;")*Dimensoes!$E$3)</f>
        <v/>
      </c>
      <c r="L55" s="0" t="str">
        <f aca="false">IF($A55="","",COUNTIFS(Avaliacoes!$A$2:$A$6000,$A55,Avaliacoes!$F$2:$F$6000,"III",Avaliacoes!$H$2:$H$6000,0,Avaliacoes!$G$2:$G$6000,"&lt;&gt;")*Dimensoes!$E$4)</f>
        <v/>
      </c>
      <c r="M55" s="0" t="str">
        <f aca="false">IF($A55="","",COUNTIFS(Avaliacoes!$A$2:$A$6000,$A55,Avaliacoes!$F$2:$F$6000,"IV",Avaliacoes!$H$2:$H$6000,0,Avaliacoes!$G$2:$G$6000,"&lt;&gt;")*Dimensoes!$E$5)</f>
        <v/>
      </c>
      <c r="N55" s="9" t="str">
        <f aca="false">IF($A55="","",IF(J55&gt;0,F55/J55,""))</f>
        <v/>
      </c>
      <c r="O55" s="9" t="str">
        <f aca="false">IF($A55="","",IF(K55&gt;0,G55/K55,""))</f>
        <v/>
      </c>
      <c r="P55" s="9" t="str">
        <f aca="false">IF($A55="","",IF(L55&gt;0,H55/L55,""))</f>
        <v/>
      </c>
      <c r="Q55" s="9" t="str">
        <f aca="false">IF($A55="","",IF(M55&gt;0,I55/M55,""))</f>
        <v/>
      </c>
      <c r="R55" s="17" t="str">
        <f aca="false">IF($A55="","",IF((IF(N55="",0,Dimensoes!$C$2)+IF(O55="",0,Dimensoes!$C$3)+IF(P55="",0,Dimensoes!$C$4)+IF(Q55="",0,Dimensoes!$C$5))=0,"",(IF(N55="",0,N55*Dimensoes!$C$2)+IF(O55="",0,O55*Dimensoes!$C$3)+IF(P55="",0,P55*Dimensoes!$C$4)+IF(Q55="",0,Q55*Dimensoes!$C$5))/(IF(N55="",0,Dimensoes!$C$2)+IF(O55="",0,Dimensoes!$C$3)+IF(P55="",0,Dimensoes!$C$4)+IF(Q55="",0,Dimensoes!$C$5))))</f>
        <v/>
      </c>
      <c r="S55" s="0" t="str">
        <f aca="false">IF(R55="","",IF(R55&lt;Faixas!$C$3,"vermelho",IF(R55&lt;Faixas!$C$4,"amarelo","verde")))</f>
        <v/>
      </c>
      <c r="T55" s="9" t="str">
        <f aca="false">IF($A55="","",IF(N55="",0,N55*Dimensoes!$C$2)+IF(O55="",0,O55*Dimensoes!$C$3)+IF(P55="",0,P55*Dimensoes!$C$4)+IF(Q55="",0,Q55*Dimensoes!$C$5))</f>
        <v/>
      </c>
      <c r="U55" s="0" t="str">
        <f aca="false">IF($A55="","",IF(OR(E55="concluida",E55="incompleta"),1,0))</f>
        <v/>
      </c>
    </row>
    <row r="56" customFormat="false" ht="15" hidden="false" customHeight="false" outlineLevel="0" collapsed="false">
      <c r="A56" s="0" t="str">
        <f aca="false">IF(Visitas!A56="","",Visitas!A56)</f>
        <v/>
      </c>
      <c r="B56" s="0" t="str">
        <f aca="false">IF($A56="","",Visitas!C56)</f>
        <v/>
      </c>
      <c r="C56" s="7" t="str">
        <f aca="false">IF($A56="","",Visitas!D56)</f>
        <v/>
      </c>
      <c r="D56" s="0" t="str">
        <f aca="false">IF($A56="","",Visitas!B56)</f>
        <v/>
      </c>
      <c r="E56" s="0" t="str">
        <f aca="false">IF($A56="","",Visitas!F56)</f>
        <v/>
      </c>
      <c r="F56" s="0" t="str">
        <f aca="false">IF($A56="","",SUMIFS(Avaliacoes!$G$2:$G$6000,Avaliacoes!$A$2:$A$6000,$A56,Avaliacoes!$F$2:$F$6000,"I",Avaliacoes!$H$2:$H$6000,0))</f>
        <v/>
      </c>
      <c r="G56" s="0" t="str">
        <f aca="false">IF($A56="","",SUMIFS(Avaliacoes!$G$2:$G$6000,Avaliacoes!$A$2:$A$6000,$A56,Avaliacoes!$F$2:$F$6000,"II",Avaliacoes!$H$2:$H$6000,0))</f>
        <v/>
      </c>
      <c r="H56" s="0" t="str">
        <f aca="false">IF($A56="","",SUMIFS(Avaliacoes!$G$2:$G$6000,Avaliacoes!$A$2:$A$6000,$A56,Avaliacoes!$F$2:$F$6000,"III",Avaliacoes!$H$2:$H$6000,0))</f>
        <v/>
      </c>
      <c r="I56" s="0" t="str">
        <f aca="false">IF($A56="","",SUMIFS(Avaliacoes!$G$2:$G$6000,Avaliacoes!$A$2:$A$6000,$A56,Avaliacoes!$F$2:$F$6000,"IV",Avaliacoes!$H$2:$H$6000,0))</f>
        <v/>
      </c>
      <c r="J56" s="0" t="str">
        <f aca="false">IF($A56="","",COUNTIFS(Avaliacoes!$A$2:$A$6000,$A56,Avaliacoes!$F$2:$F$6000,"I",Avaliacoes!$H$2:$H$6000,0,Avaliacoes!$G$2:$G$6000,"&lt;&gt;")*Dimensoes!$E$2)</f>
        <v/>
      </c>
      <c r="K56" s="0" t="str">
        <f aca="false">IF($A56="","",COUNTIFS(Avaliacoes!$A$2:$A$6000,$A56,Avaliacoes!$F$2:$F$6000,"II",Avaliacoes!$H$2:$H$6000,0,Avaliacoes!$G$2:$G$6000,"&lt;&gt;")*Dimensoes!$E$3)</f>
        <v/>
      </c>
      <c r="L56" s="0" t="str">
        <f aca="false">IF($A56="","",COUNTIFS(Avaliacoes!$A$2:$A$6000,$A56,Avaliacoes!$F$2:$F$6000,"III",Avaliacoes!$H$2:$H$6000,0,Avaliacoes!$G$2:$G$6000,"&lt;&gt;")*Dimensoes!$E$4)</f>
        <v/>
      </c>
      <c r="M56" s="0" t="str">
        <f aca="false">IF($A56="","",COUNTIFS(Avaliacoes!$A$2:$A$6000,$A56,Avaliacoes!$F$2:$F$6000,"IV",Avaliacoes!$H$2:$H$6000,0,Avaliacoes!$G$2:$G$6000,"&lt;&gt;")*Dimensoes!$E$5)</f>
        <v/>
      </c>
      <c r="N56" s="9" t="str">
        <f aca="false">IF($A56="","",IF(J56&gt;0,F56/J56,""))</f>
        <v/>
      </c>
      <c r="O56" s="9" t="str">
        <f aca="false">IF($A56="","",IF(K56&gt;0,G56/K56,""))</f>
        <v/>
      </c>
      <c r="P56" s="9" t="str">
        <f aca="false">IF($A56="","",IF(L56&gt;0,H56/L56,""))</f>
        <v/>
      </c>
      <c r="Q56" s="9" t="str">
        <f aca="false">IF($A56="","",IF(M56&gt;0,I56/M56,""))</f>
        <v/>
      </c>
      <c r="R56" s="17" t="str">
        <f aca="false">IF($A56="","",IF((IF(N56="",0,Dimensoes!$C$2)+IF(O56="",0,Dimensoes!$C$3)+IF(P56="",0,Dimensoes!$C$4)+IF(Q56="",0,Dimensoes!$C$5))=0,"",(IF(N56="",0,N56*Dimensoes!$C$2)+IF(O56="",0,O56*Dimensoes!$C$3)+IF(P56="",0,P56*Dimensoes!$C$4)+IF(Q56="",0,Q56*Dimensoes!$C$5))/(IF(N56="",0,Dimensoes!$C$2)+IF(O56="",0,Dimensoes!$C$3)+IF(P56="",0,Dimensoes!$C$4)+IF(Q56="",0,Dimensoes!$C$5))))</f>
        <v/>
      </c>
      <c r="S56" s="0" t="str">
        <f aca="false">IF(R56="","",IF(R56&lt;Faixas!$C$3,"vermelho",IF(R56&lt;Faixas!$C$4,"amarelo","verde")))</f>
        <v/>
      </c>
      <c r="T56" s="9" t="str">
        <f aca="false">IF($A56="","",IF(N56="",0,N56*Dimensoes!$C$2)+IF(O56="",0,O56*Dimensoes!$C$3)+IF(P56="",0,P56*Dimensoes!$C$4)+IF(Q56="",0,Q56*Dimensoes!$C$5))</f>
        <v/>
      </c>
      <c r="U56" s="0" t="str">
        <f aca="false">IF($A56="","",IF(OR(E56="concluida",E56="incompleta"),1,0))</f>
        <v/>
      </c>
    </row>
    <row r="57" customFormat="false" ht="15" hidden="false" customHeight="false" outlineLevel="0" collapsed="false">
      <c r="A57" s="0" t="str">
        <f aca="false">IF(Visitas!A57="","",Visitas!A57)</f>
        <v/>
      </c>
      <c r="B57" s="0" t="str">
        <f aca="false">IF($A57="","",Visitas!C57)</f>
        <v/>
      </c>
      <c r="C57" s="7" t="str">
        <f aca="false">IF($A57="","",Visitas!D57)</f>
        <v/>
      </c>
      <c r="D57" s="0" t="str">
        <f aca="false">IF($A57="","",Visitas!B57)</f>
        <v/>
      </c>
      <c r="E57" s="0" t="str">
        <f aca="false">IF($A57="","",Visitas!F57)</f>
        <v/>
      </c>
      <c r="F57" s="0" t="str">
        <f aca="false">IF($A57="","",SUMIFS(Avaliacoes!$G$2:$G$6000,Avaliacoes!$A$2:$A$6000,$A57,Avaliacoes!$F$2:$F$6000,"I",Avaliacoes!$H$2:$H$6000,0))</f>
        <v/>
      </c>
      <c r="G57" s="0" t="str">
        <f aca="false">IF($A57="","",SUMIFS(Avaliacoes!$G$2:$G$6000,Avaliacoes!$A$2:$A$6000,$A57,Avaliacoes!$F$2:$F$6000,"II",Avaliacoes!$H$2:$H$6000,0))</f>
        <v/>
      </c>
      <c r="H57" s="0" t="str">
        <f aca="false">IF($A57="","",SUMIFS(Avaliacoes!$G$2:$G$6000,Avaliacoes!$A$2:$A$6000,$A57,Avaliacoes!$F$2:$F$6000,"III",Avaliacoes!$H$2:$H$6000,0))</f>
        <v/>
      </c>
      <c r="I57" s="0" t="str">
        <f aca="false">IF($A57="","",SUMIFS(Avaliacoes!$G$2:$G$6000,Avaliacoes!$A$2:$A$6000,$A57,Avaliacoes!$F$2:$F$6000,"IV",Avaliacoes!$H$2:$H$6000,0))</f>
        <v/>
      </c>
      <c r="J57" s="0" t="str">
        <f aca="false">IF($A57="","",COUNTIFS(Avaliacoes!$A$2:$A$6000,$A57,Avaliacoes!$F$2:$F$6000,"I",Avaliacoes!$H$2:$H$6000,0,Avaliacoes!$G$2:$G$6000,"&lt;&gt;")*Dimensoes!$E$2)</f>
        <v/>
      </c>
      <c r="K57" s="0" t="str">
        <f aca="false">IF($A57="","",COUNTIFS(Avaliacoes!$A$2:$A$6000,$A57,Avaliacoes!$F$2:$F$6000,"II",Avaliacoes!$H$2:$H$6000,0,Avaliacoes!$G$2:$G$6000,"&lt;&gt;")*Dimensoes!$E$3)</f>
        <v/>
      </c>
      <c r="L57" s="0" t="str">
        <f aca="false">IF($A57="","",COUNTIFS(Avaliacoes!$A$2:$A$6000,$A57,Avaliacoes!$F$2:$F$6000,"III",Avaliacoes!$H$2:$H$6000,0,Avaliacoes!$G$2:$G$6000,"&lt;&gt;")*Dimensoes!$E$4)</f>
        <v/>
      </c>
      <c r="M57" s="0" t="str">
        <f aca="false">IF($A57="","",COUNTIFS(Avaliacoes!$A$2:$A$6000,$A57,Avaliacoes!$F$2:$F$6000,"IV",Avaliacoes!$H$2:$H$6000,0,Avaliacoes!$G$2:$G$6000,"&lt;&gt;")*Dimensoes!$E$5)</f>
        <v/>
      </c>
      <c r="N57" s="9" t="str">
        <f aca="false">IF($A57="","",IF(J57&gt;0,F57/J57,""))</f>
        <v/>
      </c>
      <c r="O57" s="9" t="str">
        <f aca="false">IF($A57="","",IF(K57&gt;0,G57/K57,""))</f>
        <v/>
      </c>
      <c r="P57" s="9" t="str">
        <f aca="false">IF($A57="","",IF(L57&gt;0,H57/L57,""))</f>
        <v/>
      </c>
      <c r="Q57" s="9" t="str">
        <f aca="false">IF($A57="","",IF(M57&gt;0,I57/M57,""))</f>
        <v/>
      </c>
      <c r="R57" s="17" t="str">
        <f aca="false">IF($A57="","",IF((IF(N57="",0,Dimensoes!$C$2)+IF(O57="",0,Dimensoes!$C$3)+IF(P57="",0,Dimensoes!$C$4)+IF(Q57="",0,Dimensoes!$C$5))=0,"",(IF(N57="",0,N57*Dimensoes!$C$2)+IF(O57="",0,O57*Dimensoes!$C$3)+IF(P57="",0,P57*Dimensoes!$C$4)+IF(Q57="",0,Q57*Dimensoes!$C$5))/(IF(N57="",0,Dimensoes!$C$2)+IF(O57="",0,Dimensoes!$C$3)+IF(P57="",0,Dimensoes!$C$4)+IF(Q57="",0,Dimensoes!$C$5))))</f>
        <v/>
      </c>
      <c r="S57" s="0" t="str">
        <f aca="false">IF(R57="","",IF(R57&lt;Faixas!$C$3,"vermelho",IF(R57&lt;Faixas!$C$4,"amarelo","verde")))</f>
        <v/>
      </c>
      <c r="T57" s="9" t="str">
        <f aca="false">IF($A57="","",IF(N57="",0,N57*Dimensoes!$C$2)+IF(O57="",0,O57*Dimensoes!$C$3)+IF(P57="",0,P57*Dimensoes!$C$4)+IF(Q57="",0,Q57*Dimensoes!$C$5))</f>
        <v/>
      </c>
      <c r="U57" s="0" t="str">
        <f aca="false">IF($A57="","",IF(OR(E57="concluida",E57="incompleta"),1,0))</f>
        <v/>
      </c>
    </row>
    <row r="58" customFormat="false" ht="15" hidden="false" customHeight="false" outlineLevel="0" collapsed="false">
      <c r="A58" s="0" t="str">
        <f aca="false">IF(Visitas!A58="","",Visitas!A58)</f>
        <v/>
      </c>
      <c r="B58" s="0" t="str">
        <f aca="false">IF($A58="","",Visitas!C58)</f>
        <v/>
      </c>
      <c r="C58" s="7" t="str">
        <f aca="false">IF($A58="","",Visitas!D58)</f>
        <v/>
      </c>
      <c r="D58" s="0" t="str">
        <f aca="false">IF($A58="","",Visitas!B58)</f>
        <v/>
      </c>
      <c r="E58" s="0" t="str">
        <f aca="false">IF($A58="","",Visitas!F58)</f>
        <v/>
      </c>
      <c r="F58" s="0" t="str">
        <f aca="false">IF($A58="","",SUMIFS(Avaliacoes!$G$2:$G$6000,Avaliacoes!$A$2:$A$6000,$A58,Avaliacoes!$F$2:$F$6000,"I",Avaliacoes!$H$2:$H$6000,0))</f>
        <v/>
      </c>
      <c r="G58" s="0" t="str">
        <f aca="false">IF($A58="","",SUMIFS(Avaliacoes!$G$2:$G$6000,Avaliacoes!$A$2:$A$6000,$A58,Avaliacoes!$F$2:$F$6000,"II",Avaliacoes!$H$2:$H$6000,0))</f>
        <v/>
      </c>
      <c r="H58" s="0" t="str">
        <f aca="false">IF($A58="","",SUMIFS(Avaliacoes!$G$2:$G$6000,Avaliacoes!$A$2:$A$6000,$A58,Avaliacoes!$F$2:$F$6000,"III",Avaliacoes!$H$2:$H$6000,0))</f>
        <v/>
      </c>
      <c r="I58" s="0" t="str">
        <f aca="false">IF($A58="","",SUMIFS(Avaliacoes!$G$2:$G$6000,Avaliacoes!$A$2:$A$6000,$A58,Avaliacoes!$F$2:$F$6000,"IV",Avaliacoes!$H$2:$H$6000,0))</f>
        <v/>
      </c>
      <c r="J58" s="0" t="str">
        <f aca="false">IF($A58="","",COUNTIFS(Avaliacoes!$A$2:$A$6000,$A58,Avaliacoes!$F$2:$F$6000,"I",Avaliacoes!$H$2:$H$6000,0,Avaliacoes!$G$2:$G$6000,"&lt;&gt;")*Dimensoes!$E$2)</f>
        <v/>
      </c>
      <c r="K58" s="0" t="str">
        <f aca="false">IF($A58="","",COUNTIFS(Avaliacoes!$A$2:$A$6000,$A58,Avaliacoes!$F$2:$F$6000,"II",Avaliacoes!$H$2:$H$6000,0,Avaliacoes!$G$2:$G$6000,"&lt;&gt;")*Dimensoes!$E$3)</f>
        <v/>
      </c>
      <c r="L58" s="0" t="str">
        <f aca="false">IF($A58="","",COUNTIFS(Avaliacoes!$A$2:$A$6000,$A58,Avaliacoes!$F$2:$F$6000,"III",Avaliacoes!$H$2:$H$6000,0,Avaliacoes!$G$2:$G$6000,"&lt;&gt;")*Dimensoes!$E$4)</f>
        <v/>
      </c>
      <c r="M58" s="0" t="str">
        <f aca="false">IF($A58="","",COUNTIFS(Avaliacoes!$A$2:$A$6000,$A58,Avaliacoes!$F$2:$F$6000,"IV",Avaliacoes!$H$2:$H$6000,0,Avaliacoes!$G$2:$G$6000,"&lt;&gt;")*Dimensoes!$E$5)</f>
        <v/>
      </c>
      <c r="N58" s="9" t="str">
        <f aca="false">IF($A58="","",IF(J58&gt;0,F58/J58,""))</f>
        <v/>
      </c>
      <c r="O58" s="9" t="str">
        <f aca="false">IF($A58="","",IF(K58&gt;0,G58/K58,""))</f>
        <v/>
      </c>
      <c r="P58" s="9" t="str">
        <f aca="false">IF($A58="","",IF(L58&gt;0,H58/L58,""))</f>
        <v/>
      </c>
      <c r="Q58" s="9" t="str">
        <f aca="false">IF($A58="","",IF(M58&gt;0,I58/M58,""))</f>
        <v/>
      </c>
      <c r="R58" s="17" t="str">
        <f aca="false">IF($A58="","",IF((IF(N58="",0,Dimensoes!$C$2)+IF(O58="",0,Dimensoes!$C$3)+IF(P58="",0,Dimensoes!$C$4)+IF(Q58="",0,Dimensoes!$C$5))=0,"",(IF(N58="",0,N58*Dimensoes!$C$2)+IF(O58="",0,O58*Dimensoes!$C$3)+IF(P58="",0,P58*Dimensoes!$C$4)+IF(Q58="",0,Q58*Dimensoes!$C$5))/(IF(N58="",0,Dimensoes!$C$2)+IF(O58="",0,Dimensoes!$C$3)+IF(P58="",0,Dimensoes!$C$4)+IF(Q58="",0,Dimensoes!$C$5))))</f>
        <v/>
      </c>
      <c r="S58" s="0" t="str">
        <f aca="false">IF(R58="","",IF(R58&lt;Faixas!$C$3,"vermelho",IF(R58&lt;Faixas!$C$4,"amarelo","verde")))</f>
        <v/>
      </c>
      <c r="T58" s="9" t="str">
        <f aca="false">IF($A58="","",IF(N58="",0,N58*Dimensoes!$C$2)+IF(O58="",0,O58*Dimensoes!$C$3)+IF(P58="",0,P58*Dimensoes!$C$4)+IF(Q58="",0,Q58*Dimensoes!$C$5))</f>
        <v/>
      </c>
      <c r="U58" s="0" t="str">
        <f aca="false">IF($A58="","",IF(OR(E58="concluida",E58="incompleta"),1,0))</f>
        <v/>
      </c>
    </row>
    <row r="59" customFormat="false" ht="15" hidden="false" customHeight="false" outlineLevel="0" collapsed="false">
      <c r="A59" s="0" t="str">
        <f aca="false">IF(Visitas!A59="","",Visitas!A59)</f>
        <v/>
      </c>
      <c r="B59" s="0" t="str">
        <f aca="false">IF($A59="","",Visitas!C59)</f>
        <v/>
      </c>
      <c r="C59" s="7" t="str">
        <f aca="false">IF($A59="","",Visitas!D59)</f>
        <v/>
      </c>
      <c r="D59" s="0" t="str">
        <f aca="false">IF($A59="","",Visitas!B59)</f>
        <v/>
      </c>
      <c r="E59" s="0" t="str">
        <f aca="false">IF($A59="","",Visitas!F59)</f>
        <v/>
      </c>
      <c r="F59" s="0" t="str">
        <f aca="false">IF($A59="","",SUMIFS(Avaliacoes!$G$2:$G$6000,Avaliacoes!$A$2:$A$6000,$A59,Avaliacoes!$F$2:$F$6000,"I",Avaliacoes!$H$2:$H$6000,0))</f>
        <v/>
      </c>
      <c r="G59" s="0" t="str">
        <f aca="false">IF($A59="","",SUMIFS(Avaliacoes!$G$2:$G$6000,Avaliacoes!$A$2:$A$6000,$A59,Avaliacoes!$F$2:$F$6000,"II",Avaliacoes!$H$2:$H$6000,0))</f>
        <v/>
      </c>
      <c r="H59" s="0" t="str">
        <f aca="false">IF($A59="","",SUMIFS(Avaliacoes!$G$2:$G$6000,Avaliacoes!$A$2:$A$6000,$A59,Avaliacoes!$F$2:$F$6000,"III",Avaliacoes!$H$2:$H$6000,0))</f>
        <v/>
      </c>
      <c r="I59" s="0" t="str">
        <f aca="false">IF($A59="","",SUMIFS(Avaliacoes!$G$2:$G$6000,Avaliacoes!$A$2:$A$6000,$A59,Avaliacoes!$F$2:$F$6000,"IV",Avaliacoes!$H$2:$H$6000,0))</f>
        <v/>
      </c>
      <c r="J59" s="0" t="str">
        <f aca="false">IF($A59="","",COUNTIFS(Avaliacoes!$A$2:$A$6000,$A59,Avaliacoes!$F$2:$F$6000,"I",Avaliacoes!$H$2:$H$6000,0,Avaliacoes!$G$2:$G$6000,"&lt;&gt;")*Dimensoes!$E$2)</f>
        <v/>
      </c>
      <c r="K59" s="0" t="str">
        <f aca="false">IF($A59="","",COUNTIFS(Avaliacoes!$A$2:$A$6000,$A59,Avaliacoes!$F$2:$F$6000,"II",Avaliacoes!$H$2:$H$6000,0,Avaliacoes!$G$2:$G$6000,"&lt;&gt;")*Dimensoes!$E$3)</f>
        <v/>
      </c>
      <c r="L59" s="0" t="str">
        <f aca="false">IF($A59="","",COUNTIFS(Avaliacoes!$A$2:$A$6000,$A59,Avaliacoes!$F$2:$F$6000,"III",Avaliacoes!$H$2:$H$6000,0,Avaliacoes!$G$2:$G$6000,"&lt;&gt;")*Dimensoes!$E$4)</f>
        <v/>
      </c>
      <c r="M59" s="0" t="str">
        <f aca="false">IF($A59="","",COUNTIFS(Avaliacoes!$A$2:$A$6000,$A59,Avaliacoes!$F$2:$F$6000,"IV",Avaliacoes!$H$2:$H$6000,0,Avaliacoes!$G$2:$G$6000,"&lt;&gt;")*Dimensoes!$E$5)</f>
        <v/>
      </c>
      <c r="N59" s="9" t="str">
        <f aca="false">IF($A59="","",IF(J59&gt;0,F59/J59,""))</f>
        <v/>
      </c>
      <c r="O59" s="9" t="str">
        <f aca="false">IF($A59="","",IF(K59&gt;0,G59/K59,""))</f>
        <v/>
      </c>
      <c r="P59" s="9" t="str">
        <f aca="false">IF($A59="","",IF(L59&gt;0,H59/L59,""))</f>
        <v/>
      </c>
      <c r="Q59" s="9" t="str">
        <f aca="false">IF($A59="","",IF(M59&gt;0,I59/M59,""))</f>
        <v/>
      </c>
      <c r="R59" s="17" t="str">
        <f aca="false">IF($A59="","",IF((IF(N59="",0,Dimensoes!$C$2)+IF(O59="",0,Dimensoes!$C$3)+IF(P59="",0,Dimensoes!$C$4)+IF(Q59="",0,Dimensoes!$C$5))=0,"",(IF(N59="",0,N59*Dimensoes!$C$2)+IF(O59="",0,O59*Dimensoes!$C$3)+IF(P59="",0,P59*Dimensoes!$C$4)+IF(Q59="",0,Q59*Dimensoes!$C$5))/(IF(N59="",0,Dimensoes!$C$2)+IF(O59="",0,Dimensoes!$C$3)+IF(P59="",0,Dimensoes!$C$4)+IF(Q59="",0,Dimensoes!$C$5))))</f>
        <v/>
      </c>
      <c r="S59" s="0" t="str">
        <f aca="false">IF(R59="","",IF(R59&lt;Faixas!$C$3,"vermelho",IF(R59&lt;Faixas!$C$4,"amarelo","verde")))</f>
        <v/>
      </c>
      <c r="T59" s="9" t="str">
        <f aca="false">IF($A59="","",IF(N59="",0,N59*Dimensoes!$C$2)+IF(O59="",0,O59*Dimensoes!$C$3)+IF(P59="",0,P59*Dimensoes!$C$4)+IF(Q59="",0,Q59*Dimensoes!$C$5))</f>
        <v/>
      </c>
      <c r="U59" s="0" t="str">
        <f aca="false">IF($A59="","",IF(OR(E59="concluida",E59="incompleta"),1,0))</f>
        <v/>
      </c>
    </row>
    <row r="60" customFormat="false" ht="15" hidden="false" customHeight="false" outlineLevel="0" collapsed="false">
      <c r="A60" s="0" t="str">
        <f aca="false">IF(Visitas!A60="","",Visitas!A60)</f>
        <v/>
      </c>
      <c r="B60" s="0" t="str">
        <f aca="false">IF($A60="","",Visitas!C60)</f>
        <v/>
      </c>
      <c r="C60" s="7" t="str">
        <f aca="false">IF($A60="","",Visitas!D60)</f>
        <v/>
      </c>
      <c r="D60" s="0" t="str">
        <f aca="false">IF($A60="","",Visitas!B60)</f>
        <v/>
      </c>
      <c r="E60" s="0" t="str">
        <f aca="false">IF($A60="","",Visitas!F60)</f>
        <v/>
      </c>
      <c r="F60" s="0" t="str">
        <f aca="false">IF($A60="","",SUMIFS(Avaliacoes!$G$2:$G$6000,Avaliacoes!$A$2:$A$6000,$A60,Avaliacoes!$F$2:$F$6000,"I",Avaliacoes!$H$2:$H$6000,0))</f>
        <v/>
      </c>
      <c r="G60" s="0" t="str">
        <f aca="false">IF($A60="","",SUMIFS(Avaliacoes!$G$2:$G$6000,Avaliacoes!$A$2:$A$6000,$A60,Avaliacoes!$F$2:$F$6000,"II",Avaliacoes!$H$2:$H$6000,0))</f>
        <v/>
      </c>
      <c r="H60" s="0" t="str">
        <f aca="false">IF($A60="","",SUMIFS(Avaliacoes!$G$2:$G$6000,Avaliacoes!$A$2:$A$6000,$A60,Avaliacoes!$F$2:$F$6000,"III",Avaliacoes!$H$2:$H$6000,0))</f>
        <v/>
      </c>
      <c r="I60" s="0" t="str">
        <f aca="false">IF($A60="","",SUMIFS(Avaliacoes!$G$2:$G$6000,Avaliacoes!$A$2:$A$6000,$A60,Avaliacoes!$F$2:$F$6000,"IV",Avaliacoes!$H$2:$H$6000,0))</f>
        <v/>
      </c>
      <c r="J60" s="0" t="str">
        <f aca="false">IF($A60="","",COUNTIFS(Avaliacoes!$A$2:$A$6000,$A60,Avaliacoes!$F$2:$F$6000,"I",Avaliacoes!$H$2:$H$6000,0,Avaliacoes!$G$2:$G$6000,"&lt;&gt;")*Dimensoes!$E$2)</f>
        <v/>
      </c>
      <c r="K60" s="0" t="str">
        <f aca="false">IF($A60="","",COUNTIFS(Avaliacoes!$A$2:$A$6000,$A60,Avaliacoes!$F$2:$F$6000,"II",Avaliacoes!$H$2:$H$6000,0,Avaliacoes!$G$2:$G$6000,"&lt;&gt;")*Dimensoes!$E$3)</f>
        <v/>
      </c>
      <c r="L60" s="0" t="str">
        <f aca="false">IF($A60="","",COUNTIFS(Avaliacoes!$A$2:$A$6000,$A60,Avaliacoes!$F$2:$F$6000,"III",Avaliacoes!$H$2:$H$6000,0,Avaliacoes!$G$2:$G$6000,"&lt;&gt;")*Dimensoes!$E$4)</f>
        <v/>
      </c>
      <c r="M60" s="0" t="str">
        <f aca="false">IF($A60="","",COUNTIFS(Avaliacoes!$A$2:$A$6000,$A60,Avaliacoes!$F$2:$F$6000,"IV",Avaliacoes!$H$2:$H$6000,0,Avaliacoes!$G$2:$G$6000,"&lt;&gt;")*Dimensoes!$E$5)</f>
        <v/>
      </c>
      <c r="N60" s="9" t="str">
        <f aca="false">IF($A60="","",IF(J60&gt;0,F60/J60,""))</f>
        <v/>
      </c>
      <c r="O60" s="9" t="str">
        <f aca="false">IF($A60="","",IF(K60&gt;0,G60/K60,""))</f>
        <v/>
      </c>
      <c r="P60" s="9" t="str">
        <f aca="false">IF($A60="","",IF(L60&gt;0,H60/L60,""))</f>
        <v/>
      </c>
      <c r="Q60" s="9" t="str">
        <f aca="false">IF($A60="","",IF(M60&gt;0,I60/M60,""))</f>
        <v/>
      </c>
      <c r="R60" s="17" t="str">
        <f aca="false">IF($A60="","",IF((IF(N60="",0,Dimensoes!$C$2)+IF(O60="",0,Dimensoes!$C$3)+IF(P60="",0,Dimensoes!$C$4)+IF(Q60="",0,Dimensoes!$C$5))=0,"",(IF(N60="",0,N60*Dimensoes!$C$2)+IF(O60="",0,O60*Dimensoes!$C$3)+IF(P60="",0,P60*Dimensoes!$C$4)+IF(Q60="",0,Q60*Dimensoes!$C$5))/(IF(N60="",0,Dimensoes!$C$2)+IF(O60="",0,Dimensoes!$C$3)+IF(P60="",0,Dimensoes!$C$4)+IF(Q60="",0,Dimensoes!$C$5))))</f>
        <v/>
      </c>
      <c r="S60" s="0" t="str">
        <f aca="false">IF(R60="","",IF(R60&lt;Faixas!$C$3,"vermelho",IF(R60&lt;Faixas!$C$4,"amarelo","verde")))</f>
        <v/>
      </c>
      <c r="T60" s="9" t="str">
        <f aca="false">IF($A60="","",IF(N60="",0,N60*Dimensoes!$C$2)+IF(O60="",0,O60*Dimensoes!$C$3)+IF(P60="",0,P60*Dimensoes!$C$4)+IF(Q60="",0,Q60*Dimensoes!$C$5))</f>
        <v/>
      </c>
      <c r="U60" s="0" t="str">
        <f aca="false">IF($A60="","",IF(OR(E60="concluida",E60="incompleta"),1,0))</f>
        <v/>
      </c>
    </row>
    <row r="61" customFormat="false" ht="15" hidden="false" customHeight="false" outlineLevel="0" collapsed="false">
      <c r="A61" s="0" t="str">
        <f aca="false">IF(Visitas!A61="","",Visitas!A61)</f>
        <v/>
      </c>
      <c r="B61" s="0" t="str">
        <f aca="false">IF($A61="","",Visitas!C61)</f>
        <v/>
      </c>
      <c r="C61" s="7" t="str">
        <f aca="false">IF($A61="","",Visitas!D61)</f>
        <v/>
      </c>
      <c r="D61" s="0" t="str">
        <f aca="false">IF($A61="","",Visitas!B61)</f>
        <v/>
      </c>
      <c r="E61" s="0" t="str">
        <f aca="false">IF($A61="","",Visitas!F61)</f>
        <v/>
      </c>
      <c r="F61" s="0" t="str">
        <f aca="false">IF($A61="","",SUMIFS(Avaliacoes!$G$2:$G$6000,Avaliacoes!$A$2:$A$6000,$A61,Avaliacoes!$F$2:$F$6000,"I",Avaliacoes!$H$2:$H$6000,0))</f>
        <v/>
      </c>
      <c r="G61" s="0" t="str">
        <f aca="false">IF($A61="","",SUMIFS(Avaliacoes!$G$2:$G$6000,Avaliacoes!$A$2:$A$6000,$A61,Avaliacoes!$F$2:$F$6000,"II",Avaliacoes!$H$2:$H$6000,0))</f>
        <v/>
      </c>
      <c r="H61" s="0" t="str">
        <f aca="false">IF($A61="","",SUMIFS(Avaliacoes!$G$2:$G$6000,Avaliacoes!$A$2:$A$6000,$A61,Avaliacoes!$F$2:$F$6000,"III",Avaliacoes!$H$2:$H$6000,0))</f>
        <v/>
      </c>
      <c r="I61" s="0" t="str">
        <f aca="false">IF($A61="","",SUMIFS(Avaliacoes!$G$2:$G$6000,Avaliacoes!$A$2:$A$6000,$A61,Avaliacoes!$F$2:$F$6000,"IV",Avaliacoes!$H$2:$H$6000,0))</f>
        <v/>
      </c>
      <c r="J61" s="0" t="str">
        <f aca="false">IF($A61="","",COUNTIFS(Avaliacoes!$A$2:$A$6000,$A61,Avaliacoes!$F$2:$F$6000,"I",Avaliacoes!$H$2:$H$6000,0,Avaliacoes!$G$2:$G$6000,"&lt;&gt;")*Dimensoes!$E$2)</f>
        <v/>
      </c>
      <c r="K61" s="0" t="str">
        <f aca="false">IF($A61="","",COUNTIFS(Avaliacoes!$A$2:$A$6000,$A61,Avaliacoes!$F$2:$F$6000,"II",Avaliacoes!$H$2:$H$6000,0,Avaliacoes!$G$2:$G$6000,"&lt;&gt;")*Dimensoes!$E$3)</f>
        <v/>
      </c>
      <c r="L61" s="0" t="str">
        <f aca="false">IF($A61="","",COUNTIFS(Avaliacoes!$A$2:$A$6000,$A61,Avaliacoes!$F$2:$F$6000,"III",Avaliacoes!$H$2:$H$6000,0,Avaliacoes!$G$2:$G$6000,"&lt;&gt;")*Dimensoes!$E$4)</f>
        <v/>
      </c>
      <c r="M61" s="0" t="str">
        <f aca="false">IF($A61="","",COUNTIFS(Avaliacoes!$A$2:$A$6000,$A61,Avaliacoes!$F$2:$F$6000,"IV",Avaliacoes!$H$2:$H$6000,0,Avaliacoes!$G$2:$G$6000,"&lt;&gt;")*Dimensoes!$E$5)</f>
        <v/>
      </c>
      <c r="N61" s="9" t="str">
        <f aca="false">IF($A61="","",IF(J61&gt;0,F61/J61,""))</f>
        <v/>
      </c>
      <c r="O61" s="9" t="str">
        <f aca="false">IF($A61="","",IF(K61&gt;0,G61/K61,""))</f>
        <v/>
      </c>
      <c r="P61" s="9" t="str">
        <f aca="false">IF($A61="","",IF(L61&gt;0,H61/L61,""))</f>
        <v/>
      </c>
      <c r="Q61" s="9" t="str">
        <f aca="false">IF($A61="","",IF(M61&gt;0,I61/M61,""))</f>
        <v/>
      </c>
      <c r="R61" s="17" t="str">
        <f aca="false">IF($A61="","",IF((IF(N61="",0,Dimensoes!$C$2)+IF(O61="",0,Dimensoes!$C$3)+IF(P61="",0,Dimensoes!$C$4)+IF(Q61="",0,Dimensoes!$C$5))=0,"",(IF(N61="",0,N61*Dimensoes!$C$2)+IF(O61="",0,O61*Dimensoes!$C$3)+IF(P61="",0,P61*Dimensoes!$C$4)+IF(Q61="",0,Q61*Dimensoes!$C$5))/(IF(N61="",0,Dimensoes!$C$2)+IF(O61="",0,Dimensoes!$C$3)+IF(P61="",0,Dimensoes!$C$4)+IF(Q61="",0,Dimensoes!$C$5))))</f>
        <v/>
      </c>
      <c r="S61" s="0" t="str">
        <f aca="false">IF(R61="","",IF(R61&lt;Faixas!$C$3,"vermelho",IF(R61&lt;Faixas!$C$4,"amarelo","verde")))</f>
        <v/>
      </c>
      <c r="T61" s="9" t="str">
        <f aca="false">IF($A61="","",IF(N61="",0,N61*Dimensoes!$C$2)+IF(O61="",0,O61*Dimensoes!$C$3)+IF(P61="",0,P61*Dimensoes!$C$4)+IF(Q61="",0,Q61*Dimensoes!$C$5))</f>
        <v/>
      </c>
      <c r="U61" s="0" t="str">
        <f aca="false">IF($A61="","",IF(OR(E61="concluida",E61="incompleta"),1,0))</f>
        <v/>
      </c>
    </row>
    <row r="62" customFormat="false" ht="15" hidden="false" customHeight="false" outlineLevel="0" collapsed="false">
      <c r="A62" s="0" t="str">
        <f aca="false">IF(Visitas!A62="","",Visitas!A62)</f>
        <v/>
      </c>
      <c r="B62" s="0" t="str">
        <f aca="false">IF($A62="","",Visitas!C62)</f>
        <v/>
      </c>
      <c r="C62" s="7" t="str">
        <f aca="false">IF($A62="","",Visitas!D62)</f>
        <v/>
      </c>
      <c r="D62" s="0" t="str">
        <f aca="false">IF($A62="","",Visitas!B62)</f>
        <v/>
      </c>
      <c r="E62" s="0" t="str">
        <f aca="false">IF($A62="","",Visitas!F62)</f>
        <v/>
      </c>
      <c r="F62" s="0" t="str">
        <f aca="false">IF($A62="","",SUMIFS(Avaliacoes!$G$2:$G$6000,Avaliacoes!$A$2:$A$6000,$A62,Avaliacoes!$F$2:$F$6000,"I",Avaliacoes!$H$2:$H$6000,0))</f>
        <v/>
      </c>
      <c r="G62" s="0" t="str">
        <f aca="false">IF($A62="","",SUMIFS(Avaliacoes!$G$2:$G$6000,Avaliacoes!$A$2:$A$6000,$A62,Avaliacoes!$F$2:$F$6000,"II",Avaliacoes!$H$2:$H$6000,0))</f>
        <v/>
      </c>
      <c r="H62" s="0" t="str">
        <f aca="false">IF($A62="","",SUMIFS(Avaliacoes!$G$2:$G$6000,Avaliacoes!$A$2:$A$6000,$A62,Avaliacoes!$F$2:$F$6000,"III",Avaliacoes!$H$2:$H$6000,0))</f>
        <v/>
      </c>
      <c r="I62" s="0" t="str">
        <f aca="false">IF($A62="","",SUMIFS(Avaliacoes!$G$2:$G$6000,Avaliacoes!$A$2:$A$6000,$A62,Avaliacoes!$F$2:$F$6000,"IV",Avaliacoes!$H$2:$H$6000,0))</f>
        <v/>
      </c>
      <c r="J62" s="0" t="str">
        <f aca="false">IF($A62="","",COUNTIFS(Avaliacoes!$A$2:$A$6000,$A62,Avaliacoes!$F$2:$F$6000,"I",Avaliacoes!$H$2:$H$6000,0,Avaliacoes!$G$2:$G$6000,"&lt;&gt;")*Dimensoes!$E$2)</f>
        <v/>
      </c>
      <c r="K62" s="0" t="str">
        <f aca="false">IF($A62="","",COUNTIFS(Avaliacoes!$A$2:$A$6000,$A62,Avaliacoes!$F$2:$F$6000,"II",Avaliacoes!$H$2:$H$6000,0,Avaliacoes!$G$2:$G$6000,"&lt;&gt;")*Dimensoes!$E$3)</f>
        <v/>
      </c>
      <c r="L62" s="0" t="str">
        <f aca="false">IF($A62="","",COUNTIFS(Avaliacoes!$A$2:$A$6000,$A62,Avaliacoes!$F$2:$F$6000,"III",Avaliacoes!$H$2:$H$6000,0,Avaliacoes!$G$2:$G$6000,"&lt;&gt;")*Dimensoes!$E$4)</f>
        <v/>
      </c>
      <c r="M62" s="0" t="str">
        <f aca="false">IF($A62="","",COUNTIFS(Avaliacoes!$A$2:$A$6000,$A62,Avaliacoes!$F$2:$F$6000,"IV",Avaliacoes!$H$2:$H$6000,0,Avaliacoes!$G$2:$G$6000,"&lt;&gt;")*Dimensoes!$E$5)</f>
        <v/>
      </c>
      <c r="N62" s="9" t="str">
        <f aca="false">IF($A62="","",IF(J62&gt;0,F62/J62,""))</f>
        <v/>
      </c>
      <c r="O62" s="9" t="str">
        <f aca="false">IF($A62="","",IF(K62&gt;0,G62/K62,""))</f>
        <v/>
      </c>
      <c r="P62" s="9" t="str">
        <f aca="false">IF($A62="","",IF(L62&gt;0,H62/L62,""))</f>
        <v/>
      </c>
      <c r="Q62" s="9" t="str">
        <f aca="false">IF($A62="","",IF(M62&gt;0,I62/M62,""))</f>
        <v/>
      </c>
      <c r="R62" s="17" t="str">
        <f aca="false">IF($A62="","",IF((IF(N62="",0,Dimensoes!$C$2)+IF(O62="",0,Dimensoes!$C$3)+IF(P62="",0,Dimensoes!$C$4)+IF(Q62="",0,Dimensoes!$C$5))=0,"",(IF(N62="",0,N62*Dimensoes!$C$2)+IF(O62="",0,O62*Dimensoes!$C$3)+IF(P62="",0,P62*Dimensoes!$C$4)+IF(Q62="",0,Q62*Dimensoes!$C$5))/(IF(N62="",0,Dimensoes!$C$2)+IF(O62="",0,Dimensoes!$C$3)+IF(P62="",0,Dimensoes!$C$4)+IF(Q62="",0,Dimensoes!$C$5))))</f>
        <v/>
      </c>
      <c r="S62" s="0" t="str">
        <f aca="false">IF(R62="","",IF(R62&lt;Faixas!$C$3,"vermelho",IF(R62&lt;Faixas!$C$4,"amarelo","verde")))</f>
        <v/>
      </c>
      <c r="T62" s="9" t="str">
        <f aca="false">IF($A62="","",IF(N62="",0,N62*Dimensoes!$C$2)+IF(O62="",0,O62*Dimensoes!$C$3)+IF(P62="",0,P62*Dimensoes!$C$4)+IF(Q62="",0,Q62*Dimensoes!$C$5))</f>
        <v/>
      </c>
      <c r="U62" s="0" t="str">
        <f aca="false">IF($A62="","",IF(OR(E62="concluida",E62="incompleta"),1,0))</f>
        <v/>
      </c>
    </row>
    <row r="63" customFormat="false" ht="15" hidden="false" customHeight="false" outlineLevel="0" collapsed="false">
      <c r="A63" s="0" t="str">
        <f aca="false">IF(Visitas!A63="","",Visitas!A63)</f>
        <v/>
      </c>
      <c r="B63" s="0" t="str">
        <f aca="false">IF($A63="","",Visitas!C63)</f>
        <v/>
      </c>
      <c r="C63" s="7" t="str">
        <f aca="false">IF($A63="","",Visitas!D63)</f>
        <v/>
      </c>
      <c r="D63" s="0" t="str">
        <f aca="false">IF($A63="","",Visitas!B63)</f>
        <v/>
      </c>
      <c r="E63" s="0" t="str">
        <f aca="false">IF($A63="","",Visitas!F63)</f>
        <v/>
      </c>
      <c r="F63" s="0" t="str">
        <f aca="false">IF($A63="","",SUMIFS(Avaliacoes!$G$2:$G$6000,Avaliacoes!$A$2:$A$6000,$A63,Avaliacoes!$F$2:$F$6000,"I",Avaliacoes!$H$2:$H$6000,0))</f>
        <v/>
      </c>
      <c r="G63" s="0" t="str">
        <f aca="false">IF($A63="","",SUMIFS(Avaliacoes!$G$2:$G$6000,Avaliacoes!$A$2:$A$6000,$A63,Avaliacoes!$F$2:$F$6000,"II",Avaliacoes!$H$2:$H$6000,0))</f>
        <v/>
      </c>
      <c r="H63" s="0" t="str">
        <f aca="false">IF($A63="","",SUMIFS(Avaliacoes!$G$2:$G$6000,Avaliacoes!$A$2:$A$6000,$A63,Avaliacoes!$F$2:$F$6000,"III",Avaliacoes!$H$2:$H$6000,0))</f>
        <v/>
      </c>
      <c r="I63" s="0" t="str">
        <f aca="false">IF($A63="","",SUMIFS(Avaliacoes!$G$2:$G$6000,Avaliacoes!$A$2:$A$6000,$A63,Avaliacoes!$F$2:$F$6000,"IV",Avaliacoes!$H$2:$H$6000,0))</f>
        <v/>
      </c>
      <c r="J63" s="0" t="str">
        <f aca="false">IF($A63="","",COUNTIFS(Avaliacoes!$A$2:$A$6000,$A63,Avaliacoes!$F$2:$F$6000,"I",Avaliacoes!$H$2:$H$6000,0,Avaliacoes!$G$2:$G$6000,"&lt;&gt;")*Dimensoes!$E$2)</f>
        <v/>
      </c>
      <c r="K63" s="0" t="str">
        <f aca="false">IF($A63="","",COUNTIFS(Avaliacoes!$A$2:$A$6000,$A63,Avaliacoes!$F$2:$F$6000,"II",Avaliacoes!$H$2:$H$6000,0,Avaliacoes!$G$2:$G$6000,"&lt;&gt;")*Dimensoes!$E$3)</f>
        <v/>
      </c>
      <c r="L63" s="0" t="str">
        <f aca="false">IF($A63="","",COUNTIFS(Avaliacoes!$A$2:$A$6000,$A63,Avaliacoes!$F$2:$F$6000,"III",Avaliacoes!$H$2:$H$6000,0,Avaliacoes!$G$2:$G$6000,"&lt;&gt;")*Dimensoes!$E$4)</f>
        <v/>
      </c>
      <c r="M63" s="0" t="str">
        <f aca="false">IF($A63="","",COUNTIFS(Avaliacoes!$A$2:$A$6000,$A63,Avaliacoes!$F$2:$F$6000,"IV",Avaliacoes!$H$2:$H$6000,0,Avaliacoes!$G$2:$G$6000,"&lt;&gt;")*Dimensoes!$E$5)</f>
        <v/>
      </c>
      <c r="N63" s="9" t="str">
        <f aca="false">IF($A63="","",IF(J63&gt;0,F63/J63,""))</f>
        <v/>
      </c>
      <c r="O63" s="9" t="str">
        <f aca="false">IF($A63="","",IF(K63&gt;0,G63/K63,""))</f>
        <v/>
      </c>
      <c r="P63" s="9" t="str">
        <f aca="false">IF($A63="","",IF(L63&gt;0,H63/L63,""))</f>
        <v/>
      </c>
      <c r="Q63" s="9" t="str">
        <f aca="false">IF($A63="","",IF(M63&gt;0,I63/M63,""))</f>
        <v/>
      </c>
      <c r="R63" s="17" t="str">
        <f aca="false">IF($A63="","",IF((IF(N63="",0,Dimensoes!$C$2)+IF(O63="",0,Dimensoes!$C$3)+IF(P63="",0,Dimensoes!$C$4)+IF(Q63="",0,Dimensoes!$C$5))=0,"",(IF(N63="",0,N63*Dimensoes!$C$2)+IF(O63="",0,O63*Dimensoes!$C$3)+IF(P63="",0,P63*Dimensoes!$C$4)+IF(Q63="",0,Q63*Dimensoes!$C$5))/(IF(N63="",0,Dimensoes!$C$2)+IF(O63="",0,Dimensoes!$C$3)+IF(P63="",0,Dimensoes!$C$4)+IF(Q63="",0,Dimensoes!$C$5))))</f>
        <v/>
      </c>
      <c r="S63" s="0" t="str">
        <f aca="false">IF(R63="","",IF(R63&lt;Faixas!$C$3,"vermelho",IF(R63&lt;Faixas!$C$4,"amarelo","verde")))</f>
        <v/>
      </c>
      <c r="T63" s="9" t="str">
        <f aca="false">IF($A63="","",IF(N63="",0,N63*Dimensoes!$C$2)+IF(O63="",0,O63*Dimensoes!$C$3)+IF(P63="",0,P63*Dimensoes!$C$4)+IF(Q63="",0,Q63*Dimensoes!$C$5))</f>
        <v/>
      </c>
      <c r="U63" s="0" t="str">
        <f aca="false">IF($A63="","",IF(OR(E63="concluida",E63="incompleta"),1,0))</f>
        <v/>
      </c>
    </row>
    <row r="64" customFormat="false" ht="15" hidden="false" customHeight="false" outlineLevel="0" collapsed="false">
      <c r="A64" s="0" t="str">
        <f aca="false">IF(Visitas!A64="","",Visitas!A64)</f>
        <v/>
      </c>
      <c r="B64" s="0" t="str">
        <f aca="false">IF($A64="","",Visitas!C64)</f>
        <v/>
      </c>
      <c r="C64" s="7" t="str">
        <f aca="false">IF($A64="","",Visitas!D64)</f>
        <v/>
      </c>
      <c r="D64" s="0" t="str">
        <f aca="false">IF($A64="","",Visitas!B64)</f>
        <v/>
      </c>
      <c r="E64" s="0" t="str">
        <f aca="false">IF($A64="","",Visitas!F64)</f>
        <v/>
      </c>
      <c r="F64" s="0" t="str">
        <f aca="false">IF($A64="","",SUMIFS(Avaliacoes!$G$2:$G$6000,Avaliacoes!$A$2:$A$6000,$A64,Avaliacoes!$F$2:$F$6000,"I",Avaliacoes!$H$2:$H$6000,0))</f>
        <v/>
      </c>
      <c r="G64" s="0" t="str">
        <f aca="false">IF($A64="","",SUMIFS(Avaliacoes!$G$2:$G$6000,Avaliacoes!$A$2:$A$6000,$A64,Avaliacoes!$F$2:$F$6000,"II",Avaliacoes!$H$2:$H$6000,0))</f>
        <v/>
      </c>
      <c r="H64" s="0" t="str">
        <f aca="false">IF($A64="","",SUMIFS(Avaliacoes!$G$2:$G$6000,Avaliacoes!$A$2:$A$6000,$A64,Avaliacoes!$F$2:$F$6000,"III",Avaliacoes!$H$2:$H$6000,0))</f>
        <v/>
      </c>
      <c r="I64" s="0" t="str">
        <f aca="false">IF($A64="","",SUMIFS(Avaliacoes!$G$2:$G$6000,Avaliacoes!$A$2:$A$6000,$A64,Avaliacoes!$F$2:$F$6000,"IV",Avaliacoes!$H$2:$H$6000,0))</f>
        <v/>
      </c>
      <c r="J64" s="0" t="str">
        <f aca="false">IF($A64="","",COUNTIFS(Avaliacoes!$A$2:$A$6000,$A64,Avaliacoes!$F$2:$F$6000,"I",Avaliacoes!$H$2:$H$6000,0,Avaliacoes!$G$2:$G$6000,"&lt;&gt;")*Dimensoes!$E$2)</f>
        <v/>
      </c>
      <c r="K64" s="0" t="str">
        <f aca="false">IF($A64="","",COUNTIFS(Avaliacoes!$A$2:$A$6000,$A64,Avaliacoes!$F$2:$F$6000,"II",Avaliacoes!$H$2:$H$6000,0,Avaliacoes!$G$2:$G$6000,"&lt;&gt;")*Dimensoes!$E$3)</f>
        <v/>
      </c>
      <c r="L64" s="0" t="str">
        <f aca="false">IF($A64="","",COUNTIFS(Avaliacoes!$A$2:$A$6000,$A64,Avaliacoes!$F$2:$F$6000,"III",Avaliacoes!$H$2:$H$6000,0,Avaliacoes!$G$2:$G$6000,"&lt;&gt;")*Dimensoes!$E$4)</f>
        <v/>
      </c>
      <c r="M64" s="0" t="str">
        <f aca="false">IF($A64="","",COUNTIFS(Avaliacoes!$A$2:$A$6000,$A64,Avaliacoes!$F$2:$F$6000,"IV",Avaliacoes!$H$2:$H$6000,0,Avaliacoes!$G$2:$G$6000,"&lt;&gt;")*Dimensoes!$E$5)</f>
        <v/>
      </c>
      <c r="N64" s="9" t="str">
        <f aca="false">IF($A64="","",IF(J64&gt;0,F64/J64,""))</f>
        <v/>
      </c>
      <c r="O64" s="9" t="str">
        <f aca="false">IF($A64="","",IF(K64&gt;0,G64/K64,""))</f>
        <v/>
      </c>
      <c r="P64" s="9" t="str">
        <f aca="false">IF($A64="","",IF(L64&gt;0,H64/L64,""))</f>
        <v/>
      </c>
      <c r="Q64" s="9" t="str">
        <f aca="false">IF($A64="","",IF(M64&gt;0,I64/M64,""))</f>
        <v/>
      </c>
      <c r="R64" s="17" t="str">
        <f aca="false">IF($A64="","",IF((IF(N64="",0,Dimensoes!$C$2)+IF(O64="",0,Dimensoes!$C$3)+IF(P64="",0,Dimensoes!$C$4)+IF(Q64="",0,Dimensoes!$C$5))=0,"",(IF(N64="",0,N64*Dimensoes!$C$2)+IF(O64="",0,O64*Dimensoes!$C$3)+IF(P64="",0,P64*Dimensoes!$C$4)+IF(Q64="",0,Q64*Dimensoes!$C$5))/(IF(N64="",0,Dimensoes!$C$2)+IF(O64="",0,Dimensoes!$C$3)+IF(P64="",0,Dimensoes!$C$4)+IF(Q64="",0,Dimensoes!$C$5))))</f>
        <v/>
      </c>
      <c r="S64" s="0" t="str">
        <f aca="false">IF(R64="","",IF(R64&lt;Faixas!$C$3,"vermelho",IF(R64&lt;Faixas!$C$4,"amarelo","verde")))</f>
        <v/>
      </c>
      <c r="T64" s="9" t="str">
        <f aca="false">IF($A64="","",IF(N64="",0,N64*Dimensoes!$C$2)+IF(O64="",0,O64*Dimensoes!$C$3)+IF(P64="",0,P64*Dimensoes!$C$4)+IF(Q64="",0,Q64*Dimensoes!$C$5))</f>
        <v/>
      </c>
      <c r="U64" s="0" t="str">
        <f aca="false">IF($A64="","",IF(OR(E64="concluida",E64="incompleta"),1,0))</f>
        <v/>
      </c>
    </row>
    <row r="65" customFormat="false" ht="15" hidden="false" customHeight="false" outlineLevel="0" collapsed="false">
      <c r="A65" s="0" t="str">
        <f aca="false">IF(Visitas!A65="","",Visitas!A65)</f>
        <v/>
      </c>
      <c r="B65" s="0" t="str">
        <f aca="false">IF($A65="","",Visitas!C65)</f>
        <v/>
      </c>
      <c r="C65" s="7" t="str">
        <f aca="false">IF($A65="","",Visitas!D65)</f>
        <v/>
      </c>
      <c r="D65" s="0" t="str">
        <f aca="false">IF($A65="","",Visitas!B65)</f>
        <v/>
      </c>
      <c r="E65" s="0" t="str">
        <f aca="false">IF($A65="","",Visitas!F65)</f>
        <v/>
      </c>
      <c r="F65" s="0" t="str">
        <f aca="false">IF($A65="","",SUMIFS(Avaliacoes!$G$2:$G$6000,Avaliacoes!$A$2:$A$6000,$A65,Avaliacoes!$F$2:$F$6000,"I",Avaliacoes!$H$2:$H$6000,0))</f>
        <v/>
      </c>
      <c r="G65" s="0" t="str">
        <f aca="false">IF($A65="","",SUMIFS(Avaliacoes!$G$2:$G$6000,Avaliacoes!$A$2:$A$6000,$A65,Avaliacoes!$F$2:$F$6000,"II",Avaliacoes!$H$2:$H$6000,0))</f>
        <v/>
      </c>
      <c r="H65" s="0" t="str">
        <f aca="false">IF($A65="","",SUMIFS(Avaliacoes!$G$2:$G$6000,Avaliacoes!$A$2:$A$6000,$A65,Avaliacoes!$F$2:$F$6000,"III",Avaliacoes!$H$2:$H$6000,0))</f>
        <v/>
      </c>
      <c r="I65" s="0" t="str">
        <f aca="false">IF($A65="","",SUMIFS(Avaliacoes!$G$2:$G$6000,Avaliacoes!$A$2:$A$6000,$A65,Avaliacoes!$F$2:$F$6000,"IV",Avaliacoes!$H$2:$H$6000,0))</f>
        <v/>
      </c>
      <c r="J65" s="0" t="str">
        <f aca="false">IF($A65="","",COUNTIFS(Avaliacoes!$A$2:$A$6000,$A65,Avaliacoes!$F$2:$F$6000,"I",Avaliacoes!$H$2:$H$6000,0,Avaliacoes!$G$2:$G$6000,"&lt;&gt;")*Dimensoes!$E$2)</f>
        <v/>
      </c>
      <c r="K65" s="0" t="str">
        <f aca="false">IF($A65="","",COUNTIFS(Avaliacoes!$A$2:$A$6000,$A65,Avaliacoes!$F$2:$F$6000,"II",Avaliacoes!$H$2:$H$6000,0,Avaliacoes!$G$2:$G$6000,"&lt;&gt;")*Dimensoes!$E$3)</f>
        <v/>
      </c>
      <c r="L65" s="0" t="str">
        <f aca="false">IF($A65="","",COUNTIFS(Avaliacoes!$A$2:$A$6000,$A65,Avaliacoes!$F$2:$F$6000,"III",Avaliacoes!$H$2:$H$6000,0,Avaliacoes!$G$2:$G$6000,"&lt;&gt;")*Dimensoes!$E$4)</f>
        <v/>
      </c>
      <c r="M65" s="0" t="str">
        <f aca="false">IF($A65="","",COUNTIFS(Avaliacoes!$A$2:$A$6000,$A65,Avaliacoes!$F$2:$F$6000,"IV",Avaliacoes!$H$2:$H$6000,0,Avaliacoes!$G$2:$G$6000,"&lt;&gt;")*Dimensoes!$E$5)</f>
        <v/>
      </c>
      <c r="N65" s="9" t="str">
        <f aca="false">IF($A65="","",IF(J65&gt;0,F65/J65,""))</f>
        <v/>
      </c>
      <c r="O65" s="9" t="str">
        <f aca="false">IF($A65="","",IF(K65&gt;0,G65/K65,""))</f>
        <v/>
      </c>
      <c r="P65" s="9" t="str">
        <f aca="false">IF($A65="","",IF(L65&gt;0,H65/L65,""))</f>
        <v/>
      </c>
      <c r="Q65" s="9" t="str">
        <f aca="false">IF($A65="","",IF(M65&gt;0,I65/M65,""))</f>
        <v/>
      </c>
      <c r="R65" s="17" t="str">
        <f aca="false">IF($A65="","",IF((IF(N65="",0,Dimensoes!$C$2)+IF(O65="",0,Dimensoes!$C$3)+IF(P65="",0,Dimensoes!$C$4)+IF(Q65="",0,Dimensoes!$C$5))=0,"",(IF(N65="",0,N65*Dimensoes!$C$2)+IF(O65="",0,O65*Dimensoes!$C$3)+IF(P65="",0,P65*Dimensoes!$C$4)+IF(Q65="",0,Q65*Dimensoes!$C$5))/(IF(N65="",0,Dimensoes!$C$2)+IF(O65="",0,Dimensoes!$C$3)+IF(P65="",0,Dimensoes!$C$4)+IF(Q65="",0,Dimensoes!$C$5))))</f>
        <v/>
      </c>
      <c r="S65" s="0" t="str">
        <f aca="false">IF(R65="","",IF(R65&lt;Faixas!$C$3,"vermelho",IF(R65&lt;Faixas!$C$4,"amarelo","verde")))</f>
        <v/>
      </c>
      <c r="T65" s="9" t="str">
        <f aca="false">IF($A65="","",IF(N65="",0,N65*Dimensoes!$C$2)+IF(O65="",0,O65*Dimensoes!$C$3)+IF(P65="",0,P65*Dimensoes!$C$4)+IF(Q65="",0,Q65*Dimensoes!$C$5))</f>
        <v/>
      </c>
      <c r="U65" s="0" t="str">
        <f aca="false">IF($A65="","",IF(OR(E65="concluida",E65="incompleta"),1,0))</f>
        <v/>
      </c>
    </row>
    <row r="66" customFormat="false" ht="15" hidden="false" customHeight="false" outlineLevel="0" collapsed="false">
      <c r="A66" s="0" t="str">
        <f aca="false">IF(Visitas!A66="","",Visitas!A66)</f>
        <v/>
      </c>
      <c r="B66" s="0" t="str">
        <f aca="false">IF($A66="","",Visitas!C66)</f>
        <v/>
      </c>
      <c r="C66" s="7" t="str">
        <f aca="false">IF($A66="","",Visitas!D66)</f>
        <v/>
      </c>
      <c r="D66" s="0" t="str">
        <f aca="false">IF($A66="","",Visitas!B66)</f>
        <v/>
      </c>
      <c r="E66" s="0" t="str">
        <f aca="false">IF($A66="","",Visitas!F66)</f>
        <v/>
      </c>
      <c r="F66" s="0" t="str">
        <f aca="false">IF($A66="","",SUMIFS(Avaliacoes!$G$2:$G$6000,Avaliacoes!$A$2:$A$6000,$A66,Avaliacoes!$F$2:$F$6000,"I",Avaliacoes!$H$2:$H$6000,0))</f>
        <v/>
      </c>
      <c r="G66" s="0" t="str">
        <f aca="false">IF($A66="","",SUMIFS(Avaliacoes!$G$2:$G$6000,Avaliacoes!$A$2:$A$6000,$A66,Avaliacoes!$F$2:$F$6000,"II",Avaliacoes!$H$2:$H$6000,0))</f>
        <v/>
      </c>
      <c r="H66" s="0" t="str">
        <f aca="false">IF($A66="","",SUMIFS(Avaliacoes!$G$2:$G$6000,Avaliacoes!$A$2:$A$6000,$A66,Avaliacoes!$F$2:$F$6000,"III",Avaliacoes!$H$2:$H$6000,0))</f>
        <v/>
      </c>
      <c r="I66" s="0" t="str">
        <f aca="false">IF($A66="","",SUMIFS(Avaliacoes!$G$2:$G$6000,Avaliacoes!$A$2:$A$6000,$A66,Avaliacoes!$F$2:$F$6000,"IV",Avaliacoes!$H$2:$H$6000,0))</f>
        <v/>
      </c>
      <c r="J66" s="0" t="str">
        <f aca="false">IF($A66="","",COUNTIFS(Avaliacoes!$A$2:$A$6000,$A66,Avaliacoes!$F$2:$F$6000,"I",Avaliacoes!$H$2:$H$6000,0,Avaliacoes!$G$2:$G$6000,"&lt;&gt;")*Dimensoes!$E$2)</f>
        <v/>
      </c>
      <c r="K66" s="0" t="str">
        <f aca="false">IF($A66="","",COUNTIFS(Avaliacoes!$A$2:$A$6000,$A66,Avaliacoes!$F$2:$F$6000,"II",Avaliacoes!$H$2:$H$6000,0,Avaliacoes!$G$2:$G$6000,"&lt;&gt;")*Dimensoes!$E$3)</f>
        <v/>
      </c>
      <c r="L66" s="0" t="str">
        <f aca="false">IF($A66="","",COUNTIFS(Avaliacoes!$A$2:$A$6000,$A66,Avaliacoes!$F$2:$F$6000,"III",Avaliacoes!$H$2:$H$6000,0,Avaliacoes!$G$2:$G$6000,"&lt;&gt;")*Dimensoes!$E$4)</f>
        <v/>
      </c>
      <c r="M66" s="0" t="str">
        <f aca="false">IF($A66="","",COUNTIFS(Avaliacoes!$A$2:$A$6000,$A66,Avaliacoes!$F$2:$F$6000,"IV",Avaliacoes!$H$2:$H$6000,0,Avaliacoes!$G$2:$G$6000,"&lt;&gt;")*Dimensoes!$E$5)</f>
        <v/>
      </c>
      <c r="N66" s="9" t="str">
        <f aca="false">IF($A66="","",IF(J66&gt;0,F66/J66,""))</f>
        <v/>
      </c>
      <c r="O66" s="9" t="str">
        <f aca="false">IF($A66="","",IF(K66&gt;0,G66/K66,""))</f>
        <v/>
      </c>
      <c r="P66" s="9" t="str">
        <f aca="false">IF($A66="","",IF(L66&gt;0,H66/L66,""))</f>
        <v/>
      </c>
      <c r="Q66" s="9" t="str">
        <f aca="false">IF($A66="","",IF(M66&gt;0,I66/M66,""))</f>
        <v/>
      </c>
      <c r="R66" s="17" t="str">
        <f aca="false">IF($A66="","",IF((IF(N66="",0,Dimensoes!$C$2)+IF(O66="",0,Dimensoes!$C$3)+IF(P66="",0,Dimensoes!$C$4)+IF(Q66="",0,Dimensoes!$C$5))=0,"",(IF(N66="",0,N66*Dimensoes!$C$2)+IF(O66="",0,O66*Dimensoes!$C$3)+IF(P66="",0,P66*Dimensoes!$C$4)+IF(Q66="",0,Q66*Dimensoes!$C$5))/(IF(N66="",0,Dimensoes!$C$2)+IF(O66="",0,Dimensoes!$C$3)+IF(P66="",0,Dimensoes!$C$4)+IF(Q66="",0,Dimensoes!$C$5))))</f>
        <v/>
      </c>
      <c r="S66" s="0" t="str">
        <f aca="false">IF(R66="","",IF(R66&lt;Faixas!$C$3,"vermelho",IF(R66&lt;Faixas!$C$4,"amarelo","verde")))</f>
        <v/>
      </c>
      <c r="T66" s="9" t="str">
        <f aca="false">IF($A66="","",IF(N66="",0,N66*Dimensoes!$C$2)+IF(O66="",0,O66*Dimensoes!$C$3)+IF(P66="",0,P66*Dimensoes!$C$4)+IF(Q66="",0,Q66*Dimensoes!$C$5))</f>
        <v/>
      </c>
      <c r="U66" s="0" t="str">
        <f aca="false">IF($A66="","",IF(OR(E66="concluida",E66="incompleta"),1,0))</f>
        <v/>
      </c>
    </row>
    <row r="67" customFormat="false" ht="15" hidden="false" customHeight="false" outlineLevel="0" collapsed="false">
      <c r="A67" s="0" t="str">
        <f aca="false">IF(Visitas!A67="","",Visitas!A67)</f>
        <v/>
      </c>
      <c r="B67" s="0" t="str">
        <f aca="false">IF($A67="","",Visitas!C67)</f>
        <v/>
      </c>
      <c r="C67" s="7" t="str">
        <f aca="false">IF($A67="","",Visitas!D67)</f>
        <v/>
      </c>
      <c r="D67" s="0" t="str">
        <f aca="false">IF($A67="","",Visitas!B67)</f>
        <v/>
      </c>
      <c r="E67" s="0" t="str">
        <f aca="false">IF($A67="","",Visitas!F67)</f>
        <v/>
      </c>
      <c r="F67" s="0" t="str">
        <f aca="false">IF($A67="","",SUMIFS(Avaliacoes!$G$2:$G$6000,Avaliacoes!$A$2:$A$6000,$A67,Avaliacoes!$F$2:$F$6000,"I",Avaliacoes!$H$2:$H$6000,0))</f>
        <v/>
      </c>
      <c r="G67" s="0" t="str">
        <f aca="false">IF($A67="","",SUMIFS(Avaliacoes!$G$2:$G$6000,Avaliacoes!$A$2:$A$6000,$A67,Avaliacoes!$F$2:$F$6000,"II",Avaliacoes!$H$2:$H$6000,0))</f>
        <v/>
      </c>
      <c r="H67" s="0" t="str">
        <f aca="false">IF($A67="","",SUMIFS(Avaliacoes!$G$2:$G$6000,Avaliacoes!$A$2:$A$6000,$A67,Avaliacoes!$F$2:$F$6000,"III",Avaliacoes!$H$2:$H$6000,0))</f>
        <v/>
      </c>
      <c r="I67" s="0" t="str">
        <f aca="false">IF($A67="","",SUMIFS(Avaliacoes!$G$2:$G$6000,Avaliacoes!$A$2:$A$6000,$A67,Avaliacoes!$F$2:$F$6000,"IV",Avaliacoes!$H$2:$H$6000,0))</f>
        <v/>
      </c>
      <c r="J67" s="0" t="str">
        <f aca="false">IF($A67="","",COUNTIFS(Avaliacoes!$A$2:$A$6000,$A67,Avaliacoes!$F$2:$F$6000,"I",Avaliacoes!$H$2:$H$6000,0,Avaliacoes!$G$2:$G$6000,"&lt;&gt;")*Dimensoes!$E$2)</f>
        <v/>
      </c>
      <c r="K67" s="0" t="str">
        <f aca="false">IF($A67="","",COUNTIFS(Avaliacoes!$A$2:$A$6000,$A67,Avaliacoes!$F$2:$F$6000,"II",Avaliacoes!$H$2:$H$6000,0,Avaliacoes!$G$2:$G$6000,"&lt;&gt;")*Dimensoes!$E$3)</f>
        <v/>
      </c>
      <c r="L67" s="0" t="str">
        <f aca="false">IF($A67="","",COUNTIFS(Avaliacoes!$A$2:$A$6000,$A67,Avaliacoes!$F$2:$F$6000,"III",Avaliacoes!$H$2:$H$6000,0,Avaliacoes!$G$2:$G$6000,"&lt;&gt;")*Dimensoes!$E$4)</f>
        <v/>
      </c>
      <c r="M67" s="0" t="str">
        <f aca="false">IF($A67="","",COUNTIFS(Avaliacoes!$A$2:$A$6000,$A67,Avaliacoes!$F$2:$F$6000,"IV",Avaliacoes!$H$2:$H$6000,0,Avaliacoes!$G$2:$G$6000,"&lt;&gt;")*Dimensoes!$E$5)</f>
        <v/>
      </c>
      <c r="N67" s="9" t="str">
        <f aca="false">IF($A67="","",IF(J67&gt;0,F67/J67,""))</f>
        <v/>
      </c>
      <c r="O67" s="9" t="str">
        <f aca="false">IF($A67="","",IF(K67&gt;0,G67/K67,""))</f>
        <v/>
      </c>
      <c r="P67" s="9" t="str">
        <f aca="false">IF($A67="","",IF(L67&gt;0,H67/L67,""))</f>
        <v/>
      </c>
      <c r="Q67" s="9" t="str">
        <f aca="false">IF($A67="","",IF(M67&gt;0,I67/M67,""))</f>
        <v/>
      </c>
      <c r="R67" s="17" t="str">
        <f aca="false">IF($A67="","",IF((IF(N67="",0,Dimensoes!$C$2)+IF(O67="",0,Dimensoes!$C$3)+IF(P67="",0,Dimensoes!$C$4)+IF(Q67="",0,Dimensoes!$C$5))=0,"",(IF(N67="",0,N67*Dimensoes!$C$2)+IF(O67="",0,O67*Dimensoes!$C$3)+IF(P67="",0,P67*Dimensoes!$C$4)+IF(Q67="",0,Q67*Dimensoes!$C$5))/(IF(N67="",0,Dimensoes!$C$2)+IF(O67="",0,Dimensoes!$C$3)+IF(P67="",0,Dimensoes!$C$4)+IF(Q67="",0,Dimensoes!$C$5))))</f>
        <v/>
      </c>
      <c r="S67" s="0" t="str">
        <f aca="false">IF(R67="","",IF(R67&lt;Faixas!$C$3,"vermelho",IF(R67&lt;Faixas!$C$4,"amarelo","verde")))</f>
        <v/>
      </c>
      <c r="T67" s="9" t="str">
        <f aca="false">IF($A67="","",IF(N67="",0,N67*Dimensoes!$C$2)+IF(O67="",0,O67*Dimensoes!$C$3)+IF(P67="",0,P67*Dimensoes!$C$4)+IF(Q67="",0,Q67*Dimensoes!$C$5))</f>
        <v/>
      </c>
      <c r="U67" s="0" t="str">
        <f aca="false">IF($A67="","",IF(OR(E67="concluida",E67="incompleta"),1,0))</f>
        <v/>
      </c>
    </row>
    <row r="68" customFormat="false" ht="15" hidden="false" customHeight="false" outlineLevel="0" collapsed="false">
      <c r="A68" s="0" t="str">
        <f aca="false">IF(Visitas!A68="","",Visitas!A68)</f>
        <v/>
      </c>
      <c r="B68" s="0" t="str">
        <f aca="false">IF($A68="","",Visitas!C68)</f>
        <v/>
      </c>
      <c r="C68" s="7" t="str">
        <f aca="false">IF($A68="","",Visitas!D68)</f>
        <v/>
      </c>
      <c r="D68" s="0" t="str">
        <f aca="false">IF($A68="","",Visitas!B68)</f>
        <v/>
      </c>
      <c r="E68" s="0" t="str">
        <f aca="false">IF($A68="","",Visitas!F68)</f>
        <v/>
      </c>
      <c r="F68" s="0" t="str">
        <f aca="false">IF($A68="","",SUMIFS(Avaliacoes!$G$2:$G$6000,Avaliacoes!$A$2:$A$6000,$A68,Avaliacoes!$F$2:$F$6000,"I",Avaliacoes!$H$2:$H$6000,0))</f>
        <v/>
      </c>
      <c r="G68" s="0" t="str">
        <f aca="false">IF($A68="","",SUMIFS(Avaliacoes!$G$2:$G$6000,Avaliacoes!$A$2:$A$6000,$A68,Avaliacoes!$F$2:$F$6000,"II",Avaliacoes!$H$2:$H$6000,0))</f>
        <v/>
      </c>
      <c r="H68" s="0" t="str">
        <f aca="false">IF($A68="","",SUMIFS(Avaliacoes!$G$2:$G$6000,Avaliacoes!$A$2:$A$6000,$A68,Avaliacoes!$F$2:$F$6000,"III",Avaliacoes!$H$2:$H$6000,0))</f>
        <v/>
      </c>
      <c r="I68" s="0" t="str">
        <f aca="false">IF($A68="","",SUMIFS(Avaliacoes!$G$2:$G$6000,Avaliacoes!$A$2:$A$6000,$A68,Avaliacoes!$F$2:$F$6000,"IV",Avaliacoes!$H$2:$H$6000,0))</f>
        <v/>
      </c>
      <c r="J68" s="0" t="str">
        <f aca="false">IF($A68="","",COUNTIFS(Avaliacoes!$A$2:$A$6000,$A68,Avaliacoes!$F$2:$F$6000,"I",Avaliacoes!$H$2:$H$6000,0,Avaliacoes!$G$2:$G$6000,"&lt;&gt;")*Dimensoes!$E$2)</f>
        <v/>
      </c>
      <c r="K68" s="0" t="str">
        <f aca="false">IF($A68="","",COUNTIFS(Avaliacoes!$A$2:$A$6000,$A68,Avaliacoes!$F$2:$F$6000,"II",Avaliacoes!$H$2:$H$6000,0,Avaliacoes!$G$2:$G$6000,"&lt;&gt;")*Dimensoes!$E$3)</f>
        <v/>
      </c>
      <c r="L68" s="0" t="str">
        <f aca="false">IF($A68="","",COUNTIFS(Avaliacoes!$A$2:$A$6000,$A68,Avaliacoes!$F$2:$F$6000,"III",Avaliacoes!$H$2:$H$6000,0,Avaliacoes!$G$2:$G$6000,"&lt;&gt;")*Dimensoes!$E$4)</f>
        <v/>
      </c>
      <c r="M68" s="0" t="str">
        <f aca="false">IF($A68="","",COUNTIFS(Avaliacoes!$A$2:$A$6000,$A68,Avaliacoes!$F$2:$F$6000,"IV",Avaliacoes!$H$2:$H$6000,0,Avaliacoes!$G$2:$G$6000,"&lt;&gt;")*Dimensoes!$E$5)</f>
        <v/>
      </c>
      <c r="N68" s="9" t="str">
        <f aca="false">IF($A68="","",IF(J68&gt;0,F68/J68,""))</f>
        <v/>
      </c>
      <c r="O68" s="9" t="str">
        <f aca="false">IF($A68="","",IF(K68&gt;0,G68/K68,""))</f>
        <v/>
      </c>
      <c r="P68" s="9" t="str">
        <f aca="false">IF($A68="","",IF(L68&gt;0,H68/L68,""))</f>
        <v/>
      </c>
      <c r="Q68" s="9" t="str">
        <f aca="false">IF($A68="","",IF(M68&gt;0,I68/M68,""))</f>
        <v/>
      </c>
      <c r="R68" s="17" t="str">
        <f aca="false">IF($A68="","",IF((IF(N68="",0,Dimensoes!$C$2)+IF(O68="",0,Dimensoes!$C$3)+IF(P68="",0,Dimensoes!$C$4)+IF(Q68="",0,Dimensoes!$C$5))=0,"",(IF(N68="",0,N68*Dimensoes!$C$2)+IF(O68="",0,O68*Dimensoes!$C$3)+IF(P68="",0,P68*Dimensoes!$C$4)+IF(Q68="",0,Q68*Dimensoes!$C$5))/(IF(N68="",0,Dimensoes!$C$2)+IF(O68="",0,Dimensoes!$C$3)+IF(P68="",0,Dimensoes!$C$4)+IF(Q68="",0,Dimensoes!$C$5))))</f>
        <v/>
      </c>
      <c r="S68" s="0" t="str">
        <f aca="false">IF(R68="","",IF(R68&lt;Faixas!$C$3,"vermelho",IF(R68&lt;Faixas!$C$4,"amarelo","verde")))</f>
        <v/>
      </c>
      <c r="T68" s="9" t="str">
        <f aca="false">IF($A68="","",IF(N68="",0,N68*Dimensoes!$C$2)+IF(O68="",0,O68*Dimensoes!$C$3)+IF(P68="",0,P68*Dimensoes!$C$4)+IF(Q68="",0,Q68*Dimensoes!$C$5))</f>
        <v/>
      </c>
      <c r="U68" s="0" t="str">
        <f aca="false">IF($A68="","",IF(OR(E68="concluida",E68="incompleta"),1,0))</f>
        <v/>
      </c>
    </row>
    <row r="69" customFormat="false" ht="15" hidden="false" customHeight="false" outlineLevel="0" collapsed="false">
      <c r="A69" s="0" t="str">
        <f aca="false">IF(Visitas!A69="","",Visitas!A69)</f>
        <v/>
      </c>
      <c r="B69" s="0" t="str">
        <f aca="false">IF($A69="","",Visitas!C69)</f>
        <v/>
      </c>
      <c r="C69" s="7" t="str">
        <f aca="false">IF($A69="","",Visitas!D69)</f>
        <v/>
      </c>
      <c r="D69" s="0" t="str">
        <f aca="false">IF($A69="","",Visitas!B69)</f>
        <v/>
      </c>
      <c r="E69" s="0" t="str">
        <f aca="false">IF($A69="","",Visitas!F69)</f>
        <v/>
      </c>
      <c r="F69" s="0" t="str">
        <f aca="false">IF($A69="","",SUMIFS(Avaliacoes!$G$2:$G$6000,Avaliacoes!$A$2:$A$6000,$A69,Avaliacoes!$F$2:$F$6000,"I",Avaliacoes!$H$2:$H$6000,0))</f>
        <v/>
      </c>
      <c r="G69" s="0" t="str">
        <f aca="false">IF($A69="","",SUMIFS(Avaliacoes!$G$2:$G$6000,Avaliacoes!$A$2:$A$6000,$A69,Avaliacoes!$F$2:$F$6000,"II",Avaliacoes!$H$2:$H$6000,0))</f>
        <v/>
      </c>
      <c r="H69" s="0" t="str">
        <f aca="false">IF($A69="","",SUMIFS(Avaliacoes!$G$2:$G$6000,Avaliacoes!$A$2:$A$6000,$A69,Avaliacoes!$F$2:$F$6000,"III",Avaliacoes!$H$2:$H$6000,0))</f>
        <v/>
      </c>
      <c r="I69" s="0" t="str">
        <f aca="false">IF($A69="","",SUMIFS(Avaliacoes!$G$2:$G$6000,Avaliacoes!$A$2:$A$6000,$A69,Avaliacoes!$F$2:$F$6000,"IV",Avaliacoes!$H$2:$H$6000,0))</f>
        <v/>
      </c>
      <c r="J69" s="0" t="str">
        <f aca="false">IF($A69="","",COUNTIFS(Avaliacoes!$A$2:$A$6000,$A69,Avaliacoes!$F$2:$F$6000,"I",Avaliacoes!$H$2:$H$6000,0,Avaliacoes!$G$2:$G$6000,"&lt;&gt;")*Dimensoes!$E$2)</f>
        <v/>
      </c>
      <c r="K69" s="0" t="str">
        <f aca="false">IF($A69="","",COUNTIFS(Avaliacoes!$A$2:$A$6000,$A69,Avaliacoes!$F$2:$F$6000,"II",Avaliacoes!$H$2:$H$6000,0,Avaliacoes!$G$2:$G$6000,"&lt;&gt;")*Dimensoes!$E$3)</f>
        <v/>
      </c>
      <c r="L69" s="0" t="str">
        <f aca="false">IF($A69="","",COUNTIFS(Avaliacoes!$A$2:$A$6000,$A69,Avaliacoes!$F$2:$F$6000,"III",Avaliacoes!$H$2:$H$6000,0,Avaliacoes!$G$2:$G$6000,"&lt;&gt;")*Dimensoes!$E$4)</f>
        <v/>
      </c>
      <c r="M69" s="0" t="str">
        <f aca="false">IF($A69="","",COUNTIFS(Avaliacoes!$A$2:$A$6000,$A69,Avaliacoes!$F$2:$F$6000,"IV",Avaliacoes!$H$2:$H$6000,0,Avaliacoes!$G$2:$G$6000,"&lt;&gt;")*Dimensoes!$E$5)</f>
        <v/>
      </c>
      <c r="N69" s="9" t="str">
        <f aca="false">IF($A69="","",IF(J69&gt;0,F69/J69,""))</f>
        <v/>
      </c>
      <c r="O69" s="9" t="str">
        <f aca="false">IF($A69="","",IF(K69&gt;0,G69/K69,""))</f>
        <v/>
      </c>
      <c r="P69" s="9" t="str">
        <f aca="false">IF($A69="","",IF(L69&gt;0,H69/L69,""))</f>
        <v/>
      </c>
      <c r="Q69" s="9" t="str">
        <f aca="false">IF($A69="","",IF(M69&gt;0,I69/M69,""))</f>
        <v/>
      </c>
      <c r="R69" s="17" t="str">
        <f aca="false">IF($A69="","",IF((IF(N69="",0,Dimensoes!$C$2)+IF(O69="",0,Dimensoes!$C$3)+IF(P69="",0,Dimensoes!$C$4)+IF(Q69="",0,Dimensoes!$C$5))=0,"",(IF(N69="",0,N69*Dimensoes!$C$2)+IF(O69="",0,O69*Dimensoes!$C$3)+IF(P69="",0,P69*Dimensoes!$C$4)+IF(Q69="",0,Q69*Dimensoes!$C$5))/(IF(N69="",0,Dimensoes!$C$2)+IF(O69="",0,Dimensoes!$C$3)+IF(P69="",0,Dimensoes!$C$4)+IF(Q69="",0,Dimensoes!$C$5))))</f>
        <v/>
      </c>
      <c r="S69" s="0" t="str">
        <f aca="false">IF(R69="","",IF(R69&lt;Faixas!$C$3,"vermelho",IF(R69&lt;Faixas!$C$4,"amarelo","verde")))</f>
        <v/>
      </c>
      <c r="T69" s="9" t="str">
        <f aca="false">IF($A69="","",IF(N69="",0,N69*Dimensoes!$C$2)+IF(O69="",0,O69*Dimensoes!$C$3)+IF(P69="",0,P69*Dimensoes!$C$4)+IF(Q69="",0,Q69*Dimensoes!$C$5))</f>
        <v/>
      </c>
      <c r="U69" s="0" t="str">
        <f aca="false">IF($A69="","",IF(OR(E69="concluida",E69="incompleta"),1,0))</f>
        <v/>
      </c>
    </row>
    <row r="70" customFormat="false" ht="15" hidden="false" customHeight="false" outlineLevel="0" collapsed="false">
      <c r="A70" s="0" t="str">
        <f aca="false">IF(Visitas!A70="","",Visitas!A70)</f>
        <v/>
      </c>
      <c r="B70" s="0" t="str">
        <f aca="false">IF($A70="","",Visitas!C70)</f>
        <v/>
      </c>
      <c r="C70" s="7" t="str">
        <f aca="false">IF($A70="","",Visitas!D70)</f>
        <v/>
      </c>
      <c r="D70" s="0" t="str">
        <f aca="false">IF($A70="","",Visitas!B70)</f>
        <v/>
      </c>
      <c r="E70" s="0" t="str">
        <f aca="false">IF($A70="","",Visitas!F70)</f>
        <v/>
      </c>
      <c r="F70" s="0" t="str">
        <f aca="false">IF($A70="","",SUMIFS(Avaliacoes!$G$2:$G$6000,Avaliacoes!$A$2:$A$6000,$A70,Avaliacoes!$F$2:$F$6000,"I",Avaliacoes!$H$2:$H$6000,0))</f>
        <v/>
      </c>
      <c r="G70" s="0" t="str">
        <f aca="false">IF($A70="","",SUMIFS(Avaliacoes!$G$2:$G$6000,Avaliacoes!$A$2:$A$6000,$A70,Avaliacoes!$F$2:$F$6000,"II",Avaliacoes!$H$2:$H$6000,0))</f>
        <v/>
      </c>
      <c r="H70" s="0" t="str">
        <f aca="false">IF($A70="","",SUMIFS(Avaliacoes!$G$2:$G$6000,Avaliacoes!$A$2:$A$6000,$A70,Avaliacoes!$F$2:$F$6000,"III",Avaliacoes!$H$2:$H$6000,0))</f>
        <v/>
      </c>
      <c r="I70" s="0" t="str">
        <f aca="false">IF($A70="","",SUMIFS(Avaliacoes!$G$2:$G$6000,Avaliacoes!$A$2:$A$6000,$A70,Avaliacoes!$F$2:$F$6000,"IV",Avaliacoes!$H$2:$H$6000,0))</f>
        <v/>
      </c>
      <c r="J70" s="0" t="str">
        <f aca="false">IF($A70="","",COUNTIFS(Avaliacoes!$A$2:$A$6000,$A70,Avaliacoes!$F$2:$F$6000,"I",Avaliacoes!$H$2:$H$6000,0,Avaliacoes!$G$2:$G$6000,"&lt;&gt;")*Dimensoes!$E$2)</f>
        <v/>
      </c>
      <c r="K70" s="0" t="str">
        <f aca="false">IF($A70="","",COUNTIFS(Avaliacoes!$A$2:$A$6000,$A70,Avaliacoes!$F$2:$F$6000,"II",Avaliacoes!$H$2:$H$6000,0,Avaliacoes!$G$2:$G$6000,"&lt;&gt;")*Dimensoes!$E$3)</f>
        <v/>
      </c>
      <c r="L70" s="0" t="str">
        <f aca="false">IF($A70="","",COUNTIFS(Avaliacoes!$A$2:$A$6000,$A70,Avaliacoes!$F$2:$F$6000,"III",Avaliacoes!$H$2:$H$6000,0,Avaliacoes!$G$2:$G$6000,"&lt;&gt;")*Dimensoes!$E$4)</f>
        <v/>
      </c>
      <c r="M70" s="0" t="str">
        <f aca="false">IF($A70="","",COUNTIFS(Avaliacoes!$A$2:$A$6000,$A70,Avaliacoes!$F$2:$F$6000,"IV",Avaliacoes!$H$2:$H$6000,0,Avaliacoes!$G$2:$G$6000,"&lt;&gt;")*Dimensoes!$E$5)</f>
        <v/>
      </c>
      <c r="N70" s="9" t="str">
        <f aca="false">IF($A70="","",IF(J70&gt;0,F70/J70,""))</f>
        <v/>
      </c>
      <c r="O70" s="9" t="str">
        <f aca="false">IF($A70="","",IF(K70&gt;0,G70/K70,""))</f>
        <v/>
      </c>
      <c r="P70" s="9" t="str">
        <f aca="false">IF($A70="","",IF(L70&gt;0,H70/L70,""))</f>
        <v/>
      </c>
      <c r="Q70" s="9" t="str">
        <f aca="false">IF($A70="","",IF(M70&gt;0,I70/M70,""))</f>
        <v/>
      </c>
      <c r="R70" s="17" t="str">
        <f aca="false">IF($A70="","",IF((IF(N70="",0,Dimensoes!$C$2)+IF(O70="",0,Dimensoes!$C$3)+IF(P70="",0,Dimensoes!$C$4)+IF(Q70="",0,Dimensoes!$C$5))=0,"",(IF(N70="",0,N70*Dimensoes!$C$2)+IF(O70="",0,O70*Dimensoes!$C$3)+IF(P70="",0,P70*Dimensoes!$C$4)+IF(Q70="",0,Q70*Dimensoes!$C$5))/(IF(N70="",0,Dimensoes!$C$2)+IF(O70="",0,Dimensoes!$C$3)+IF(P70="",0,Dimensoes!$C$4)+IF(Q70="",0,Dimensoes!$C$5))))</f>
        <v/>
      </c>
      <c r="S70" s="0" t="str">
        <f aca="false">IF(R70="","",IF(R70&lt;Faixas!$C$3,"vermelho",IF(R70&lt;Faixas!$C$4,"amarelo","verde")))</f>
        <v/>
      </c>
      <c r="T70" s="9" t="str">
        <f aca="false">IF($A70="","",IF(N70="",0,N70*Dimensoes!$C$2)+IF(O70="",0,O70*Dimensoes!$C$3)+IF(P70="",0,P70*Dimensoes!$C$4)+IF(Q70="",0,Q70*Dimensoes!$C$5))</f>
        <v/>
      </c>
      <c r="U70" s="0" t="str">
        <f aca="false">IF($A70="","",IF(OR(E70="concluida",E70="incompleta"),1,0))</f>
        <v/>
      </c>
    </row>
    <row r="71" customFormat="false" ht="15" hidden="false" customHeight="false" outlineLevel="0" collapsed="false">
      <c r="A71" s="0" t="str">
        <f aca="false">IF(Visitas!A71="","",Visitas!A71)</f>
        <v/>
      </c>
      <c r="B71" s="0" t="str">
        <f aca="false">IF($A71="","",Visitas!C71)</f>
        <v/>
      </c>
      <c r="C71" s="7" t="str">
        <f aca="false">IF($A71="","",Visitas!D71)</f>
        <v/>
      </c>
      <c r="D71" s="0" t="str">
        <f aca="false">IF($A71="","",Visitas!B71)</f>
        <v/>
      </c>
      <c r="E71" s="0" t="str">
        <f aca="false">IF($A71="","",Visitas!F71)</f>
        <v/>
      </c>
      <c r="F71" s="0" t="str">
        <f aca="false">IF($A71="","",SUMIFS(Avaliacoes!$G$2:$G$6000,Avaliacoes!$A$2:$A$6000,$A71,Avaliacoes!$F$2:$F$6000,"I",Avaliacoes!$H$2:$H$6000,0))</f>
        <v/>
      </c>
      <c r="G71" s="0" t="str">
        <f aca="false">IF($A71="","",SUMIFS(Avaliacoes!$G$2:$G$6000,Avaliacoes!$A$2:$A$6000,$A71,Avaliacoes!$F$2:$F$6000,"II",Avaliacoes!$H$2:$H$6000,0))</f>
        <v/>
      </c>
      <c r="H71" s="0" t="str">
        <f aca="false">IF($A71="","",SUMIFS(Avaliacoes!$G$2:$G$6000,Avaliacoes!$A$2:$A$6000,$A71,Avaliacoes!$F$2:$F$6000,"III",Avaliacoes!$H$2:$H$6000,0))</f>
        <v/>
      </c>
      <c r="I71" s="0" t="str">
        <f aca="false">IF($A71="","",SUMIFS(Avaliacoes!$G$2:$G$6000,Avaliacoes!$A$2:$A$6000,$A71,Avaliacoes!$F$2:$F$6000,"IV",Avaliacoes!$H$2:$H$6000,0))</f>
        <v/>
      </c>
      <c r="J71" s="0" t="str">
        <f aca="false">IF($A71="","",COUNTIFS(Avaliacoes!$A$2:$A$6000,$A71,Avaliacoes!$F$2:$F$6000,"I",Avaliacoes!$H$2:$H$6000,0,Avaliacoes!$G$2:$G$6000,"&lt;&gt;")*Dimensoes!$E$2)</f>
        <v/>
      </c>
      <c r="K71" s="0" t="str">
        <f aca="false">IF($A71="","",COUNTIFS(Avaliacoes!$A$2:$A$6000,$A71,Avaliacoes!$F$2:$F$6000,"II",Avaliacoes!$H$2:$H$6000,0,Avaliacoes!$G$2:$G$6000,"&lt;&gt;")*Dimensoes!$E$3)</f>
        <v/>
      </c>
      <c r="L71" s="0" t="str">
        <f aca="false">IF($A71="","",COUNTIFS(Avaliacoes!$A$2:$A$6000,$A71,Avaliacoes!$F$2:$F$6000,"III",Avaliacoes!$H$2:$H$6000,0,Avaliacoes!$G$2:$G$6000,"&lt;&gt;")*Dimensoes!$E$4)</f>
        <v/>
      </c>
      <c r="M71" s="0" t="str">
        <f aca="false">IF($A71="","",COUNTIFS(Avaliacoes!$A$2:$A$6000,$A71,Avaliacoes!$F$2:$F$6000,"IV",Avaliacoes!$H$2:$H$6000,0,Avaliacoes!$G$2:$G$6000,"&lt;&gt;")*Dimensoes!$E$5)</f>
        <v/>
      </c>
      <c r="N71" s="9" t="str">
        <f aca="false">IF($A71="","",IF(J71&gt;0,F71/J71,""))</f>
        <v/>
      </c>
      <c r="O71" s="9" t="str">
        <f aca="false">IF($A71="","",IF(K71&gt;0,G71/K71,""))</f>
        <v/>
      </c>
      <c r="P71" s="9" t="str">
        <f aca="false">IF($A71="","",IF(L71&gt;0,H71/L71,""))</f>
        <v/>
      </c>
      <c r="Q71" s="9" t="str">
        <f aca="false">IF($A71="","",IF(M71&gt;0,I71/M71,""))</f>
        <v/>
      </c>
      <c r="R71" s="17" t="str">
        <f aca="false">IF($A71="","",IF((IF(N71="",0,Dimensoes!$C$2)+IF(O71="",0,Dimensoes!$C$3)+IF(P71="",0,Dimensoes!$C$4)+IF(Q71="",0,Dimensoes!$C$5))=0,"",(IF(N71="",0,N71*Dimensoes!$C$2)+IF(O71="",0,O71*Dimensoes!$C$3)+IF(P71="",0,P71*Dimensoes!$C$4)+IF(Q71="",0,Q71*Dimensoes!$C$5))/(IF(N71="",0,Dimensoes!$C$2)+IF(O71="",0,Dimensoes!$C$3)+IF(P71="",0,Dimensoes!$C$4)+IF(Q71="",0,Dimensoes!$C$5))))</f>
        <v/>
      </c>
      <c r="S71" s="0" t="str">
        <f aca="false">IF(R71="","",IF(R71&lt;Faixas!$C$3,"vermelho",IF(R71&lt;Faixas!$C$4,"amarelo","verde")))</f>
        <v/>
      </c>
      <c r="T71" s="9" t="str">
        <f aca="false">IF($A71="","",IF(N71="",0,N71*Dimensoes!$C$2)+IF(O71="",0,O71*Dimensoes!$C$3)+IF(P71="",0,P71*Dimensoes!$C$4)+IF(Q71="",0,Q71*Dimensoes!$C$5))</f>
        <v/>
      </c>
      <c r="U71" s="0" t="str">
        <f aca="false">IF($A71="","",IF(OR(E71="concluida",E71="incompleta"),1,0))</f>
        <v/>
      </c>
    </row>
    <row r="72" customFormat="false" ht="15" hidden="false" customHeight="false" outlineLevel="0" collapsed="false">
      <c r="A72" s="0" t="str">
        <f aca="false">IF(Visitas!A72="","",Visitas!A72)</f>
        <v/>
      </c>
      <c r="B72" s="0" t="str">
        <f aca="false">IF($A72="","",Visitas!C72)</f>
        <v/>
      </c>
      <c r="C72" s="7" t="str">
        <f aca="false">IF($A72="","",Visitas!D72)</f>
        <v/>
      </c>
      <c r="D72" s="0" t="str">
        <f aca="false">IF($A72="","",Visitas!B72)</f>
        <v/>
      </c>
      <c r="E72" s="0" t="str">
        <f aca="false">IF($A72="","",Visitas!F72)</f>
        <v/>
      </c>
      <c r="F72" s="0" t="str">
        <f aca="false">IF($A72="","",SUMIFS(Avaliacoes!$G$2:$G$6000,Avaliacoes!$A$2:$A$6000,$A72,Avaliacoes!$F$2:$F$6000,"I",Avaliacoes!$H$2:$H$6000,0))</f>
        <v/>
      </c>
      <c r="G72" s="0" t="str">
        <f aca="false">IF($A72="","",SUMIFS(Avaliacoes!$G$2:$G$6000,Avaliacoes!$A$2:$A$6000,$A72,Avaliacoes!$F$2:$F$6000,"II",Avaliacoes!$H$2:$H$6000,0))</f>
        <v/>
      </c>
      <c r="H72" s="0" t="str">
        <f aca="false">IF($A72="","",SUMIFS(Avaliacoes!$G$2:$G$6000,Avaliacoes!$A$2:$A$6000,$A72,Avaliacoes!$F$2:$F$6000,"III",Avaliacoes!$H$2:$H$6000,0))</f>
        <v/>
      </c>
      <c r="I72" s="0" t="str">
        <f aca="false">IF($A72="","",SUMIFS(Avaliacoes!$G$2:$G$6000,Avaliacoes!$A$2:$A$6000,$A72,Avaliacoes!$F$2:$F$6000,"IV",Avaliacoes!$H$2:$H$6000,0))</f>
        <v/>
      </c>
      <c r="J72" s="0" t="str">
        <f aca="false">IF($A72="","",COUNTIFS(Avaliacoes!$A$2:$A$6000,$A72,Avaliacoes!$F$2:$F$6000,"I",Avaliacoes!$H$2:$H$6000,0,Avaliacoes!$G$2:$G$6000,"&lt;&gt;")*Dimensoes!$E$2)</f>
        <v/>
      </c>
      <c r="K72" s="0" t="str">
        <f aca="false">IF($A72="","",COUNTIFS(Avaliacoes!$A$2:$A$6000,$A72,Avaliacoes!$F$2:$F$6000,"II",Avaliacoes!$H$2:$H$6000,0,Avaliacoes!$G$2:$G$6000,"&lt;&gt;")*Dimensoes!$E$3)</f>
        <v/>
      </c>
      <c r="L72" s="0" t="str">
        <f aca="false">IF($A72="","",COUNTIFS(Avaliacoes!$A$2:$A$6000,$A72,Avaliacoes!$F$2:$F$6000,"III",Avaliacoes!$H$2:$H$6000,0,Avaliacoes!$G$2:$G$6000,"&lt;&gt;")*Dimensoes!$E$4)</f>
        <v/>
      </c>
      <c r="M72" s="0" t="str">
        <f aca="false">IF($A72="","",COUNTIFS(Avaliacoes!$A$2:$A$6000,$A72,Avaliacoes!$F$2:$F$6000,"IV",Avaliacoes!$H$2:$H$6000,0,Avaliacoes!$G$2:$G$6000,"&lt;&gt;")*Dimensoes!$E$5)</f>
        <v/>
      </c>
      <c r="N72" s="9" t="str">
        <f aca="false">IF($A72="","",IF(J72&gt;0,F72/J72,""))</f>
        <v/>
      </c>
      <c r="O72" s="9" t="str">
        <f aca="false">IF($A72="","",IF(K72&gt;0,G72/K72,""))</f>
        <v/>
      </c>
      <c r="P72" s="9" t="str">
        <f aca="false">IF($A72="","",IF(L72&gt;0,H72/L72,""))</f>
        <v/>
      </c>
      <c r="Q72" s="9" t="str">
        <f aca="false">IF($A72="","",IF(M72&gt;0,I72/M72,""))</f>
        <v/>
      </c>
      <c r="R72" s="17" t="str">
        <f aca="false">IF($A72="","",IF((IF(N72="",0,Dimensoes!$C$2)+IF(O72="",0,Dimensoes!$C$3)+IF(P72="",0,Dimensoes!$C$4)+IF(Q72="",0,Dimensoes!$C$5))=0,"",(IF(N72="",0,N72*Dimensoes!$C$2)+IF(O72="",0,O72*Dimensoes!$C$3)+IF(P72="",0,P72*Dimensoes!$C$4)+IF(Q72="",0,Q72*Dimensoes!$C$5))/(IF(N72="",0,Dimensoes!$C$2)+IF(O72="",0,Dimensoes!$C$3)+IF(P72="",0,Dimensoes!$C$4)+IF(Q72="",0,Dimensoes!$C$5))))</f>
        <v/>
      </c>
      <c r="S72" s="0" t="str">
        <f aca="false">IF(R72="","",IF(R72&lt;Faixas!$C$3,"vermelho",IF(R72&lt;Faixas!$C$4,"amarelo","verde")))</f>
        <v/>
      </c>
      <c r="T72" s="9" t="str">
        <f aca="false">IF($A72="","",IF(N72="",0,N72*Dimensoes!$C$2)+IF(O72="",0,O72*Dimensoes!$C$3)+IF(P72="",0,P72*Dimensoes!$C$4)+IF(Q72="",0,Q72*Dimensoes!$C$5))</f>
        <v/>
      </c>
      <c r="U72" s="0" t="str">
        <f aca="false">IF($A72="","",IF(OR(E72="concluida",E72="incompleta"),1,0))</f>
        <v/>
      </c>
    </row>
    <row r="73" customFormat="false" ht="15" hidden="false" customHeight="false" outlineLevel="0" collapsed="false">
      <c r="A73" s="0" t="str">
        <f aca="false">IF(Visitas!A73="","",Visitas!A73)</f>
        <v/>
      </c>
      <c r="B73" s="0" t="str">
        <f aca="false">IF($A73="","",Visitas!C73)</f>
        <v/>
      </c>
      <c r="C73" s="7" t="str">
        <f aca="false">IF($A73="","",Visitas!D73)</f>
        <v/>
      </c>
      <c r="D73" s="0" t="str">
        <f aca="false">IF($A73="","",Visitas!B73)</f>
        <v/>
      </c>
      <c r="E73" s="0" t="str">
        <f aca="false">IF($A73="","",Visitas!F73)</f>
        <v/>
      </c>
      <c r="F73" s="0" t="str">
        <f aca="false">IF($A73="","",SUMIFS(Avaliacoes!$G$2:$G$6000,Avaliacoes!$A$2:$A$6000,$A73,Avaliacoes!$F$2:$F$6000,"I",Avaliacoes!$H$2:$H$6000,0))</f>
        <v/>
      </c>
      <c r="G73" s="0" t="str">
        <f aca="false">IF($A73="","",SUMIFS(Avaliacoes!$G$2:$G$6000,Avaliacoes!$A$2:$A$6000,$A73,Avaliacoes!$F$2:$F$6000,"II",Avaliacoes!$H$2:$H$6000,0))</f>
        <v/>
      </c>
      <c r="H73" s="0" t="str">
        <f aca="false">IF($A73="","",SUMIFS(Avaliacoes!$G$2:$G$6000,Avaliacoes!$A$2:$A$6000,$A73,Avaliacoes!$F$2:$F$6000,"III",Avaliacoes!$H$2:$H$6000,0))</f>
        <v/>
      </c>
      <c r="I73" s="0" t="str">
        <f aca="false">IF($A73="","",SUMIFS(Avaliacoes!$G$2:$G$6000,Avaliacoes!$A$2:$A$6000,$A73,Avaliacoes!$F$2:$F$6000,"IV",Avaliacoes!$H$2:$H$6000,0))</f>
        <v/>
      </c>
      <c r="J73" s="0" t="str">
        <f aca="false">IF($A73="","",COUNTIFS(Avaliacoes!$A$2:$A$6000,$A73,Avaliacoes!$F$2:$F$6000,"I",Avaliacoes!$H$2:$H$6000,0,Avaliacoes!$G$2:$G$6000,"&lt;&gt;")*Dimensoes!$E$2)</f>
        <v/>
      </c>
      <c r="K73" s="0" t="str">
        <f aca="false">IF($A73="","",COUNTIFS(Avaliacoes!$A$2:$A$6000,$A73,Avaliacoes!$F$2:$F$6000,"II",Avaliacoes!$H$2:$H$6000,0,Avaliacoes!$G$2:$G$6000,"&lt;&gt;")*Dimensoes!$E$3)</f>
        <v/>
      </c>
      <c r="L73" s="0" t="str">
        <f aca="false">IF($A73="","",COUNTIFS(Avaliacoes!$A$2:$A$6000,$A73,Avaliacoes!$F$2:$F$6000,"III",Avaliacoes!$H$2:$H$6000,0,Avaliacoes!$G$2:$G$6000,"&lt;&gt;")*Dimensoes!$E$4)</f>
        <v/>
      </c>
      <c r="M73" s="0" t="str">
        <f aca="false">IF($A73="","",COUNTIFS(Avaliacoes!$A$2:$A$6000,$A73,Avaliacoes!$F$2:$F$6000,"IV",Avaliacoes!$H$2:$H$6000,0,Avaliacoes!$G$2:$G$6000,"&lt;&gt;")*Dimensoes!$E$5)</f>
        <v/>
      </c>
      <c r="N73" s="9" t="str">
        <f aca="false">IF($A73="","",IF(J73&gt;0,F73/J73,""))</f>
        <v/>
      </c>
      <c r="O73" s="9" t="str">
        <f aca="false">IF($A73="","",IF(K73&gt;0,G73/K73,""))</f>
        <v/>
      </c>
      <c r="P73" s="9" t="str">
        <f aca="false">IF($A73="","",IF(L73&gt;0,H73/L73,""))</f>
        <v/>
      </c>
      <c r="Q73" s="9" t="str">
        <f aca="false">IF($A73="","",IF(M73&gt;0,I73/M73,""))</f>
        <v/>
      </c>
      <c r="R73" s="17" t="str">
        <f aca="false">IF($A73="","",IF((IF(N73="",0,Dimensoes!$C$2)+IF(O73="",0,Dimensoes!$C$3)+IF(P73="",0,Dimensoes!$C$4)+IF(Q73="",0,Dimensoes!$C$5))=0,"",(IF(N73="",0,N73*Dimensoes!$C$2)+IF(O73="",0,O73*Dimensoes!$C$3)+IF(P73="",0,P73*Dimensoes!$C$4)+IF(Q73="",0,Q73*Dimensoes!$C$5))/(IF(N73="",0,Dimensoes!$C$2)+IF(O73="",0,Dimensoes!$C$3)+IF(P73="",0,Dimensoes!$C$4)+IF(Q73="",0,Dimensoes!$C$5))))</f>
        <v/>
      </c>
      <c r="S73" s="0" t="str">
        <f aca="false">IF(R73="","",IF(R73&lt;Faixas!$C$3,"vermelho",IF(R73&lt;Faixas!$C$4,"amarelo","verde")))</f>
        <v/>
      </c>
      <c r="T73" s="9" t="str">
        <f aca="false">IF($A73="","",IF(N73="",0,N73*Dimensoes!$C$2)+IF(O73="",0,O73*Dimensoes!$C$3)+IF(P73="",0,P73*Dimensoes!$C$4)+IF(Q73="",0,Q73*Dimensoes!$C$5))</f>
        <v/>
      </c>
      <c r="U73" s="0" t="str">
        <f aca="false">IF($A73="","",IF(OR(E73="concluida",E73="incompleta"),1,0))</f>
        <v/>
      </c>
    </row>
    <row r="74" customFormat="false" ht="15" hidden="false" customHeight="false" outlineLevel="0" collapsed="false">
      <c r="A74" s="0" t="str">
        <f aca="false">IF(Visitas!A74="","",Visitas!A74)</f>
        <v/>
      </c>
      <c r="B74" s="0" t="str">
        <f aca="false">IF($A74="","",Visitas!C74)</f>
        <v/>
      </c>
      <c r="C74" s="7" t="str">
        <f aca="false">IF($A74="","",Visitas!D74)</f>
        <v/>
      </c>
      <c r="D74" s="0" t="str">
        <f aca="false">IF($A74="","",Visitas!B74)</f>
        <v/>
      </c>
      <c r="E74" s="0" t="str">
        <f aca="false">IF($A74="","",Visitas!F74)</f>
        <v/>
      </c>
      <c r="F74" s="0" t="str">
        <f aca="false">IF($A74="","",SUMIFS(Avaliacoes!$G$2:$G$6000,Avaliacoes!$A$2:$A$6000,$A74,Avaliacoes!$F$2:$F$6000,"I",Avaliacoes!$H$2:$H$6000,0))</f>
        <v/>
      </c>
      <c r="G74" s="0" t="str">
        <f aca="false">IF($A74="","",SUMIFS(Avaliacoes!$G$2:$G$6000,Avaliacoes!$A$2:$A$6000,$A74,Avaliacoes!$F$2:$F$6000,"II",Avaliacoes!$H$2:$H$6000,0))</f>
        <v/>
      </c>
      <c r="H74" s="0" t="str">
        <f aca="false">IF($A74="","",SUMIFS(Avaliacoes!$G$2:$G$6000,Avaliacoes!$A$2:$A$6000,$A74,Avaliacoes!$F$2:$F$6000,"III",Avaliacoes!$H$2:$H$6000,0))</f>
        <v/>
      </c>
      <c r="I74" s="0" t="str">
        <f aca="false">IF($A74="","",SUMIFS(Avaliacoes!$G$2:$G$6000,Avaliacoes!$A$2:$A$6000,$A74,Avaliacoes!$F$2:$F$6000,"IV",Avaliacoes!$H$2:$H$6000,0))</f>
        <v/>
      </c>
      <c r="J74" s="0" t="str">
        <f aca="false">IF($A74="","",COUNTIFS(Avaliacoes!$A$2:$A$6000,$A74,Avaliacoes!$F$2:$F$6000,"I",Avaliacoes!$H$2:$H$6000,0,Avaliacoes!$G$2:$G$6000,"&lt;&gt;")*Dimensoes!$E$2)</f>
        <v/>
      </c>
      <c r="K74" s="0" t="str">
        <f aca="false">IF($A74="","",COUNTIFS(Avaliacoes!$A$2:$A$6000,$A74,Avaliacoes!$F$2:$F$6000,"II",Avaliacoes!$H$2:$H$6000,0,Avaliacoes!$G$2:$G$6000,"&lt;&gt;")*Dimensoes!$E$3)</f>
        <v/>
      </c>
      <c r="L74" s="0" t="str">
        <f aca="false">IF($A74="","",COUNTIFS(Avaliacoes!$A$2:$A$6000,$A74,Avaliacoes!$F$2:$F$6000,"III",Avaliacoes!$H$2:$H$6000,0,Avaliacoes!$G$2:$G$6000,"&lt;&gt;")*Dimensoes!$E$4)</f>
        <v/>
      </c>
      <c r="M74" s="0" t="str">
        <f aca="false">IF($A74="","",COUNTIFS(Avaliacoes!$A$2:$A$6000,$A74,Avaliacoes!$F$2:$F$6000,"IV",Avaliacoes!$H$2:$H$6000,0,Avaliacoes!$G$2:$G$6000,"&lt;&gt;")*Dimensoes!$E$5)</f>
        <v/>
      </c>
      <c r="N74" s="9" t="str">
        <f aca="false">IF($A74="","",IF(J74&gt;0,F74/J74,""))</f>
        <v/>
      </c>
      <c r="O74" s="9" t="str">
        <f aca="false">IF($A74="","",IF(K74&gt;0,G74/K74,""))</f>
        <v/>
      </c>
      <c r="P74" s="9" t="str">
        <f aca="false">IF($A74="","",IF(L74&gt;0,H74/L74,""))</f>
        <v/>
      </c>
      <c r="Q74" s="9" t="str">
        <f aca="false">IF($A74="","",IF(M74&gt;0,I74/M74,""))</f>
        <v/>
      </c>
      <c r="R74" s="17" t="str">
        <f aca="false">IF($A74="","",IF((IF(N74="",0,Dimensoes!$C$2)+IF(O74="",0,Dimensoes!$C$3)+IF(P74="",0,Dimensoes!$C$4)+IF(Q74="",0,Dimensoes!$C$5))=0,"",(IF(N74="",0,N74*Dimensoes!$C$2)+IF(O74="",0,O74*Dimensoes!$C$3)+IF(P74="",0,P74*Dimensoes!$C$4)+IF(Q74="",0,Q74*Dimensoes!$C$5))/(IF(N74="",0,Dimensoes!$C$2)+IF(O74="",0,Dimensoes!$C$3)+IF(P74="",0,Dimensoes!$C$4)+IF(Q74="",0,Dimensoes!$C$5))))</f>
        <v/>
      </c>
      <c r="S74" s="0" t="str">
        <f aca="false">IF(R74="","",IF(R74&lt;Faixas!$C$3,"vermelho",IF(R74&lt;Faixas!$C$4,"amarelo","verde")))</f>
        <v/>
      </c>
      <c r="T74" s="9" t="str">
        <f aca="false">IF($A74="","",IF(N74="",0,N74*Dimensoes!$C$2)+IF(O74="",0,O74*Dimensoes!$C$3)+IF(P74="",0,P74*Dimensoes!$C$4)+IF(Q74="",0,Q74*Dimensoes!$C$5))</f>
        <v/>
      </c>
      <c r="U74" s="0" t="str">
        <f aca="false">IF($A74="","",IF(OR(E74="concluida",E74="incompleta"),1,0))</f>
        <v/>
      </c>
    </row>
    <row r="75" customFormat="false" ht="15" hidden="false" customHeight="false" outlineLevel="0" collapsed="false">
      <c r="A75" s="0" t="str">
        <f aca="false">IF(Visitas!A75="","",Visitas!A75)</f>
        <v/>
      </c>
      <c r="B75" s="0" t="str">
        <f aca="false">IF($A75="","",Visitas!C75)</f>
        <v/>
      </c>
      <c r="C75" s="7" t="str">
        <f aca="false">IF($A75="","",Visitas!D75)</f>
        <v/>
      </c>
      <c r="D75" s="0" t="str">
        <f aca="false">IF($A75="","",Visitas!B75)</f>
        <v/>
      </c>
      <c r="E75" s="0" t="str">
        <f aca="false">IF($A75="","",Visitas!F75)</f>
        <v/>
      </c>
      <c r="F75" s="0" t="str">
        <f aca="false">IF($A75="","",SUMIFS(Avaliacoes!$G$2:$G$6000,Avaliacoes!$A$2:$A$6000,$A75,Avaliacoes!$F$2:$F$6000,"I",Avaliacoes!$H$2:$H$6000,0))</f>
        <v/>
      </c>
      <c r="G75" s="0" t="str">
        <f aca="false">IF($A75="","",SUMIFS(Avaliacoes!$G$2:$G$6000,Avaliacoes!$A$2:$A$6000,$A75,Avaliacoes!$F$2:$F$6000,"II",Avaliacoes!$H$2:$H$6000,0))</f>
        <v/>
      </c>
      <c r="H75" s="0" t="str">
        <f aca="false">IF($A75="","",SUMIFS(Avaliacoes!$G$2:$G$6000,Avaliacoes!$A$2:$A$6000,$A75,Avaliacoes!$F$2:$F$6000,"III",Avaliacoes!$H$2:$H$6000,0))</f>
        <v/>
      </c>
      <c r="I75" s="0" t="str">
        <f aca="false">IF($A75="","",SUMIFS(Avaliacoes!$G$2:$G$6000,Avaliacoes!$A$2:$A$6000,$A75,Avaliacoes!$F$2:$F$6000,"IV",Avaliacoes!$H$2:$H$6000,0))</f>
        <v/>
      </c>
      <c r="J75" s="0" t="str">
        <f aca="false">IF($A75="","",COUNTIFS(Avaliacoes!$A$2:$A$6000,$A75,Avaliacoes!$F$2:$F$6000,"I",Avaliacoes!$H$2:$H$6000,0,Avaliacoes!$G$2:$G$6000,"&lt;&gt;")*Dimensoes!$E$2)</f>
        <v/>
      </c>
      <c r="K75" s="0" t="str">
        <f aca="false">IF($A75="","",COUNTIFS(Avaliacoes!$A$2:$A$6000,$A75,Avaliacoes!$F$2:$F$6000,"II",Avaliacoes!$H$2:$H$6000,0,Avaliacoes!$G$2:$G$6000,"&lt;&gt;")*Dimensoes!$E$3)</f>
        <v/>
      </c>
      <c r="L75" s="0" t="str">
        <f aca="false">IF($A75="","",COUNTIFS(Avaliacoes!$A$2:$A$6000,$A75,Avaliacoes!$F$2:$F$6000,"III",Avaliacoes!$H$2:$H$6000,0,Avaliacoes!$G$2:$G$6000,"&lt;&gt;")*Dimensoes!$E$4)</f>
        <v/>
      </c>
      <c r="M75" s="0" t="str">
        <f aca="false">IF($A75="","",COUNTIFS(Avaliacoes!$A$2:$A$6000,$A75,Avaliacoes!$F$2:$F$6000,"IV",Avaliacoes!$H$2:$H$6000,0,Avaliacoes!$G$2:$G$6000,"&lt;&gt;")*Dimensoes!$E$5)</f>
        <v/>
      </c>
      <c r="N75" s="9" t="str">
        <f aca="false">IF($A75="","",IF(J75&gt;0,F75/J75,""))</f>
        <v/>
      </c>
      <c r="O75" s="9" t="str">
        <f aca="false">IF($A75="","",IF(K75&gt;0,G75/K75,""))</f>
        <v/>
      </c>
      <c r="P75" s="9" t="str">
        <f aca="false">IF($A75="","",IF(L75&gt;0,H75/L75,""))</f>
        <v/>
      </c>
      <c r="Q75" s="9" t="str">
        <f aca="false">IF($A75="","",IF(M75&gt;0,I75/M75,""))</f>
        <v/>
      </c>
      <c r="R75" s="17" t="str">
        <f aca="false">IF($A75="","",IF((IF(N75="",0,Dimensoes!$C$2)+IF(O75="",0,Dimensoes!$C$3)+IF(P75="",0,Dimensoes!$C$4)+IF(Q75="",0,Dimensoes!$C$5))=0,"",(IF(N75="",0,N75*Dimensoes!$C$2)+IF(O75="",0,O75*Dimensoes!$C$3)+IF(P75="",0,P75*Dimensoes!$C$4)+IF(Q75="",0,Q75*Dimensoes!$C$5))/(IF(N75="",0,Dimensoes!$C$2)+IF(O75="",0,Dimensoes!$C$3)+IF(P75="",0,Dimensoes!$C$4)+IF(Q75="",0,Dimensoes!$C$5))))</f>
        <v/>
      </c>
      <c r="S75" s="0" t="str">
        <f aca="false">IF(R75="","",IF(R75&lt;Faixas!$C$3,"vermelho",IF(R75&lt;Faixas!$C$4,"amarelo","verde")))</f>
        <v/>
      </c>
      <c r="T75" s="9" t="str">
        <f aca="false">IF($A75="","",IF(N75="",0,N75*Dimensoes!$C$2)+IF(O75="",0,O75*Dimensoes!$C$3)+IF(P75="",0,P75*Dimensoes!$C$4)+IF(Q75="",0,Q75*Dimensoes!$C$5))</f>
        <v/>
      </c>
      <c r="U75" s="0" t="str">
        <f aca="false">IF($A75="","",IF(OR(E75="concluida",E75="incompleta"),1,0))</f>
        <v/>
      </c>
    </row>
    <row r="76" customFormat="false" ht="15" hidden="false" customHeight="false" outlineLevel="0" collapsed="false">
      <c r="A76" s="0" t="str">
        <f aca="false">IF(Visitas!A76="","",Visitas!A76)</f>
        <v/>
      </c>
      <c r="B76" s="0" t="str">
        <f aca="false">IF($A76="","",Visitas!C76)</f>
        <v/>
      </c>
      <c r="C76" s="7" t="str">
        <f aca="false">IF($A76="","",Visitas!D76)</f>
        <v/>
      </c>
      <c r="D76" s="0" t="str">
        <f aca="false">IF($A76="","",Visitas!B76)</f>
        <v/>
      </c>
      <c r="E76" s="0" t="str">
        <f aca="false">IF($A76="","",Visitas!F76)</f>
        <v/>
      </c>
      <c r="F76" s="0" t="str">
        <f aca="false">IF($A76="","",SUMIFS(Avaliacoes!$G$2:$G$6000,Avaliacoes!$A$2:$A$6000,$A76,Avaliacoes!$F$2:$F$6000,"I",Avaliacoes!$H$2:$H$6000,0))</f>
        <v/>
      </c>
      <c r="G76" s="0" t="str">
        <f aca="false">IF($A76="","",SUMIFS(Avaliacoes!$G$2:$G$6000,Avaliacoes!$A$2:$A$6000,$A76,Avaliacoes!$F$2:$F$6000,"II",Avaliacoes!$H$2:$H$6000,0))</f>
        <v/>
      </c>
      <c r="H76" s="0" t="str">
        <f aca="false">IF($A76="","",SUMIFS(Avaliacoes!$G$2:$G$6000,Avaliacoes!$A$2:$A$6000,$A76,Avaliacoes!$F$2:$F$6000,"III",Avaliacoes!$H$2:$H$6000,0))</f>
        <v/>
      </c>
      <c r="I76" s="0" t="str">
        <f aca="false">IF($A76="","",SUMIFS(Avaliacoes!$G$2:$G$6000,Avaliacoes!$A$2:$A$6000,$A76,Avaliacoes!$F$2:$F$6000,"IV",Avaliacoes!$H$2:$H$6000,0))</f>
        <v/>
      </c>
      <c r="J76" s="0" t="str">
        <f aca="false">IF($A76="","",COUNTIFS(Avaliacoes!$A$2:$A$6000,$A76,Avaliacoes!$F$2:$F$6000,"I",Avaliacoes!$H$2:$H$6000,0,Avaliacoes!$G$2:$G$6000,"&lt;&gt;")*Dimensoes!$E$2)</f>
        <v/>
      </c>
      <c r="K76" s="0" t="str">
        <f aca="false">IF($A76="","",COUNTIFS(Avaliacoes!$A$2:$A$6000,$A76,Avaliacoes!$F$2:$F$6000,"II",Avaliacoes!$H$2:$H$6000,0,Avaliacoes!$G$2:$G$6000,"&lt;&gt;")*Dimensoes!$E$3)</f>
        <v/>
      </c>
      <c r="L76" s="0" t="str">
        <f aca="false">IF($A76="","",COUNTIFS(Avaliacoes!$A$2:$A$6000,$A76,Avaliacoes!$F$2:$F$6000,"III",Avaliacoes!$H$2:$H$6000,0,Avaliacoes!$G$2:$G$6000,"&lt;&gt;")*Dimensoes!$E$4)</f>
        <v/>
      </c>
      <c r="M76" s="0" t="str">
        <f aca="false">IF($A76="","",COUNTIFS(Avaliacoes!$A$2:$A$6000,$A76,Avaliacoes!$F$2:$F$6000,"IV",Avaliacoes!$H$2:$H$6000,0,Avaliacoes!$G$2:$G$6000,"&lt;&gt;")*Dimensoes!$E$5)</f>
        <v/>
      </c>
      <c r="N76" s="9" t="str">
        <f aca="false">IF($A76="","",IF(J76&gt;0,F76/J76,""))</f>
        <v/>
      </c>
      <c r="O76" s="9" t="str">
        <f aca="false">IF($A76="","",IF(K76&gt;0,G76/K76,""))</f>
        <v/>
      </c>
      <c r="P76" s="9" t="str">
        <f aca="false">IF($A76="","",IF(L76&gt;0,H76/L76,""))</f>
        <v/>
      </c>
      <c r="Q76" s="9" t="str">
        <f aca="false">IF($A76="","",IF(M76&gt;0,I76/M76,""))</f>
        <v/>
      </c>
      <c r="R76" s="17" t="str">
        <f aca="false">IF($A76="","",IF((IF(N76="",0,Dimensoes!$C$2)+IF(O76="",0,Dimensoes!$C$3)+IF(P76="",0,Dimensoes!$C$4)+IF(Q76="",0,Dimensoes!$C$5))=0,"",(IF(N76="",0,N76*Dimensoes!$C$2)+IF(O76="",0,O76*Dimensoes!$C$3)+IF(P76="",0,P76*Dimensoes!$C$4)+IF(Q76="",0,Q76*Dimensoes!$C$5))/(IF(N76="",0,Dimensoes!$C$2)+IF(O76="",0,Dimensoes!$C$3)+IF(P76="",0,Dimensoes!$C$4)+IF(Q76="",0,Dimensoes!$C$5))))</f>
        <v/>
      </c>
      <c r="S76" s="0" t="str">
        <f aca="false">IF(R76="","",IF(R76&lt;Faixas!$C$3,"vermelho",IF(R76&lt;Faixas!$C$4,"amarelo","verde")))</f>
        <v/>
      </c>
      <c r="T76" s="9" t="str">
        <f aca="false">IF($A76="","",IF(N76="",0,N76*Dimensoes!$C$2)+IF(O76="",0,O76*Dimensoes!$C$3)+IF(P76="",0,P76*Dimensoes!$C$4)+IF(Q76="",0,Q76*Dimensoes!$C$5))</f>
        <v/>
      </c>
      <c r="U76" s="0" t="str">
        <f aca="false">IF($A76="","",IF(OR(E76="concluida",E76="incompleta"),1,0))</f>
        <v/>
      </c>
    </row>
    <row r="77" customFormat="false" ht="15" hidden="false" customHeight="false" outlineLevel="0" collapsed="false">
      <c r="A77" s="0" t="str">
        <f aca="false">IF(Visitas!A77="","",Visitas!A77)</f>
        <v/>
      </c>
      <c r="B77" s="0" t="str">
        <f aca="false">IF($A77="","",Visitas!C77)</f>
        <v/>
      </c>
      <c r="C77" s="7" t="str">
        <f aca="false">IF($A77="","",Visitas!D77)</f>
        <v/>
      </c>
      <c r="D77" s="0" t="str">
        <f aca="false">IF($A77="","",Visitas!B77)</f>
        <v/>
      </c>
      <c r="E77" s="0" t="str">
        <f aca="false">IF($A77="","",Visitas!F77)</f>
        <v/>
      </c>
      <c r="F77" s="0" t="str">
        <f aca="false">IF($A77="","",SUMIFS(Avaliacoes!$G$2:$G$6000,Avaliacoes!$A$2:$A$6000,$A77,Avaliacoes!$F$2:$F$6000,"I",Avaliacoes!$H$2:$H$6000,0))</f>
        <v/>
      </c>
      <c r="G77" s="0" t="str">
        <f aca="false">IF($A77="","",SUMIFS(Avaliacoes!$G$2:$G$6000,Avaliacoes!$A$2:$A$6000,$A77,Avaliacoes!$F$2:$F$6000,"II",Avaliacoes!$H$2:$H$6000,0))</f>
        <v/>
      </c>
      <c r="H77" s="0" t="str">
        <f aca="false">IF($A77="","",SUMIFS(Avaliacoes!$G$2:$G$6000,Avaliacoes!$A$2:$A$6000,$A77,Avaliacoes!$F$2:$F$6000,"III",Avaliacoes!$H$2:$H$6000,0))</f>
        <v/>
      </c>
      <c r="I77" s="0" t="str">
        <f aca="false">IF($A77="","",SUMIFS(Avaliacoes!$G$2:$G$6000,Avaliacoes!$A$2:$A$6000,$A77,Avaliacoes!$F$2:$F$6000,"IV",Avaliacoes!$H$2:$H$6000,0))</f>
        <v/>
      </c>
      <c r="J77" s="0" t="str">
        <f aca="false">IF($A77="","",COUNTIFS(Avaliacoes!$A$2:$A$6000,$A77,Avaliacoes!$F$2:$F$6000,"I",Avaliacoes!$H$2:$H$6000,0,Avaliacoes!$G$2:$G$6000,"&lt;&gt;")*Dimensoes!$E$2)</f>
        <v/>
      </c>
      <c r="K77" s="0" t="str">
        <f aca="false">IF($A77="","",COUNTIFS(Avaliacoes!$A$2:$A$6000,$A77,Avaliacoes!$F$2:$F$6000,"II",Avaliacoes!$H$2:$H$6000,0,Avaliacoes!$G$2:$G$6000,"&lt;&gt;")*Dimensoes!$E$3)</f>
        <v/>
      </c>
      <c r="L77" s="0" t="str">
        <f aca="false">IF($A77="","",COUNTIFS(Avaliacoes!$A$2:$A$6000,$A77,Avaliacoes!$F$2:$F$6000,"III",Avaliacoes!$H$2:$H$6000,0,Avaliacoes!$G$2:$G$6000,"&lt;&gt;")*Dimensoes!$E$4)</f>
        <v/>
      </c>
      <c r="M77" s="0" t="str">
        <f aca="false">IF($A77="","",COUNTIFS(Avaliacoes!$A$2:$A$6000,$A77,Avaliacoes!$F$2:$F$6000,"IV",Avaliacoes!$H$2:$H$6000,0,Avaliacoes!$G$2:$G$6000,"&lt;&gt;")*Dimensoes!$E$5)</f>
        <v/>
      </c>
      <c r="N77" s="9" t="str">
        <f aca="false">IF($A77="","",IF(J77&gt;0,F77/J77,""))</f>
        <v/>
      </c>
      <c r="O77" s="9" t="str">
        <f aca="false">IF($A77="","",IF(K77&gt;0,G77/K77,""))</f>
        <v/>
      </c>
      <c r="P77" s="9" t="str">
        <f aca="false">IF($A77="","",IF(L77&gt;0,H77/L77,""))</f>
        <v/>
      </c>
      <c r="Q77" s="9" t="str">
        <f aca="false">IF($A77="","",IF(M77&gt;0,I77/M77,""))</f>
        <v/>
      </c>
      <c r="R77" s="17" t="str">
        <f aca="false">IF($A77="","",IF((IF(N77="",0,Dimensoes!$C$2)+IF(O77="",0,Dimensoes!$C$3)+IF(P77="",0,Dimensoes!$C$4)+IF(Q77="",0,Dimensoes!$C$5))=0,"",(IF(N77="",0,N77*Dimensoes!$C$2)+IF(O77="",0,O77*Dimensoes!$C$3)+IF(P77="",0,P77*Dimensoes!$C$4)+IF(Q77="",0,Q77*Dimensoes!$C$5))/(IF(N77="",0,Dimensoes!$C$2)+IF(O77="",0,Dimensoes!$C$3)+IF(P77="",0,Dimensoes!$C$4)+IF(Q77="",0,Dimensoes!$C$5))))</f>
        <v/>
      </c>
      <c r="S77" s="0" t="str">
        <f aca="false">IF(R77="","",IF(R77&lt;Faixas!$C$3,"vermelho",IF(R77&lt;Faixas!$C$4,"amarelo","verde")))</f>
        <v/>
      </c>
      <c r="T77" s="9" t="str">
        <f aca="false">IF($A77="","",IF(N77="",0,N77*Dimensoes!$C$2)+IF(O77="",0,O77*Dimensoes!$C$3)+IF(P77="",0,P77*Dimensoes!$C$4)+IF(Q77="",0,Q77*Dimensoes!$C$5))</f>
        <v/>
      </c>
      <c r="U77" s="0" t="str">
        <f aca="false">IF($A77="","",IF(OR(E77="concluida",E77="incompleta"),1,0))</f>
        <v/>
      </c>
    </row>
    <row r="78" customFormat="false" ht="15" hidden="false" customHeight="false" outlineLevel="0" collapsed="false">
      <c r="A78" s="0" t="str">
        <f aca="false">IF(Visitas!A78="","",Visitas!A78)</f>
        <v/>
      </c>
      <c r="B78" s="0" t="str">
        <f aca="false">IF($A78="","",Visitas!C78)</f>
        <v/>
      </c>
      <c r="C78" s="7" t="str">
        <f aca="false">IF($A78="","",Visitas!D78)</f>
        <v/>
      </c>
      <c r="D78" s="0" t="str">
        <f aca="false">IF($A78="","",Visitas!B78)</f>
        <v/>
      </c>
      <c r="E78" s="0" t="str">
        <f aca="false">IF($A78="","",Visitas!F78)</f>
        <v/>
      </c>
      <c r="F78" s="0" t="str">
        <f aca="false">IF($A78="","",SUMIFS(Avaliacoes!$G$2:$G$6000,Avaliacoes!$A$2:$A$6000,$A78,Avaliacoes!$F$2:$F$6000,"I",Avaliacoes!$H$2:$H$6000,0))</f>
        <v/>
      </c>
      <c r="G78" s="0" t="str">
        <f aca="false">IF($A78="","",SUMIFS(Avaliacoes!$G$2:$G$6000,Avaliacoes!$A$2:$A$6000,$A78,Avaliacoes!$F$2:$F$6000,"II",Avaliacoes!$H$2:$H$6000,0))</f>
        <v/>
      </c>
      <c r="H78" s="0" t="str">
        <f aca="false">IF($A78="","",SUMIFS(Avaliacoes!$G$2:$G$6000,Avaliacoes!$A$2:$A$6000,$A78,Avaliacoes!$F$2:$F$6000,"III",Avaliacoes!$H$2:$H$6000,0))</f>
        <v/>
      </c>
      <c r="I78" s="0" t="str">
        <f aca="false">IF($A78="","",SUMIFS(Avaliacoes!$G$2:$G$6000,Avaliacoes!$A$2:$A$6000,$A78,Avaliacoes!$F$2:$F$6000,"IV",Avaliacoes!$H$2:$H$6000,0))</f>
        <v/>
      </c>
      <c r="J78" s="0" t="str">
        <f aca="false">IF($A78="","",COUNTIFS(Avaliacoes!$A$2:$A$6000,$A78,Avaliacoes!$F$2:$F$6000,"I",Avaliacoes!$H$2:$H$6000,0,Avaliacoes!$G$2:$G$6000,"&lt;&gt;")*Dimensoes!$E$2)</f>
        <v/>
      </c>
      <c r="K78" s="0" t="str">
        <f aca="false">IF($A78="","",COUNTIFS(Avaliacoes!$A$2:$A$6000,$A78,Avaliacoes!$F$2:$F$6000,"II",Avaliacoes!$H$2:$H$6000,0,Avaliacoes!$G$2:$G$6000,"&lt;&gt;")*Dimensoes!$E$3)</f>
        <v/>
      </c>
      <c r="L78" s="0" t="str">
        <f aca="false">IF($A78="","",COUNTIFS(Avaliacoes!$A$2:$A$6000,$A78,Avaliacoes!$F$2:$F$6000,"III",Avaliacoes!$H$2:$H$6000,0,Avaliacoes!$G$2:$G$6000,"&lt;&gt;")*Dimensoes!$E$4)</f>
        <v/>
      </c>
      <c r="M78" s="0" t="str">
        <f aca="false">IF($A78="","",COUNTIFS(Avaliacoes!$A$2:$A$6000,$A78,Avaliacoes!$F$2:$F$6000,"IV",Avaliacoes!$H$2:$H$6000,0,Avaliacoes!$G$2:$G$6000,"&lt;&gt;")*Dimensoes!$E$5)</f>
        <v/>
      </c>
      <c r="N78" s="9" t="str">
        <f aca="false">IF($A78="","",IF(J78&gt;0,F78/J78,""))</f>
        <v/>
      </c>
      <c r="O78" s="9" t="str">
        <f aca="false">IF($A78="","",IF(K78&gt;0,G78/K78,""))</f>
        <v/>
      </c>
      <c r="P78" s="9" t="str">
        <f aca="false">IF($A78="","",IF(L78&gt;0,H78/L78,""))</f>
        <v/>
      </c>
      <c r="Q78" s="9" t="str">
        <f aca="false">IF($A78="","",IF(M78&gt;0,I78/M78,""))</f>
        <v/>
      </c>
      <c r="R78" s="17" t="str">
        <f aca="false">IF($A78="","",IF((IF(N78="",0,Dimensoes!$C$2)+IF(O78="",0,Dimensoes!$C$3)+IF(P78="",0,Dimensoes!$C$4)+IF(Q78="",0,Dimensoes!$C$5))=0,"",(IF(N78="",0,N78*Dimensoes!$C$2)+IF(O78="",0,O78*Dimensoes!$C$3)+IF(P78="",0,P78*Dimensoes!$C$4)+IF(Q78="",0,Q78*Dimensoes!$C$5))/(IF(N78="",0,Dimensoes!$C$2)+IF(O78="",0,Dimensoes!$C$3)+IF(P78="",0,Dimensoes!$C$4)+IF(Q78="",0,Dimensoes!$C$5))))</f>
        <v/>
      </c>
      <c r="S78" s="0" t="str">
        <f aca="false">IF(R78="","",IF(R78&lt;Faixas!$C$3,"vermelho",IF(R78&lt;Faixas!$C$4,"amarelo","verde")))</f>
        <v/>
      </c>
      <c r="T78" s="9" t="str">
        <f aca="false">IF($A78="","",IF(N78="",0,N78*Dimensoes!$C$2)+IF(O78="",0,O78*Dimensoes!$C$3)+IF(P78="",0,P78*Dimensoes!$C$4)+IF(Q78="",0,Q78*Dimensoes!$C$5))</f>
        <v/>
      </c>
      <c r="U78" s="0" t="str">
        <f aca="false">IF($A78="","",IF(OR(E78="concluida",E78="incompleta"),1,0))</f>
        <v/>
      </c>
    </row>
    <row r="79" customFormat="false" ht="15" hidden="false" customHeight="false" outlineLevel="0" collapsed="false">
      <c r="A79" s="0" t="str">
        <f aca="false">IF(Visitas!A79="","",Visitas!A79)</f>
        <v/>
      </c>
      <c r="B79" s="0" t="str">
        <f aca="false">IF($A79="","",Visitas!C79)</f>
        <v/>
      </c>
      <c r="C79" s="7" t="str">
        <f aca="false">IF($A79="","",Visitas!D79)</f>
        <v/>
      </c>
      <c r="D79" s="0" t="str">
        <f aca="false">IF($A79="","",Visitas!B79)</f>
        <v/>
      </c>
      <c r="E79" s="0" t="str">
        <f aca="false">IF($A79="","",Visitas!F79)</f>
        <v/>
      </c>
      <c r="F79" s="0" t="str">
        <f aca="false">IF($A79="","",SUMIFS(Avaliacoes!$G$2:$G$6000,Avaliacoes!$A$2:$A$6000,$A79,Avaliacoes!$F$2:$F$6000,"I",Avaliacoes!$H$2:$H$6000,0))</f>
        <v/>
      </c>
      <c r="G79" s="0" t="str">
        <f aca="false">IF($A79="","",SUMIFS(Avaliacoes!$G$2:$G$6000,Avaliacoes!$A$2:$A$6000,$A79,Avaliacoes!$F$2:$F$6000,"II",Avaliacoes!$H$2:$H$6000,0))</f>
        <v/>
      </c>
      <c r="H79" s="0" t="str">
        <f aca="false">IF($A79="","",SUMIFS(Avaliacoes!$G$2:$G$6000,Avaliacoes!$A$2:$A$6000,$A79,Avaliacoes!$F$2:$F$6000,"III",Avaliacoes!$H$2:$H$6000,0))</f>
        <v/>
      </c>
      <c r="I79" s="0" t="str">
        <f aca="false">IF($A79="","",SUMIFS(Avaliacoes!$G$2:$G$6000,Avaliacoes!$A$2:$A$6000,$A79,Avaliacoes!$F$2:$F$6000,"IV",Avaliacoes!$H$2:$H$6000,0))</f>
        <v/>
      </c>
      <c r="J79" s="0" t="str">
        <f aca="false">IF($A79="","",COUNTIFS(Avaliacoes!$A$2:$A$6000,$A79,Avaliacoes!$F$2:$F$6000,"I",Avaliacoes!$H$2:$H$6000,0,Avaliacoes!$G$2:$G$6000,"&lt;&gt;")*Dimensoes!$E$2)</f>
        <v/>
      </c>
      <c r="K79" s="0" t="str">
        <f aca="false">IF($A79="","",COUNTIFS(Avaliacoes!$A$2:$A$6000,$A79,Avaliacoes!$F$2:$F$6000,"II",Avaliacoes!$H$2:$H$6000,0,Avaliacoes!$G$2:$G$6000,"&lt;&gt;")*Dimensoes!$E$3)</f>
        <v/>
      </c>
      <c r="L79" s="0" t="str">
        <f aca="false">IF($A79="","",COUNTIFS(Avaliacoes!$A$2:$A$6000,$A79,Avaliacoes!$F$2:$F$6000,"III",Avaliacoes!$H$2:$H$6000,0,Avaliacoes!$G$2:$G$6000,"&lt;&gt;")*Dimensoes!$E$4)</f>
        <v/>
      </c>
      <c r="M79" s="0" t="str">
        <f aca="false">IF($A79="","",COUNTIFS(Avaliacoes!$A$2:$A$6000,$A79,Avaliacoes!$F$2:$F$6000,"IV",Avaliacoes!$H$2:$H$6000,0,Avaliacoes!$G$2:$G$6000,"&lt;&gt;")*Dimensoes!$E$5)</f>
        <v/>
      </c>
      <c r="N79" s="9" t="str">
        <f aca="false">IF($A79="","",IF(J79&gt;0,F79/J79,""))</f>
        <v/>
      </c>
      <c r="O79" s="9" t="str">
        <f aca="false">IF($A79="","",IF(K79&gt;0,G79/K79,""))</f>
        <v/>
      </c>
      <c r="P79" s="9" t="str">
        <f aca="false">IF($A79="","",IF(L79&gt;0,H79/L79,""))</f>
        <v/>
      </c>
      <c r="Q79" s="9" t="str">
        <f aca="false">IF($A79="","",IF(M79&gt;0,I79/M79,""))</f>
        <v/>
      </c>
      <c r="R79" s="17" t="str">
        <f aca="false">IF($A79="","",IF((IF(N79="",0,Dimensoes!$C$2)+IF(O79="",0,Dimensoes!$C$3)+IF(P79="",0,Dimensoes!$C$4)+IF(Q79="",0,Dimensoes!$C$5))=0,"",(IF(N79="",0,N79*Dimensoes!$C$2)+IF(O79="",0,O79*Dimensoes!$C$3)+IF(P79="",0,P79*Dimensoes!$C$4)+IF(Q79="",0,Q79*Dimensoes!$C$5))/(IF(N79="",0,Dimensoes!$C$2)+IF(O79="",0,Dimensoes!$C$3)+IF(P79="",0,Dimensoes!$C$4)+IF(Q79="",0,Dimensoes!$C$5))))</f>
        <v/>
      </c>
      <c r="S79" s="0" t="str">
        <f aca="false">IF(R79="","",IF(R79&lt;Faixas!$C$3,"vermelho",IF(R79&lt;Faixas!$C$4,"amarelo","verde")))</f>
        <v/>
      </c>
      <c r="T79" s="9" t="str">
        <f aca="false">IF($A79="","",IF(N79="",0,N79*Dimensoes!$C$2)+IF(O79="",0,O79*Dimensoes!$C$3)+IF(P79="",0,P79*Dimensoes!$C$4)+IF(Q79="",0,Q79*Dimensoes!$C$5))</f>
        <v/>
      </c>
      <c r="U79" s="0" t="str">
        <f aca="false">IF($A79="","",IF(OR(E79="concluida",E79="incompleta"),1,0))</f>
        <v/>
      </c>
    </row>
    <row r="80" customFormat="false" ht="15" hidden="false" customHeight="false" outlineLevel="0" collapsed="false">
      <c r="A80" s="0" t="str">
        <f aca="false">IF(Visitas!A80="","",Visitas!A80)</f>
        <v/>
      </c>
      <c r="B80" s="0" t="str">
        <f aca="false">IF($A80="","",Visitas!C80)</f>
        <v/>
      </c>
      <c r="C80" s="7" t="str">
        <f aca="false">IF($A80="","",Visitas!D80)</f>
        <v/>
      </c>
      <c r="D80" s="0" t="str">
        <f aca="false">IF($A80="","",Visitas!B80)</f>
        <v/>
      </c>
      <c r="E80" s="0" t="str">
        <f aca="false">IF($A80="","",Visitas!F80)</f>
        <v/>
      </c>
      <c r="F80" s="0" t="str">
        <f aca="false">IF($A80="","",SUMIFS(Avaliacoes!$G$2:$G$6000,Avaliacoes!$A$2:$A$6000,$A80,Avaliacoes!$F$2:$F$6000,"I",Avaliacoes!$H$2:$H$6000,0))</f>
        <v/>
      </c>
      <c r="G80" s="0" t="str">
        <f aca="false">IF($A80="","",SUMIFS(Avaliacoes!$G$2:$G$6000,Avaliacoes!$A$2:$A$6000,$A80,Avaliacoes!$F$2:$F$6000,"II",Avaliacoes!$H$2:$H$6000,0))</f>
        <v/>
      </c>
      <c r="H80" s="0" t="str">
        <f aca="false">IF($A80="","",SUMIFS(Avaliacoes!$G$2:$G$6000,Avaliacoes!$A$2:$A$6000,$A80,Avaliacoes!$F$2:$F$6000,"III",Avaliacoes!$H$2:$H$6000,0))</f>
        <v/>
      </c>
      <c r="I80" s="0" t="str">
        <f aca="false">IF($A80="","",SUMIFS(Avaliacoes!$G$2:$G$6000,Avaliacoes!$A$2:$A$6000,$A80,Avaliacoes!$F$2:$F$6000,"IV",Avaliacoes!$H$2:$H$6000,0))</f>
        <v/>
      </c>
      <c r="J80" s="0" t="str">
        <f aca="false">IF($A80="","",COUNTIFS(Avaliacoes!$A$2:$A$6000,$A80,Avaliacoes!$F$2:$F$6000,"I",Avaliacoes!$H$2:$H$6000,0,Avaliacoes!$G$2:$G$6000,"&lt;&gt;")*Dimensoes!$E$2)</f>
        <v/>
      </c>
      <c r="K80" s="0" t="str">
        <f aca="false">IF($A80="","",COUNTIFS(Avaliacoes!$A$2:$A$6000,$A80,Avaliacoes!$F$2:$F$6000,"II",Avaliacoes!$H$2:$H$6000,0,Avaliacoes!$G$2:$G$6000,"&lt;&gt;")*Dimensoes!$E$3)</f>
        <v/>
      </c>
      <c r="L80" s="0" t="str">
        <f aca="false">IF($A80="","",COUNTIFS(Avaliacoes!$A$2:$A$6000,$A80,Avaliacoes!$F$2:$F$6000,"III",Avaliacoes!$H$2:$H$6000,0,Avaliacoes!$G$2:$G$6000,"&lt;&gt;")*Dimensoes!$E$4)</f>
        <v/>
      </c>
      <c r="M80" s="0" t="str">
        <f aca="false">IF($A80="","",COUNTIFS(Avaliacoes!$A$2:$A$6000,$A80,Avaliacoes!$F$2:$F$6000,"IV",Avaliacoes!$H$2:$H$6000,0,Avaliacoes!$G$2:$G$6000,"&lt;&gt;")*Dimensoes!$E$5)</f>
        <v/>
      </c>
      <c r="N80" s="9" t="str">
        <f aca="false">IF($A80="","",IF(J80&gt;0,F80/J80,""))</f>
        <v/>
      </c>
      <c r="O80" s="9" t="str">
        <f aca="false">IF($A80="","",IF(K80&gt;0,G80/K80,""))</f>
        <v/>
      </c>
      <c r="P80" s="9" t="str">
        <f aca="false">IF($A80="","",IF(L80&gt;0,H80/L80,""))</f>
        <v/>
      </c>
      <c r="Q80" s="9" t="str">
        <f aca="false">IF($A80="","",IF(M80&gt;0,I80/M80,""))</f>
        <v/>
      </c>
      <c r="R80" s="17" t="str">
        <f aca="false">IF($A80="","",IF((IF(N80="",0,Dimensoes!$C$2)+IF(O80="",0,Dimensoes!$C$3)+IF(P80="",0,Dimensoes!$C$4)+IF(Q80="",0,Dimensoes!$C$5))=0,"",(IF(N80="",0,N80*Dimensoes!$C$2)+IF(O80="",0,O80*Dimensoes!$C$3)+IF(P80="",0,P80*Dimensoes!$C$4)+IF(Q80="",0,Q80*Dimensoes!$C$5))/(IF(N80="",0,Dimensoes!$C$2)+IF(O80="",0,Dimensoes!$C$3)+IF(P80="",0,Dimensoes!$C$4)+IF(Q80="",0,Dimensoes!$C$5))))</f>
        <v/>
      </c>
      <c r="S80" s="0" t="str">
        <f aca="false">IF(R80="","",IF(R80&lt;Faixas!$C$3,"vermelho",IF(R80&lt;Faixas!$C$4,"amarelo","verde")))</f>
        <v/>
      </c>
      <c r="T80" s="9" t="str">
        <f aca="false">IF($A80="","",IF(N80="",0,N80*Dimensoes!$C$2)+IF(O80="",0,O80*Dimensoes!$C$3)+IF(P80="",0,P80*Dimensoes!$C$4)+IF(Q80="",0,Q80*Dimensoes!$C$5))</f>
        <v/>
      </c>
      <c r="U80" s="0" t="str">
        <f aca="false">IF($A80="","",IF(OR(E80="concluida",E80="incompleta"),1,0))</f>
        <v/>
      </c>
    </row>
    <row r="81" customFormat="false" ht="15" hidden="false" customHeight="false" outlineLevel="0" collapsed="false">
      <c r="A81" s="0" t="str">
        <f aca="false">IF(Visitas!A81="","",Visitas!A81)</f>
        <v/>
      </c>
      <c r="B81" s="0" t="str">
        <f aca="false">IF($A81="","",Visitas!C81)</f>
        <v/>
      </c>
      <c r="C81" s="7" t="str">
        <f aca="false">IF($A81="","",Visitas!D81)</f>
        <v/>
      </c>
      <c r="D81" s="0" t="str">
        <f aca="false">IF($A81="","",Visitas!B81)</f>
        <v/>
      </c>
      <c r="E81" s="0" t="str">
        <f aca="false">IF($A81="","",Visitas!F81)</f>
        <v/>
      </c>
      <c r="F81" s="0" t="str">
        <f aca="false">IF($A81="","",SUMIFS(Avaliacoes!$G$2:$G$6000,Avaliacoes!$A$2:$A$6000,$A81,Avaliacoes!$F$2:$F$6000,"I",Avaliacoes!$H$2:$H$6000,0))</f>
        <v/>
      </c>
      <c r="G81" s="0" t="str">
        <f aca="false">IF($A81="","",SUMIFS(Avaliacoes!$G$2:$G$6000,Avaliacoes!$A$2:$A$6000,$A81,Avaliacoes!$F$2:$F$6000,"II",Avaliacoes!$H$2:$H$6000,0))</f>
        <v/>
      </c>
      <c r="H81" s="0" t="str">
        <f aca="false">IF($A81="","",SUMIFS(Avaliacoes!$G$2:$G$6000,Avaliacoes!$A$2:$A$6000,$A81,Avaliacoes!$F$2:$F$6000,"III",Avaliacoes!$H$2:$H$6000,0))</f>
        <v/>
      </c>
      <c r="I81" s="0" t="str">
        <f aca="false">IF($A81="","",SUMIFS(Avaliacoes!$G$2:$G$6000,Avaliacoes!$A$2:$A$6000,$A81,Avaliacoes!$F$2:$F$6000,"IV",Avaliacoes!$H$2:$H$6000,0))</f>
        <v/>
      </c>
      <c r="J81" s="0" t="str">
        <f aca="false">IF($A81="","",COUNTIFS(Avaliacoes!$A$2:$A$6000,$A81,Avaliacoes!$F$2:$F$6000,"I",Avaliacoes!$H$2:$H$6000,0,Avaliacoes!$G$2:$G$6000,"&lt;&gt;")*Dimensoes!$E$2)</f>
        <v/>
      </c>
      <c r="K81" s="0" t="str">
        <f aca="false">IF($A81="","",COUNTIFS(Avaliacoes!$A$2:$A$6000,$A81,Avaliacoes!$F$2:$F$6000,"II",Avaliacoes!$H$2:$H$6000,0,Avaliacoes!$G$2:$G$6000,"&lt;&gt;")*Dimensoes!$E$3)</f>
        <v/>
      </c>
      <c r="L81" s="0" t="str">
        <f aca="false">IF($A81="","",COUNTIFS(Avaliacoes!$A$2:$A$6000,$A81,Avaliacoes!$F$2:$F$6000,"III",Avaliacoes!$H$2:$H$6000,0,Avaliacoes!$G$2:$G$6000,"&lt;&gt;")*Dimensoes!$E$4)</f>
        <v/>
      </c>
      <c r="M81" s="0" t="str">
        <f aca="false">IF($A81="","",COUNTIFS(Avaliacoes!$A$2:$A$6000,$A81,Avaliacoes!$F$2:$F$6000,"IV",Avaliacoes!$H$2:$H$6000,0,Avaliacoes!$G$2:$G$6000,"&lt;&gt;")*Dimensoes!$E$5)</f>
        <v/>
      </c>
      <c r="N81" s="9" t="str">
        <f aca="false">IF($A81="","",IF(J81&gt;0,F81/J81,""))</f>
        <v/>
      </c>
      <c r="O81" s="9" t="str">
        <f aca="false">IF($A81="","",IF(K81&gt;0,G81/K81,""))</f>
        <v/>
      </c>
      <c r="P81" s="9" t="str">
        <f aca="false">IF($A81="","",IF(L81&gt;0,H81/L81,""))</f>
        <v/>
      </c>
      <c r="Q81" s="9" t="str">
        <f aca="false">IF($A81="","",IF(M81&gt;0,I81/M81,""))</f>
        <v/>
      </c>
      <c r="R81" s="17" t="str">
        <f aca="false">IF($A81="","",IF((IF(N81="",0,Dimensoes!$C$2)+IF(O81="",0,Dimensoes!$C$3)+IF(P81="",0,Dimensoes!$C$4)+IF(Q81="",0,Dimensoes!$C$5))=0,"",(IF(N81="",0,N81*Dimensoes!$C$2)+IF(O81="",0,O81*Dimensoes!$C$3)+IF(P81="",0,P81*Dimensoes!$C$4)+IF(Q81="",0,Q81*Dimensoes!$C$5))/(IF(N81="",0,Dimensoes!$C$2)+IF(O81="",0,Dimensoes!$C$3)+IF(P81="",0,Dimensoes!$C$4)+IF(Q81="",0,Dimensoes!$C$5))))</f>
        <v/>
      </c>
      <c r="S81" s="0" t="str">
        <f aca="false">IF(R81="","",IF(R81&lt;Faixas!$C$3,"vermelho",IF(R81&lt;Faixas!$C$4,"amarelo","verde")))</f>
        <v/>
      </c>
      <c r="T81" s="9" t="str">
        <f aca="false">IF($A81="","",IF(N81="",0,N81*Dimensoes!$C$2)+IF(O81="",0,O81*Dimensoes!$C$3)+IF(P81="",0,P81*Dimensoes!$C$4)+IF(Q81="",0,Q81*Dimensoes!$C$5))</f>
        <v/>
      </c>
      <c r="U81" s="0" t="str">
        <f aca="false">IF($A81="","",IF(OR(E81="concluida",E81="incompleta"),1,0))</f>
        <v/>
      </c>
    </row>
    <row r="82" customFormat="false" ht="15" hidden="false" customHeight="false" outlineLevel="0" collapsed="false">
      <c r="A82" s="0" t="str">
        <f aca="false">IF(Visitas!A82="","",Visitas!A82)</f>
        <v/>
      </c>
      <c r="B82" s="0" t="str">
        <f aca="false">IF($A82="","",Visitas!C82)</f>
        <v/>
      </c>
      <c r="C82" s="7" t="str">
        <f aca="false">IF($A82="","",Visitas!D82)</f>
        <v/>
      </c>
      <c r="D82" s="0" t="str">
        <f aca="false">IF($A82="","",Visitas!B82)</f>
        <v/>
      </c>
      <c r="E82" s="0" t="str">
        <f aca="false">IF($A82="","",Visitas!F82)</f>
        <v/>
      </c>
      <c r="F82" s="0" t="str">
        <f aca="false">IF($A82="","",SUMIFS(Avaliacoes!$G$2:$G$6000,Avaliacoes!$A$2:$A$6000,$A82,Avaliacoes!$F$2:$F$6000,"I",Avaliacoes!$H$2:$H$6000,0))</f>
        <v/>
      </c>
      <c r="G82" s="0" t="str">
        <f aca="false">IF($A82="","",SUMIFS(Avaliacoes!$G$2:$G$6000,Avaliacoes!$A$2:$A$6000,$A82,Avaliacoes!$F$2:$F$6000,"II",Avaliacoes!$H$2:$H$6000,0))</f>
        <v/>
      </c>
      <c r="H82" s="0" t="str">
        <f aca="false">IF($A82="","",SUMIFS(Avaliacoes!$G$2:$G$6000,Avaliacoes!$A$2:$A$6000,$A82,Avaliacoes!$F$2:$F$6000,"III",Avaliacoes!$H$2:$H$6000,0))</f>
        <v/>
      </c>
      <c r="I82" s="0" t="str">
        <f aca="false">IF($A82="","",SUMIFS(Avaliacoes!$G$2:$G$6000,Avaliacoes!$A$2:$A$6000,$A82,Avaliacoes!$F$2:$F$6000,"IV",Avaliacoes!$H$2:$H$6000,0))</f>
        <v/>
      </c>
      <c r="J82" s="0" t="str">
        <f aca="false">IF($A82="","",COUNTIFS(Avaliacoes!$A$2:$A$6000,$A82,Avaliacoes!$F$2:$F$6000,"I",Avaliacoes!$H$2:$H$6000,0,Avaliacoes!$G$2:$G$6000,"&lt;&gt;")*Dimensoes!$E$2)</f>
        <v/>
      </c>
      <c r="K82" s="0" t="str">
        <f aca="false">IF($A82="","",COUNTIFS(Avaliacoes!$A$2:$A$6000,$A82,Avaliacoes!$F$2:$F$6000,"II",Avaliacoes!$H$2:$H$6000,0,Avaliacoes!$G$2:$G$6000,"&lt;&gt;")*Dimensoes!$E$3)</f>
        <v/>
      </c>
      <c r="L82" s="0" t="str">
        <f aca="false">IF($A82="","",COUNTIFS(Avaliacoes!$A$2:$A$6000,$A82,Avaliacoes!$F$2:$F$6000,"III",Avaliacoes!$H$2:$H$6000,0,Avaliacoes!$G$2:$G$6000,"&lt;&gt;")*Dimensoes!$E$4)</f>
        <v/>
      </c>
      <c r="M82" s="0" t="str">
        <f aca="false">IF($A82="","",COUNTIFS(Avaliacoes!$A$2:$A$6000,$A82,Avaliacoes!$F$2:$F$6000,"IV",Avaliacoes!$H$2:$H$6000,0,Avaliacoes!$G$2:$G$6000,"&lt;&gt;")*Dimensoes!$E$5)</f>
        <v/>
      </c>
      <c r="N82" s="9" t="str">
        <f aca="false">IF($A82="","",IF(J82&gt;0,F82/J82,""))</f>
        <v/>
      </c>
      <c r="O82" s="9" t="str">
        <f aca="false">IF($A82="","",IF(K82&gt;0,G82/K82,""))</f>
        <v/>
      </c>
      <c r="P82" s="9" t="str">
        <f aca="false">IF($A82="","",IF(L82&gt;0,H82/L82,""))</f>
        <v/>
      </c>
      <c r="Q82" s="9" t="str">
        <f aca="false">IF($A82="","",IF(M82&gt;0,I82/M82,""))</f>
        <v/>
      </c>
      <c r="R82" s="17" t="str">
        <f aca="false">IF($A82="","",IF((IF(N82="",0,Dimensoes!$C$2)+IF(O82="",0,Dimensoes!$C$3)+IF(P82="",0,Dimensoes!$C$4)+IF(Q82="",0,Dimensoes!$C$5))=0,"",(IF(N82="",0,N82*Dimensoes!$C$2)+IF(O82="",0,O82*Dimensoes!$C$3)+IF(P82="",0,P82*Dimensoes!$C$4)+IF(Q82="",0,Q82*Dimensoes!$C$5))/(IF(N82="",0,Dimensoes!$C$2)+IF(O82="",0,Dimensoes!$C$3)+IF(P82="",0,Dimensoes!$C$4)+IF(Q82="",0,Dimensoes!$C$5))))</f>
        <v/>
      </c>
      <c r="S82" s="0" t="str">
        <f aca="false">IF(R82="","",IF(R82&lt;Faixas!$C$3,"vermelho",IF(R82&lt;Faixas!$C$4,"amarelo","verde")))</f>
        <v/>
      </c>
      <c r="T82" s="9" t="str">
        <f aca="false">IF($A82="","",IF(N82="",0,N82*Dimensoes!$C$2)+IF(O82="",0,O82*Dimensoes!$C$3)+IF(P82="",0,P82*Dimensoes!$C$4)+IF(Q82="",0,Q82*Dimensoes!$C$5))</f>
        <v/>
      </c>
      <c r="U82" s="0" t="str">
        <f aca="false">IF($A82="","",IF(OR(E82="concluida",E82="incompleta"),1,0))</f>
        <v/>
      </c>
    </row>
    <row r="83" customFormat="false" ht="15" hidden="false" customHeight="false" outlineLevel="0" collapsed="false">
      <c r="A83" s="0" t="str">
        <f aca="false">IF(Visitas!A83="","",Visitas!A83)</f>
        <v/>
      </c>
      <c r="B83" s="0" t="str">
        <f aca="false">IF($A83="","",Visitas!C83)</f>
        <v/>
      </c>
      <c r="C83" s="7" t="str">
        <f aca="false">IF($A83="","",Visitas!D83)</f>
        <v/>
      </c>
      <c r="D83" s="0" t="str">
        <f aca="false">IF($A83="","",Visitas!B83)</f>
        <v/>
      </c>
      <c r="E83" s="0" t="str">
        <f aca="false">IF($A83="","",Visitas!F83)</f>
        <v/>
      </c>
      <c r="F83" s="0" t="str">
        <f aca="false">IF($A83="","",SUMIFS(Avaliacoes!$G$2:$G$6000,Avaliacoes!$A$2:$A$6000,$A83,Avaliacoes!$F$2:$F$6000,"I",Avaliacoes!$H$2:$H$6000,0))</f>
        <v/>
      </c>
      <c r="G83" s="0" t="str">
        <f aca="false">IF($A83="","",SUMIFS(Avaliacoes!$G$2:$G$6000,Avaliacoes!$A$2:$A$6000,$A83,Avaliacoes!$F$2:$F$6000,"II",Avaliacoes!$H$2:$H$6000,0))</f>
        <v/>
      </c>
      <c r="H83" s="0" t="str">
        <f aca="false">IF($A83="","",SUMIFS(Avaliacoes!$G$2:$G$6000,Avaliacoes!$A$2:$A$6000,$A83,Avaliacoes!$F$2:$F$6000,"III",Avaliacoes!$H$2:$H$6000,0))</f>
        <v/>
      </c>
      <c r="I83" s="0" t="str">
        <f aca="false">IF($A83="","",SUMIFS(Avaliacoes!$G$2:$G$6000,Avaliacoes!$A$2:$A$6000,$A83,Avaliacoes!$F$2:$F$6000,"IV",Avaliacoes!$H$2:$H$6000,0))</f>
        <v/>
      </c>
      <c r="J83" s="0" t="str">
        <f aca="false">IF($A83="","",COUNTIFS(Avaliacoes!$A$2:$A$6000,$A83,Avaliacoes!$F$2:$F$6000,"I",Avaliacoes!$H$2:$H$6000,0,Avaliacoes!$G$2:$G$6000,"&lt;&gt;")*Dimensoes!$E$2)</f>
        <v/>
      </c>
      <c r="K83" s="0" t="str">
        <f aca="false">IF($A83="","",COUNTIFS(Avaliacoes!$A$2:$A$6000,$A83,Avaliacoes!$F$2:$F$6000,"II",Avaliacoes!$H$2:$H$6000,0,Avaliacoes!$G$2:$G$6000,"&lt;&gt;")*Dimensoes!$E$3)</f>
        <v/>
      </c>
      <c r="L83" s="0" t="str">
        <f aca="false">IF($A83="","",COUNTIFS(Avaliacoes!$A$2:$A$6000,$A83,Avaliacoes!$F$2:$F$6000,"III",Avaliacoes!$H$2:$H$6000,0,Avaliacoes!$G$2:$G$6000,"&lt;&gt;")*Dimensoes!$E$4)</f>
        <v/>
      </c>
      <c r="M83" s="0" t="str">
        <f aca="false">IF($A83="","",COUNTIFS(Avaliacoes!$A$2:$A$6000,$A83,Avaliacoes!$F$2:$F$6000,"IV",Avaliacoes!$H$2:$H$6000,0,Avaliacoes!$G$2:$G$6000,"&lt;&gt;")*Dimensoes!$E$5)</f>
        <v/>
      </c>
      <c r="N83" s="9" t="str">
        <f aca="false">IF($A83="","",IF(J83&gt;0,F83/J83,""))</f>
        <v/>
      </c>
      <c r="O83" s="9" t="str">
        <f aca="false">IF($A83="","",IF(K83&gt;0,G83/K83,""))</f>
        <v/>
      </c>
      <c r="P83" s="9" t="str">
        <f aca="false">IF($A83="","",IF(L83&gt;0,H83/L83,""))</f>
        <v/>
      </c>
      <c r="Q83" s="9" t="str">
        <f aca="false">IF($A83="","",IF(M83&gt;0,I83/M83,""))</f>
        <v/>
      </c>
      <c r="R83" s="17" t="str">
        <f aca="false">IF($A83="","",IF((IF(N83="",0,Dimensoes!$C$2)+IF(O83="",0,Dimensoes!$C$3)+IF(P83="",0,Dimensoes!$C$4)+IF(Q83="",0,Dimensoes!$C$5))=0,"",(IF(N83="",0,N83*Dimensoes!$C$2)+IF(O83="",0,O83*Dimensoes!$C$3)+IF(P83="",0,P83*Dimensoes!$C$4)+IF(Q83="",0,Q83*Dimensoes!$C$5))/(IF(N83="",0,Dimensoes!$C$2)+IF(O83="",0,Dimensoes!$C$3)+IF(P83="",0,Dimensoes!$C$4)+IF(Q83="",0,Dimensoes!$C$5))))</f>
        <v/>
      </c>
      <c r="S83" s="0" t="str">
        <f aca="false">IF(R83="","",IF(R83&lt;Faixas!$C$3,"vermelho",IF(R83&lt;Faixas!$C$4,"amarelo","verde")))</f>
        <v/>
      </c>
      <c r="T83" s="9" t="str">
        <f aca="false">IF($A83="","",IF(N83="",0,N83*Dimensoes!$C$2)+IF(O83="",0,O83*Dimensoes!$C$3)+IF(P83="",0,P83*Dimensoes!$C$4)+IF(Q83="",0,Q83*Dimensoes!$C$5))</f>
        <v/>
      </c>
      <c r="U83" s="0" t="str">
        <f aca="false">IF($A83="","",IF(OR(E83="concluida",E83="incompleta"),1,0))</f>
        <v/>
      </c>
    </row>
    <row r="84" customFormat="false" ht="15" hidden="false" customHeight="false" outlineLevel="0" collapsed="false">
      <c r="A84" s="0" t="str">
        <f aca="false">IF(Visitas!A84="","",Visitas!A84)</f>
        <v/>
      </c>
      <c r="B84" s="0" t="str">
        <f aca="false">IF($A84="","",Visitas!C84)</f>
        <v/>
      </c>
      <c r="C84" s="7" t="str">
        <f aca="false">IF($A84="","",Visitas!D84)</f>
        <v/>
      </c>
      <c r="D84" s="0" t="str">
        <f aca="false">IF($A84="","",Visitas!B84)</f>
        <v/>
      </c>
      <c r="E84" s="0" t="str">
        <f aca="false">IF($A84="","",Visitas!F84)</f>
        <v/>
      </c>
      <c r="F84" s="0" t="str">
        <f aca="false">IF($A84="","",SUMIFS(Avaliacoes!$G$2:$G$6000,Avaliacoes!$A$2:$A$6000,$A84,Avaliacoes!$F$2:$F$6000,"I",Avaliacoes!$H$2:$H$6000,0))</f>
        <v/>
      </c>
      <c r="G84" s="0" t="str">
        <f aca="false">IF($A84="","",SUMIFS(Avaliacoes!$G$2:$G$6000,Avaliacoes!$A$2:$A$6000,$A84,Avaliacoes!$F$2:$F$6000,"II",Avaliacoes!$H$2:$H$6000,0))</f>
        <v/>
      </c>
      <c r="H84" s="0" t="str">
        <f aca="false">IF($A84="","",SUMIFS(Avaliacoes!$G$2:$G$6000,Avaliacoes!$A$2:$A$6000,$A84,Avaliacoes!$F$2:$F$6000,"III",Avaliacoes!$H$2:$H$6000,0))</f>
        <v/>
      </c>
      <c r="I84" s="0" t="str">
        <f aca="false">IF($A84="","",SUMIFS(Avaliacoes!$G$2:$G$6000,Avaliacoes!$A$2:$A$6000,$A84,Avaliacoes!$F$2:$F$6000,"IV",Avaliacoes!$H$2:$H$6000,0))</f>
        <v/>
      </c>
      <c r="J84" s="0" t="str">
        <f aca="false">IF($A84="","",COUNTIFS(Avaliacoes!$A$2:$A$6000,$A84,Avaliacoes!$F$2:$F$6000,"I",Avaliacoes!$H$2:$H$6000,0,Avaliacoes!$G$2:$G$6000,"&lt;&gt;")*Dimensoes!$E$2)</f>
        <v/>
      </c>
      <c r="K84" s="0" t="str">
        <f aca="false">IF($A84="","",COUNTIFS(Avaliacoes!$A$2:$A$6000,$A84,Avaliacoes!$F$2:$F$6000,"II",Avaliacoes!$H$2:$H$6000,0,Avaliacoes!$G$2:$G$6000,"&lt;&gt;")*Dimensoes!$E$3)</f>
        <v/>
      </c>
      <c r="L84" s="0" t="str">
        <f aca="false">IF($A84="","",COUNTIFS(Avaliacoes!$A$2:$A$6000,$A84,Avaliacoes!$F$2:$F$6000,"III",Avaliacoes!$H$2:$H$6000,0,Avaliacoes!$G$2:$G$6000,"&lt;&gt;")*Dimensoes!$E$4)</f>
        <v/>
      </c>
      <c r="M84" s="0" t="str">
        <f aca="false">IF($A84="","",COUNTIFS(Avaliacoes!$A$2:$A$6000,$A84,Avaliacoes!$F$2:$F$6000,"IV",Avaliacoes!$H$2:$H$6000,0,Avaliacoes!$G$2:$G$6000,"&lt;&gt;")*Dimensoes!$E$5)</f>
        <v/>
      </c>
      <c r="N84" s="9" t="str">
        <f aca="false">IF($A84="","",IF(J84&gt;0,F84/J84,""))</f>
        <v/>
      </c>
      <c r="O84" s="9" t="str">
        <f aca="false">IF($A84="","",IF(K84&gt;0,G84/K84,""))</f>
        <v/>
      </c>
      <c r="P84" s="9" t="str">
        <f aca="false">IF($A84="","",IF(L84&gt;0,H84/L84,""))</f>
        <v/>
      </c>
      <c r="Q84" s="9" t="str">
        <f aca="false">IF($A84="","",IF(M84&gt;0,I84/M84,""))</f>
        <v/>
      </c>
      <c r="R84" s="17" t="str">
        <f aca="false">IF($A84="","",IF((IF(N84="",0,Dimensoes!$C$2)+IF(O84="",0,Dimensoes!$C$3)+IF(P84="",0,Dimensoes!$C$4)+IF(Q84="",0,Dimensoes!$C$5))=0,"",(IF(N84="",0,N84*Dimensoes!$C$2)+IF(O84="",0,O84*Dimensoes!$C$3)+IF(P84="",0,P84*Dimensoes!$C$4)+IF(Q84="",0,Q84*Dimensoes!$C$5))/(IF(N84="",0,Dimensoes!$C$2)+IF(O84="",0,Dimensoes!$C$3)+IF(P84="",0,Dimensoes!$C$4)+IF(Q84="",0,Dimensoes!$C$5))))</f>
        <v/>
      </c>
      <c r="S84" s="0" t="str">
        <f aca="false">IF(R84="","",IF(R84&lt;Faixas!$C$3,"vermelho",IF(R84&lt;Faixas!$C$4,"amarelo","verde")))</f>
        <v/>
      </c>
      <c r="T84" s="9" t="str">
        <f aca="false">IF($A84="","",IF(N84="",0,N84*Dimensoes!$C$2)+IF(O84="",0,O84*Dimensoes!$C$3)+IF(P84="",0,P84*Dimensoes!$C$4)+IF(Q84="",0,Q84*Dimensoes!$C$5))</f>
        <v/>
      </c>
      <c r="U84" s="0" t="str">
        <f aca="false">IF($A84="","",IF(OR(E84="concluida",E84="incompleta"),1,0))</f>
        <v/>
      </c>
    </row>
    <row r="85" customFormat="false" ht="15" hidden="false" customHeight="false" outlineLevel="0" collapsed="false">
      <c r="A85" s="0" t="str">
        <f aca="false">IF(Visitas!A85="","",Visitas!A85)</f>
        <v/>
      </c>
      <c r="B85" s="0" t="str">
        <f aca="false">IF($A85="","",Visitas!C85)</f>
        <v/>
      </c>
      <c r="C85" s="7" t="str">
        <f aca="false">IF($A85="","",Visitas!D85)</f>
        <v/>
      </c>
      <c r="D85" s="0" t="str">
        <f aca="false">IF($A85="","",Visitas!B85)</f>
        <v/>
      </c>
      <c r="E85" s="0" t="str">
        <f aca="false">IF($A85="","",Visitas!F85)</f>
        <v/>
      </c>
      <c r="F85" s="0" t="str">
        <f aca="false">IF($A85="","",SUMIFS(Avaliacoes!$G$2:$G$6000,Avaliacoes!$A$2:$A$6000,$A85,Avaliacoes!$F$2:$F$6000,"I",Avaliacoes!$H$2:$H$6000,0))</f>
        <v/>
      </c>
      <c r="G85" s="0" t="str">
        <f aca="false">IF($A85="","",SUMIFS(Avaliacoes!$G$2:$G$6000,Avaliacoes!$A$2:$A$6000,$A85,Avaliacoes!$F$2:$F$6000,"II",Avaliacoes!$H$2:$H$6000,0))</f>
        <v/>
      </c>
      <c r="H85" s="0" t="str">
        <f aca="false">IF($A85="","",SUMIFS(Avaliacoes!$G$2:$G$6000,Avaliacoes!$A$2:$A$6000,$A85,Avaliacoes!$F$2:$F$6000,"III",Avaliacoes!$H$2:$H$6000,0))</f>
        <v/>
      </c>
      <c r="I85" s="0" t="str">
        <f aca="false">IF($A85="","",SUMIFS(Avaliacoes!$G$2:$G$6000,Avaliacoes!$A$2:$A$6000,$A85,Avaliacoes!$F$2:$F$6000,"IV",Avaliacoes!$H$2:$H$6000,0))</f>
        <v/>
      </c>
      <c r="J85" s="0" t="str">
        <f aca="false">IF($A85="","",COUNTIFS(Avaliacoes!$A$2:$A$6000,$A85,Avaliacoes!$F$2:$F$6000,"I",Avaliacoes!$H$2:$H$6000,0,Avaliacoes!$G$2:$G$6000,"&lt;&gt;")*Dimensoes!$E$2)</f>
        <v/>
      </c>
      <c r="K85" s="0" t="str">
        <f aca="false">IF($A85="","",COUNTIFS(Avaliacoes!$A$2:$A$6000,$A85,Avaliacoes!$F$2:$F$6000,"II",Avaliacoes!$H$2:$H$6000,0,Avaliacoes!$G$2:$G$6000,"&lt;&gt;")*Dimensoes!$E$3)</f>
        <v/>
      </c>
      <c r="L85" s="0" t="str">
        <f aca="false">IF($A85="","",COUNTIFS(Avaliacoes!$A$2:$A$6000,$A85,Avaliacoes!$F$2:$F$6000,"III",Avaliacoes!$H$2:$H$6000,0,Avaliacoes!$G$2:$G$6000,"&lt;&gt;")*Dimensoes!$E$4)</f>
        <v/>
      </c>
      <c r="M85" s="0" t="str">
        <f aca="false">IF($A85="","",COUNTIFS(Avaliacoes!$A$2:$A$6000,$A85,Avaliacoes!$F$2:$F$6000,"IV",Avaliacoes!$H$2:$H$6000,0,Avaliacoes!$G$2:$G$6000,"&lt;&gt;")*Dimensoes!$E$5)</f>
        <v/>
      </c>
      <c r="N85" s="9" t="str">
        <f aca="false">IF($A85="","",IF(J85&gt;0,F85/J85,""))</f>
        <v/>
      </c>
      <c r="O85" s="9" t="str">
        <f aca="false">IF($A85="","",IF(K85&gt;0,G85/K85,""))</f>
        <v/>
      </c>
      <c r="P85" s="9" t="str">
        <f aca="false">IF($A85="","",IF(L85&gt;0,H85/L85,""))</f>
        <v/>
      </c>
      <c r="Q85" s="9" t="str">
        <f aca="false">IF($A85="","",IF(M85&gt;0,I85/M85,""))</f>
        <v/>
      </c>
      <c r="R85" s="17" t="str">
        <f aca="false">IF($A85="","",IF((IF(N85="",0,Dimensoes!$C$2)+IF(O85="",0,Dimensoes!$C$3)+IF(P85="",0,Dimensoes!$C$4)+IF(Q85="",0,Dimensoes!$C$5))=0,"",(IF(N85="",0,N85*Dimensoes!$C$2)+IF(O85="",0,O85*Dimensoes!$C$3)+IF(P85="",0,P85*Dimensoes!$C$4)+IF(Q85="",0,Q85*Dimensoes!$C$5))/(IF(N85="",0,Dimensoes!$C$2)+IF(O85="",0,Dimensoes!$C$3)+IF(P85="",0,Dimensoes!$C$4)+IF(Q85="",0,Dimensoes!$C$5))))</f>
        <v/>
      </c>
      <c r="S85" s="0" t="str">
        <f aca="false">IF(R85="","",IF(R85&lt;Faixas!$C$3,"vermelho",IF(R85&lt;Faixas!$C$4,"amarelo","verde")))</f>
        <v/>
      </c>
      <c r="T85" s="9" t="str">
        <f aca="false">IF($A85="","",IF(N85="",0,N85*Dimensoes!$C$2)+IF(O85="",0,O85*Dimensoes!$C$3)+IF(P85="",0,P85*Dimensoes!$C$4)+IF(Q85="",0,Q85*Dimensoes!$C$5))</f>
        <v/>
      </c>
      <c r="U85" s="0" t="str">
        <f aca="false">IF($A85="","",IF(OR(E85="concluida",E85="incompleta"),1,0))</f>
        <v/>
      </c>
    </row>
    <row r="86" customFormat="false" ht="15" hidden="false" customHeight="false" outlineLevel="0" collapsed="false">
      <c r="A86" s="0" t="str">
        <f aca="false">IF(Visitas!A86="","",Visitas!A86)</f>
        <v/>
      </c>
      <c r="B86" s="0" t="str">
        <f aca="false">IF($A86="","",Visitas!C86)</f>
        <v/>
      </c>
      <c r="C86" s="7" t="str">
        <f aca="false">IF($A86="","",Visitas!D86)</f>
        <v/>
      </c>
      <c r="D86" s="0" t="str">
        <f aca="false">IF($A86="","",Visitas!B86)</f>
        <v/>
      </c>
      <c r="E86" s="0" t="str">
        <f aca="false">IF($A86="","",Visitas!F86)</f>
        <v/>
      </c>
      <c r="F86" s="0" t="str">
        <f aca="false">IF($A86="","",SUMIFS(Avaliacoes!$G$2:$G$6000,Avaliacoes!$A$2:$A$6000,$A86,Avaliacoes!$F$2:$F$6000,"I",Avaliacoes!$H$2:$H$6000,0))</f>
        <v/>
      </c>
      <c r="G86" s="0" t="str">
        <f aca="false">IF($A86="","",SUMIFS(Avaliacoes!$G$2:$G$6000,Avaliacoes!$A$2:$A$6000,$A86,Avaliacoes!$F$2:$F$6000,"II",Avaliacoes!$H$2:$H$6000,0))</f>
        <v/>
      </c>
      <c r="H86" s="0" t="str">
        <f aca="false">IF($A86="","",SUMIFS(Avaliacoes!$G$2:$G$6000,Avaliacoes!$A$2:$A$6000,$A86,Avaliacoes!$F$2:$F$6000,"III",Avaliacoes!$H$2:$H$6000,0))</f>
        <v/>
      </c>
      <c r="I86" s="0" t="str">
        <f aca="false">IF($A86="","",SUMIFS(Avaliacoes!$G$2:$G$6000,Avaliacoes!$A$2:$A$6000,$A86,Avaliacoes!$F$2:$F$6000,"IV",Avaliacoes!$H$2:$H$6000,0))</f>
        <v/>
      </c>
      <c r="J86" s="0" t="str">
        <f aca="false">IF($A86="","",COUNTIFS(Avaliacoes!$A$2:$A$6000,$A86,Avaliacoes!$F$2:$F$6000,"I",Avaliacoes!$H$2:$H$6000,0,Avaliacoes!$G$2:$G$6000,"&lt;&gt;")*Dimensoes!$E$2)</f>
        <v/>
      </c>
      <c r="K86" s="0" t="str">
        <f aca="false">IF($A86="","",COUNTIFS(Avaliacoes!$A$2:$A$6000,$A86,Avaliacoes!$F$2:$F$6000,"II",Avaliacoes!$H$2:$H$6000,0,Avaliacoes!$G$2:$G$6000,"&lt;&gt;")*Dimensoes!$E$3)</f>
        <v/>
      </c>
      <c r="L86" s="0" t="str">
        <f aca="false">IF($A86="","",COUNTIFS(Avaliacoes!$A$2:$A$6000,$A86,Avaliacoes!$F$2:$F$6000,"III",Avaliacoes!$H$2:$H$6000,0,Avaliacoes!$G$2:$G$6000,"&lt;&gt;")*Dimensoes!$E$4)</f>
        <v/>
      </c>
      <c r="M86" s="0" t="str">
        <f aca="false">IF($A86="","",COUNTIFS(Avaliacoes!$A$2:$A$6000,$A86,Avaliacoes!$F$2:$F$6000,"IV",Avaliacoes!$H$2:$H$6000,0,Avaliacoes!$G$2:$G$6000,"&lt;&gt;")*Dimensoes!$E$5)</f>
        <v/>
      </c>
      <c r="N86" s="9" t="str">
        <f aca="false">IF($A86="","",IF(J86&gt;0,F86/J86,""))</f>
        <v/>
      </c>
      <c r="O86" s="9" t="str">
        <f aca="false">IF($A86="","",IF(K86&gt;0,G86/K86,""))</f>
        <v/>
      </c>
      <c r="P86" s="9" t="str">
        <f aca="false">IF($A86="","",IF(L86&gt;0,H86/L86,""))</f>
        <v/>
      </c>
      <c r="Q86" s="9" t="str">
        <f aca="false">IF($A86="","",IF(M86&gt;0,I86/M86,""))</f>
        <v/>
      </c>
      <c r="R86" s="17" t="str">
        <f aca="false">IF($A86="","",IF((IF(N86="",0,Dimensoes!$C$2)+IF(O86="",0,Dimensoes!$C$3)+IF(P86="",0,Dimensoes!$C$4)+IF(Q86="",0,Dimensoes!$C$5))=0,"",(IF(N86="",0,N86*Dimensoes!$C$2)+IF(O86="",0,O86*Dimensoes!$C$3)+IF(P86="",0,P86*Dimensoes!$C$4)+IF(Q86="",0,Q86*Dimensoes!$C$5))/(IF(N86="",0,Dimensoes!$C$2)+IF(O86="",0,Dimensoes!$C$3)+IF(P86="",0,Dimensoes!$C$4)+IF(Q86="",0,Dimensoes!$C$5))))</f>
        <v/>
      </c>
      <c r="S86" s="0" t="str">
        <f aca="false">IF(R86="","",IF(R86&lt;Faixas!$C$3,"vermelho",IF(R86&lt;Faixas!$C$4,"amarelo","verde")))</f>
        <v/>
      </c>
      <c r="T86" s="9" t="str">
        <f aca="false">IF($A86="","",IF(N86="",0,N86*Dimensoes!$C$2)+IF(O86="",0,O86*Dimensoes!$C$3)+IF(P86="",0,P86*Dimensoes!$C$4)+IF(Q86="",0,Q86*Dimensoes!$C$5))</f>
        <v/>
      </c>
      <c r="U86" s="0" t="str">
        <f aca="false">IF($A86="","",IF(OR(E86="concluida",E86="incompleta"),1,0))</f>
        <v/>
      </c>
    </row>
    <row r="87" customFormat="false" ht="15" hidden="false" customHeight="false" outlineLevel="0" collapsed="false">
      <c r="A87" s="0" t="str">
        <f aca="false">IF(Visitas!A87="","",Visitas!A87)</f>
        <v/>
      </c>
      <c r="B87" s="0" t="str">
        <f aca="false">IF($A87="","",Visitas!C87)</f>
        <v/>
      </c>
      <c r="C87" s="7" t="str">
        <f aca="false">IF($A87="","",Visitas!D87)</f>
        <v/>
      </c>
      <c r="D87" s="0" t="str">
        <f aca="false">IF($A87="","",Visitas!B87)</f>
        <v/>
      </c>
      <c r="E87" s="0" t="str">
        <f aca="false">IF($A87="","",Visitas!F87)</f>
        <v/>
      </c>
      <c r="F87" s="0" t="str">
        <f aca="false">IF($A87="","",SUMIFS(Avaliacoes!$G$2:$G$6000,Avaliacoes!$A$2:$A$6000,$A87,Avaliacoes!$F$2:$F$6000,"I",Avaliacoes!$H$2:$H$6000,0))</f>
        <v/>
      </c>
      <c r="G87" s="0" t="str">
        <f aca="false">IF($A87="","",SUMIFS(Avaliacoes!$G$2:$G$6000,Avaliacoes!$A$2:$A$6000,$A87,Avaliacoes!$F$2:$F$6000,"II",Avaliacoes!$H$2:$H$6000,0))</f>
        <v/>
      </c>
      <c r="H87" s="0" t="str">
        <f aca="false">IF($A87="","",SUMIFS(Avaliacoes!$G$2:$G$6000,Avaliacoes!$A$2:$A$6000,$A87,Avaliacoes!$F$2:$F$6000,"III",Avaliacoes!$H$2:$H$6000,0))</f>
        <v/>
      </c>
      <c r="I87" s="0" t="str">
        <f aca="false">IF($A87="","",SUMIFS(Avaliacoes!$G$2:$G$6000,Avaliacoes!$A$2:$A$6000,$A87,Avaliacoes!$F$2:$F$6000,"IV",Avaliacoes!$H$2:$H$6000,0))</f>
        <v/>
      </c>
      <c r="J87" s="0" t="str">
        <f aca="false">IF($A87="","",COUNTIFS(Avaliacoes!$A$2:$A$6000,$A87,Avaliacoes!$F$2:$F$6000,"I",Avaliacoes!$H$2:$H$6000,0,Avaliacoes!$G$2:$G$6000,"&lt;&gt;")*Dimensoes!$E$2)</f>
        <v/>
      </c>
      <c r="K87" s="0" t="str">
        <f aca="false">IF($A87="","",COUNTIFS(Avaliacoes!$A$2:$A$6000,$A87,Avaliacoes!$F$2:$F$6000,"II",Avaliacoes!$H$2:$H$6000,0,Avaliacoes!$G$2:$G$6000,"&lt;&gt;")*Dimensoes!$E$3)</f>
        <v/>
      </c>
      <c r="L87" s="0" t="str">
        <f aca="false">IF($A87="","",COUNTIFS(Avaliacoes!$A$2:$A$6000,$A87,Avaliacoes!$F$2:$F$6000,"III",Avaliacoes!$H$2:$H$6000,0,Avaliacoes!$G$2:$G$6000,"&lt;&gt;")*Dimensoes!$E$4)</f>
        <v/>
      </c>
      <c r="M87" s="0" t="str">
        <f aca="false">IF($A87="","",COUNTIFS(Avaliacoes!$A$2:$A$6000,$A87,Avaliacoes!$F$2:$F$6000,"IV",Avaliacoes!$H$2:$H$6000,0,Avaliacoes!$G$2:$G$6000,"&lt;&gt;")*Dimensoes!$E$5)</f>
        <v/>
      </c>
      <c r="N87" s="9" t="str">
        <f aca="false">IF($A87="","",IF(J87&gt;0,F87/J87,""))</f>
        <v/>
      </c>
      <c r="O87" s="9" t="str">
        <f aca="false">IF($A87="","",IF(K87&gt;0,G87/K87,""))</f>
        <v/>
      </c>
      <c r="P87" s="9" t="str">
        <f aca="false">IF($A87="","",IF(L87&gt;0,H87/L87,""))</f>
        <v/>
      </c>
      <c r="Q87" s="9" t="str">
        <f aca="false">IF($A87="","",IF(M87&gt;0,I87/M87,""))</f>
        <v/>
      </c>
      <c r="R87" s="17" t="str">
        <f aca="false">IF($A87="","",IF((IF(N87="",0,Dimensoes!$C$2)+IF(O87="",0,Dimensoes!$C$3)+IF(P87="",0,Dimensoes!$C$4)+IF(Q87="",0,Dimensoes!$C$5))=0,"",(IF(N87="",0,N87*Dimensoes!$C$2)+IF(O87="",0,O87*Dimensoes!$C$3)+IF(P87="",0,P87*Dimensoes!$C$4)+IF(Q87="",0,Q87*Dimensoes!$C$5))/(IF(N87="",0,Dimensoes!$C$2)+IF(O87="",0,Dimensoes!$C$3)+IF(P87="",0,Dimensoes!$C$4)+IF(Q87="",0,Dimensoes!$C$5))))</f>
        <v/>
      </c>
      <c r="S87" s="0" t="str">
        <f aca="false">IF(R87="","",IF(R87&lt;Faixas!$C$3,"vermelho",IF(R87&lt;Faixas!$C$4,"amarelo","verde")))</f>
        <v/>
      </c>
      <c r="T87" s="9" t="str">
        <f aca="false">IF($A87="","",IF(N87="",0,N87*Dimensoes!$C$2)+IF(O87="",0,O87*Dimensoes!$C$3)+IF(P87="",0,P87*Dimensoes!$C$4)+IF(Q87="",0,Q87*Dimensoes!$C$5))</f>
        <v/>
      </c>
      <c r="U87" s="0" t="str">
        <f aca="false">IF($A87="","",IF(OR(E87="concluida",E87="incompleta"),1,0))</f>
        <v/>
      </c>
    </row>
    <row r="88" customFormat="false" ht="15" hidden="false" customHeight="false" outlineLevel="0" collapsed="false">
      <c r="A88" s="0" t="str">
        <f aca="false">IF(Visitas!A88="","",Visitas!A88)</f>
        <v/>
      </c>
      <c r="B88" s="0" t="str">
        <f aca="false">IF($A88="","",Visitas!C88)</f>
        <v/>
      </c>
      <c r="C88" s="7" t="str">
        <f aca="false">IF($A88="","",Visitas!D88)</f>
        <v/>
      </c>
      <c r="D88" s="0" t="str">
        <f aca="false">IF($A88="","",Visitas!B88)</f>
        <v/>
      </c>
      <c r="E88" s="0" t="str">
        <f aca="false">IF($A88="","",Visitas!F88)</f>
        <v/>
      </c>
      <c r="F88" s="0" t="str">
        <f aca="false">IF($A88="","",SUMIFS(Avaliacoes!$G$2:$G$6000,Avaliacoes!$A$2:$A$6000,$A88,Avaliacoes!$F$2:$F$6000,"I",Avaliacoes!$H$2:$H$6000,0))</f>
        <v/>
      </c>
      <c r="G88" s="0" t="str">
        <f aca="false">IF($A88="","",SUMIFS(Avaliacoes!$G$2:$G$6000,Avaliacoes!$A$2:$A$6000,$A88,Avaliacoes!$F$2:$F$6000,"II",Avaliacoes!$H$2:$H$6000,0))</f>
        <v/>
      </c>
      <c r="H88" s="0" t="str">
        <f aca="false">IF($A88="","",SUMIFS(Avaliacoes!$G$2:$G$6000,Avaliacoes!$A$2:$A$6000,$A88,Avaliacoes!$F$2:$F$6000,"III",Avaliacoes!$H$2:$H$6000,0))</f>
        <v/>
      </c>
      <c r="I88" s="0" t="str">
        <f aca="false">IF($A88="","",SUMIFS(Avaliacoes!$G$2:$G$6000,Avaliacoes!$A$2:$A$6000,$A88,Avaliacoes!$F$2:$F$6000,"IV",Avaliacoes!$H$2:$H$6000,0))</f>
        <v/>
      </c>
      <c r="J88" s="0" t="str">
        <f aca="false">IF($A88="","",COUNTIFS(Avaliacoes!$A$2:$A$6000,$A88,Avaliacoes!$F$2:$F$6000,"I",Avaliacoes!$H$2:$H$6000,0,Avaliacoes!$G$2:$G$6000,"&lt;&gt;")*Dimensoes!$E$2)</f>
        <v/>
      </c>
      <c r="K88" s="0" t="str">
        <f aca="false">IF($A88="","",COUNTIFS(Avaliacoes!$A$2:$A$6000,$A88,Avaliacoes!$F$2:$F$6000,"II",Avaliacoes!$H$2:$H$6000,0,Avaliacoes!$G$2:$G$6000,"&lt;&gt;")*Dimensoes!$E$3)</f>
        <v/>
      </c>
      <c r="L88" s="0" t="str">
        <f aca="false">IF($A88="","",COUNTIFS(Avaliacoes!$A$2:$A$6000,$A88,Avaliacoes!$F$2:$F$6000,"III",Avaliacoes!$H$2:$H$6000,0,Avaliacoes!$G$2:$G$6000,"&lt;&gt;")*Dimensoes!$E$4)</f>
        <v/>
      </c>
      <c r="M88" s="0" t="str">
        <f aca="false">IF($A88="","",COUNTIFS(Avaliacoes!$A$2:$A$6000,$A88,Avaliacoes!$F$2:$F$6000,"IV",Avaliacoes!$H$2:$H$6000,0,Avaliacoes!$G$2:$G$6000,"&lt;&gt;")*Dimensoes!$E$5)</f>
        <v/>
      </c>
      <c r="N88" s="9" t="str">
        <f aca="false">IF($A88="","",IF(J88&gt;0,F88/J88,""))</f>
        <v/>
      </c>
      <c r="O88" s="9" t="str">
        <f aca="false">IF($A88="","",IF(K88&gt;0,G88/K88,""))</f>
        <v/>
      </c>
      <c r="P88" s="9" t="str">
        <f aca="false">IF($A88="","",IF(L88&gt;0,H88/L88,""))</f>
        <v/>
      </c>
      <c r="Q88" s="9" t="str">
        <f aca="false">IF($A88="","",IF(M88&gt;0,I88/M88,""))</f>
        <v/>
      </c>
      <c r="R88" s="17" t="str">
        <f aca="false">IF($A88="","",IF((IF(N88="",0,Dimensoes!$C$2)+IF(O88="",0,Dimensoes!$C$3)+IF(P88="",0,Dimensoes!$C$4)+IF(Q88="",0,Dimensoes!$C$5))=0,"",(IF(N88="",0,N88*Dimensoes!$C$2)+IF(O88="",0,O88*Dimensoes!$C$3)+IF(P88="",0,P88*Dimensoes!$C$4)+IF(Q88="",0,Q88*Dimensoes!$C$5))/(IF(N88="",0,Dimensoes!$C$2)+IF(O88="",0,Dimensoes!$C$3)+IF(P88="",0,Dimensoes!$C$4)+IF(Q88="",0,Dimensoes!$C$5))))</f>
        <v/>
      </c>
      <c r="S88" s="0" t="str">
        <f aca="false">IF(R88="","",IF(R88&lt;Faixas!$C$3,"vermelho",IF(R88&lt;Faixas!$C$4,"amarelo","verde")))</f>
        <v/>
      </c>
      <c r="T88" s="9" t="str">
        <f aca="false">IF($A88="","",IF(N88="",0,N88*Dimensoes!$C$2)+IF(O88="",0,O88*Dimensoes!$C$3)+IF(P88="",0,P88*Dimensoes!$C$4)+IF(Q88="",0,Q88*Dimensoes!$C$5))</f>
        <v/>
      </c>
      <c r="U88" s="0" t="str">
        <f aca="false">IF($A88="","",IF(OR(E88="concluida",E88="incompleta"),1,0))</f>
        <v/>
      </c>
    </row>
    <row r="89" customFormat="false" ht="15" hidden="false" customHeight="false" outlineLevel="0" collapsed="false">
      <c r="A89" s="0" t="str">
        <f aca="false">IF(Visitas!A89="","",Visitas!A89)</f>
        <v/>
      </c>
      <c r="B89" s="0" t="str">
        <f aca="false">IF($A89="","",Visitas!C89)</f>
        <v/>
      </c>
      <c r="C89" s="7" t="str">
        <f aca="false">IF($A89="","",Visitas!D89)</f>
        <v/>
      </c>
      <c r="D89" s="0" t="str">
        <f aca="false">IF($A89="","",Visitas!B89)</f>
        <v/>
      </c>
      <c r="E89" s="0" t="str">
        <f aca="false">IF($A89="","",Visitas!F89)</f>
        <v/>
      </c>
      <c r="F89" s="0" t="str">
        <f aca="false">IF($A89="","",SUMIFS(Avaliacoes!$G$2:$G$6000,Avaliacoes!$A$2:$A$6000,$A89,Avaliacoes!$F$2:$F$6000,"I",Avaliacoes!$H$2:$H$6000,0))</f>
        <v/>
      </c>
      <c r="G89" s="0" t="str">
        <f aca="false">IF($A89="","",SUMIFS(Avaliacoes!$G$2:$G$6000,Avaliacoes!$A$2:$A$6000,$A89,Avaliacoes!$F$2:$F$6000,"II",Avaliacoes!$H$2:$H$6000,0))</f>
        <v/>
      </c>
      <c r="H89" s="0" t="str">
        <f aca="false">IF($A89="","",SUMIFS(Avaliacoes!$G$2:$G$6000,Avaliacoes!$A$2:$A$6000,$A89,Avaliacoes!$F$2:$F$6000,"III",Avaliacoes!$H$2:$H$6000,0))</f>
        <v/>
      </c>
      <c r="I89" s="0" t="str">
        <f aca="false">IF($A89="","",SUMIFS(Avaliacoes!$G$2:$G$6000,Avaliacoes!$A$2:$A$6000,$A89,Avaliacoes!$F$2:$F$6000,"IV",Avaliacoes!$H$2:$H$6000,0))</f>
        <v/>
      </c>
      <c r="J89" s="0" t="str">
        <f aca="false">IF($A89="","",COUNTIFS(Avaliacoes!$A$2:$A$6000,$A89,Avaliacoes!$F$2:$F$6000,"I",Avaliacoes!$H$2:$H$6000,0,Avaliacoes!$G$2:$G$6000,"&lt;&gt;")*Dimensoes!$E$2)</f>
        <v/>
      </c>
      <c r="K89" s="0" t="str">
        <f aca="false">IF($A89="","",COUNTIFS(Avaliacoes!$A$2:$A$6000,$A89,Avaliacoes!$F$2:$F$6000,"II",Avaliacoes!$H$2:$H$6000,0,Avaliacoes!$G$2:$G$6000,"&lt;&gt;")*Dimensoes!$E$3)</f>
        <v/>
      </c>
      <c r="L89" s="0" t="str">
        <f aca="false">IF($A89="","",COUNTIFS(Avaliacoes!$A$2:$A$6000,$A89,Avaliacoes!$F$2:$F$6000,"III",Avaliacoes!$H$2:$H$6000,0,Avaliacoes!$G$2:$G$6000,"&lt;&gt;")*Dimensoes!$E$4)</f>
        <v/>
      </c>
      <c r="M89" s="0" t="str">
        <f aca="false">IF($A89="","",COUNTIFS(Avaliacoes!$A$2:$A$6000,$A89,Avaliacoes!$F$2:$F$6000,"IV",Avaliacoes!$H$2:$H$6000,0,Avaliacoes!$G$2:$G$6000,"&lt;&gt;")*Dimensoes!$E$5)</f>
        <v/>
      </c>
      <c r="N89" s="9" t="str">
        <f aca="false">IF($A89="","",IF(J89&gt;0,F89/J89,""))</f>
        <v/>
      </c>
      <c r="O89" s="9" t="str">
        <f aca="false">IF($A89="","",IF(K89&gt;0,G89/K89,""))</f>
        <v/>
      </c>
      <c r="P89" s="9" t="str">
        <f aca="false">IF($A89="","",IF(L89&gt;0,H89/L89,""))</f>
        <v/>
      </c>
      <c r="Q89" s="9" t="str">
        <f aca="false">IF($A89="","",IF(M89&gt;0,I89/M89,""))</f>
        <v/>
      </c>
      <c r="R89" s="17" t="str">
        <f aca="false">IF($A89="","",IF((IF(N89="",0,Dimensoes!$C$2)+IF(O89="",0,Dimensoes!$C$3)+IF(P89="",0,Dimensoes!$C$4)+IF(Q89="",0,Dimensoes!$C$5))=0,"",(IF(N89="",0,N89*Dimensoes!$C$2)+IF(O89="",0,O89*Dimensoes!$C$3)+IF(P89="",0,P89*Dimensoes!$C$4)+IF(Q89="",0,Q89*Dimensoes!$C$5))/(IF(N89="",0,Dimensoes!$C$2)+IF(O89="",0,Dimensoes!$C$3)+IF(P89="",0,Dimensoes!$C$4)+IF(Q89="",0,Dimensoes!$C$5))))</f>
        <v/>
      </c>
      <c r="S89" s="0" t="str">
        <f aca="false">IF(R89="","",IF(R89&lt;Faixas!$C$3,"vermelho",IF(R89&lt;Faixas!$C$4,"amarelo","verde")))</f>
        <v/>
      </c>
      <c r="T89" s="9" t="str">
        <f aca="false">IF($A89="","",IF(N89="",0,N89*Dimensoes!$C$2)+IF(O89="",0,O89*Dimensoes!$C$3)+IF(P89="",0,P89*Dimensoes!$C$4)+IF(Q89="",0,Q89*Dimensoes!$C$5))</f>
        <v/>
      </c>
      <c r="U89" s="0" t="str">
        <f aca="false">IF($A89="","",IF(OR(E89="concluida",E89="incompleta"),1,0))</f>
        <v/>
      </c>
    </row>
    <row r="90" customFormat="false" ht="15" hidden="false" customHeight="false" outlineLevel="0" collapsed="false">
      <c r="A90" s="0" t="str">
        <f aca="false">IF(Visitas!A90="","",Visitas!A90)</f>
        <v/>
      </c>
      <c r="B90" s="0" t="str">
        <f aca="false">IF($A90="","",Visitas!C90)</f>
        <v/>
      </c>
      <c r="C90" s="7" t="str">
        <f aca="false">IF($A90="","",Visitas!D90)</f>
        <v/>
      </c>
      <c r="D90" s="0" t="str">
        <f aca="false">IF($A90="","",Visitas!B90)</f>
        <v/>
      </c>
      <c r="E90" s="0" t="str">
        <f aca="false">IF($A90="","",Visitas!F90)</f>
        <v/>
      </c>
      <c r="F90" s="0" t="str">
        <f aca="false">IF($A90="","",SUMIFS(Avaliacoes!$G$2:$G$6000,Avaliacoes!$A$2:$A$6000,$A90,Avaliacoes!$F$2:$F$6000,"I",Avaliacoes!$H$2:$H$6000,0))</f>
        <v/>
      </c>
      <c r="G90" s="0" t="str">
        <f aca="false">IF($A90="","",SUMIFS(Avaliacoes!$G$2:$G$6000,Avaliacoes!$A$2:$A$6000,$A90,Avaliacoes!$F$2:$F$6000,"II",Avaliacoes!$H$2:$H$6000,0))</f>
        <v/>
      </c>
      <c r="H90" s="0" t="str">
        <f aca="false">IF($A90="","",SUMIFS(Avaliacoes!$G$2:$G$6000,Avaliacoes!$A$2:$A$6000,$A90,Avaliacoes!$F$2:$F$6000,"III",Avaliacoes!$H$2:$H$6000,0))</f>
        <v/>
      </c>
      <c r="I90" s="0" t="str">
        <f aca="false">IF($A90="","",SUMIFS(Avaliacoes!$G$2:$G$6000,Avaliacoes!$A$2:$A$6000,$A90,Avaliacoes!$F$2:$F$6000,"IV",Avaliacoes!$H$2:$H$6000,0))</f>
        <v/>
      </c>
      <c r="J90" s="0" t="str">
        <f aca="false">IF($A90="","",COUNTIFS(Avaliacoes!$A$2:$A$6000,$A90,Avaliacoes!$F$2:$F$6000,"I",Avaliacoes!$H$2:$H$6000,0,Avaliacoes!$G$2:$G$6000,"&lt;&gt;")*Dimensoes!$E$2)</f>
        <v/>
      </c>
      <c r="K90" s="0" t="str">
        <f aca="false">IF($A90="","",COUNTIFS(Avaliacoes!$A$2:$A$6000,$A90,Avaliacoes!$F$2:$F$6000,"II",Avaliacoes!$H$2:$H$6000,0,Avaliacoes!$G$2:$G$6000,"&lt;&gt;")*Dimensoes!$E$3)</f>
        <v/>
      </c>
      <c r="L90" s="0" t="str">
        <f aca="false">IF($A90="","",COUNTIFS(Avaliacoes!$A$2:$A$6000,$A90,Avaliacoes!$F$2:$F$6000,"III",Avaliacoes!$H$2:$H$6000,0,Avaliacoes!$G$2:$G$6000,"&lt;&gt;")*Dimensoes!$E$4)</f>
        <v/>
      </c>
      <c r="M90" s="0" t="str">
        <f aca="false">IF($A90="","",COUNTIFS(Avaliacoes!$A$2:$A$6000,$A90,Avaliacoes!$F$2:$F$6000,"IV",Avaliacoes!$H$2:$H$6000,0,Avaliacoes!$G$2:$G$6000,"&lt;&gt;")*Dimensoes!$E$5)</f>
        <v/>
      </c>
      <c r="N90" s="9" t="str">
        <f aca="false">IF($A90="","",IF(J90&gt;0,F90/J90,""))</f>
        <v/>
      </c>
      <c r="O90" s="9" t="str">
        <f aca="false">IF($A90="","",IF(K90&gt;0,G90/K90,""))</f>
        <v/>
      </c>
      <c r="P90" s="9" t="str">
        <f aca="false">IF($A90="","",IF(L90&gt;0,H90/L90,""))</f>
        <v/>
      </c>
      <c r="Q90" s="9" t="str">
        <f aca="false">IF($A90="","",IF(M90&gt;0,I90/M90,""))</f>
        <v/>
      </c>
      <c r="R90" s="17" t="str">
        <f aca="false">IF($A90="","",IF((IF(N90="",0,Dimensoes!$C$2)+IF(O90="",0,Dimensoes!$C$3)+IF(P90="",0,Dimensoes!$C$4)+IF(Q90="",0,Dimensoes!$C$5))=0,"",(IF(N90="",0,N90*Dimensoes!$C$2)+IF(O90="",0,O90*Dimensoes!$C$3)+IF(P90="",0,P90*Dimensoes!$C$4)+IF(Q90="",0,Q90*Dimensoes!$C$5))/(IF(N90="",0,Dimensoes!$C$2)+IF(O90="",0,Dimensoes!$C$3)+IF(P90="",0,Dimensoes!$C$4)+IF(Q90="",0,Dimensoes!$C$5))))</f>
        <v/>
      </c>
      <c r="S90" s="0" t="str">
        <f aca="false">IF(R90="","",IF(R90&lt;Faixas!$C$3,"vermelho",IF(R90&lt;Faixas!$C$4,"amarelo","verde")))</f>
        <v/>
      </c>
      <c r="T90" s="9" t="str">
        <f aca="false">IF($A90="","",IF(N90="",0,N90*Dimensoes!$C$2)+IF(O90="",0,O90*Dimensoes!$C$3)+IF(P90="",0,P90*Dimensoes!$C$4)+IF(Q90="",0,Q90*Dimensoes!$C$5))</f>
        <v/>
      </c>
      <c r="U90" s="0" t="str">
        <f aca="false">IF($A90="","",IF(OR(E90="concluida",E90="incompleta"),1,0))</f>
        <v/>
      </c>
    </row>
    <row r="91" customFormat="false" ht="15" hidden="false" customHeight="false" outlineLevel="0" collapsed="false">
      <c r="A91" s="0" t="str">
        <f aca="false">IF(Visitas!A91="","",Visitas!A91)</f>
        <v/>
      </c>
      <c r="B91" s="0" t="str">
        <f aca="false">IF($A91="","",Visitas!C91)</f>
        <v/>
      </c>
      <c r="C91" s="7" t="str">
        <f aca="false">IF($A91="","",Visitas!D91)</f>
        <v/>
      </c>
      <c r="D91" s="0" t="str">
        <f aca="false">IF($A91="","",Visitas!B91)</f>
        <v/>
      </c>
      <c r="E91" s="0" t="str">
        <f aca="false">IF($A91="","",Visitas!F91)</f>
        <v/>
      </c>
      <c r="F91" s="0" t="str">
        <f aca="false">IF($A91="","",SUMIFS(Avaliacoes!$G$2:$G$6000,Avaliacoes!$A$2:$A$6000,$A91,Avaliacoes!$F$2:$F$6000,"I",Avaliacoes!$H$2:$H$6000,0))</f>
        <v/>
      </c>
      <c r="G91" s="0" t="str">
        <f aca="false">IF($A91="","",SUMIFS(Avaliacoes!$G$2:$G$6000,Avaliacoes!$A$2:$A$6000,$A91,Avaliacoes!$F$2:$F$6000,"II",Avaliacoes!$H$2:$H$6000,0))</f>
        <v/>
      </c>
      <c r="H91" s="0" t="str">
        <f aca="false">IF($A91="","",SUMIFS(Avaliacoes!$G$2:$G$6000,Avaliacoes!$A$2:$A$6000,$A91,Avaliacoes!$F$2:$F$6000,"III",Avaliacoes!$H$2:$H$6000,0))</f>
        <v/>
      </c>
      <c r="I91" s="0" t="str">
        <f aca="false">IF($A91="","",SUMIFS(Avaliacoes!$G$2:$G$6000,Avaliacoes!$A$2:$A$6000,$A91,Avaliacoes!$F$2:$F$6000,"IV",Avaliacoes!$H$2:$H$6000,0))</f>
        <v/>
      </c>
      <c r="J91" s="0" t="str">
        <f aca="false">IF($A91="","",COUNTIFS(Avaliacoes!$A$2:$A$6000,$A91,Avaliacoes!$F$2:$F$6000,"I",Avaliacoes!$H$2:$H$6000,0,Avaliacoes!$G$2:$G$6000,"&lt;&gt;")*Dimensoes!$E$2)</f>
        <v/>
      </c>
      <c r="K91" s="0" t="str">
        <f aca="false">IF($A91="","",COUNTIFS(Avaliacoes!$A$2:$A$6000,$A91,Avaliacoes!$F$2:$F$6000,"II",Avaliacoes!$H$2:$H$6000,0,Avaliacoes!$G$2:$G$6000,"&lt;&gt;")*Dimensoes!$E$3)</f>
        <v/>
      </c>
      <c r="L91" s="0" t="str">
        <f aca="false">IF($A91="","",COUNTIFS(Avaliacoes!$A$2:$A$6000,$A91,Avaliacoes!$F$2:$F$6000,"III",Avaliacoes!$H$2:$H$6000,0,Avaliacoes!$G$2:$G$6000,"&lt;&gt;")*Dimensoes!$E$4)</f>
        <v/>
      </c>
      <c r="M91" s="0" t="str">
        <f aca="false">IF($A91="","",COUNTIFS(Avaliacoes!$A$2:$A$6000,$A91,Avaliacoes!$F$2:$F$6000,"IV",Avaliacoes!$H$2:$H$6000,0,Avaliacoes!$G$2:$G$6000,"&lt;&gt;")*Dimensoes!$E$5)</f>
        <v/>
      </c>
      <c r="N91" s="9" t="str">
        <f aca="false">IF($A91="","",IF(J91&gt;0,F91/J91,""))</f>
        <v/>
      </c>
      <c r="O91" s="9" t="str">
        <f aca="false">IF($A91="","",IF(K91&gt;0,G91/K91,""))</f>
        <v/>
      </c>
      <c r="P91" s="9" t="str">
        <f aca="false">IF($A91="","",IF(L91&gt;0,H91/L91,""))</f>
        <v/>
      </c>
      <c r="Q91" s="9" t="str">
        <f aca="false">IF($A91="","",IF(M91&gt;0,I91/M91,""))</f>
        <v/>
      </c>
      <c r="R91" s="17" t="str">
        <f aca="false">IF($A91="","",IF((IF(N91="",0,Dimensoes!$C$2)+IF(O91="",0,Dimensoes!$C$3)+IF(P91="",0,Dimensoes!$C$4)+IF(Q91="",0,Dimensoes!$C$5))=0,"",(IF(N91="",0,N91*Dimensoes!$C$2)+IF(O91="",0,O91*Dimensoes!$C$3)+IF(P91="",0,P91*Dimensoes!$C$4)+IF(Q91="",0,Q91*Dimensoes!$C$5))/(IF(N91="",0,Dimensoes!$C$2)+IF(O91="",0,Dimensoes!$C$3)+IF(P91="",0,Dimensoes!$C$4)+IF(Q91="",0,Dimensoes!$C$5))))</f>
        <v/>
      </c>
      <c r="S91" s="0" t="str">
        <f aca="false">IF(R91="","",IF(R91&lt;Faixas!$C$3,"vermelho",IF(R91&lt;Faixas!$C$4,"amarelo","verde")))</f>
        <v/>
      </c>
      <c r="T91" s="9" t="str">
        <f aca="false">IF($A91="","",IF(N91="",0,N91*Dimensoes!$C$2)+IF(O91="",0,O91*Dimensoes!$C$3)+IF(P91="",0,P91*Dimensoes!$C$4)+IF(Q91="",0,Q91*Dimensoes!$C$5))</f>
        <v/>
      </c>
      <c r="U91" s="0" t="str">
        <f aca="false">IF($A91="","",IF(OR(E91="concluida",E91="incompleta"),1,0))</f>
        <v/>
      </c>
    </row>
    <row r="92" customFormat="false" ht="15" hidden="false" customHeight="false" outlineLevel="0" collapsed="false">
      <c r="A92" s="0" t="str">
        <f aca="false">IF(Visitas!A92="","",Visitas!A92)</f>
        <v/>
      </c>
      <c r="B92" s="0" t="str">
        <f aca="false">IF($A92="","",Visitas!C92)</f>
        <v/>
      </c>
      <c r="C92" s="7" t="str">
        <f aca="false">IF($A92="","",Visitas!D92)</f>
        <v/>
      </c>
      <c r="D92" s="0" t="str">
        <f aca="false">IF($A92="","",Visitas!B92)</f>
        <v/>
      </c>
      <c r="E92" s="0" t="str">
        <f aca="false">IF($A92="","",Visitas!F92)</f>
        <v/>
      </c>
      <c r="F92" s="0" t="str">
        <f aca="false">IF($A92="","",SUMIFS(Avaliacoes!$G$2:$G$6000,Avaliacoes!$A$2:$A$6000,$A92,Avaliacoes!$F$2:$F$6000,"I",Avaliacoes!$H$2:$H$6000,0))</f>
        <v/>
      </c>
      <c r="G92" s="0" t="str">
        <f aca="false">IF($A92="","",SUMIFS(Avaliacoes!$G$2:$G$6000,Avaliacoes!$A$2:$A$6000,$A92,Avaliacoes!$F$2:$F$6000,"II",Avaliacoes!$H$2:$H$6000,0))</f>
        <v/>
      </c>
      <c r="H92" s="0" t="str">
        <f aca="false">IF($A92="","",SUMIFS(Avaliacoes!$G$2:$G$6000,Avaliacoes!$A$2:$A$6000,$A92,Avaliacoes!$F$2:$F$6000,"III",Avaliacoes!$H$2:$H$6000,0))</f>
        <v/>
      </c>
      <c r="I92" s="0" t="str">
        <f aca="false">IF($A92="","",SUMIFS(Avaliacoes!$G$2:$G$6000,Avaliacoes!$A$2:$A$6000,$A92,Avaliacoes!$F$2:$F$6000,"IV",Avaliacoes!$H$2:$H$6000,0))</f>
        <v/>
      </c>
      <c r="J92" s="0" t="str">
        <f aca="false">IF($A92="","",COUNTIFS(Avaliacoes!$A$2:$A$6000,$A92,Avaliacoes!$F$2:$F$6000,"I",Avaliacoes!$H$2:$H$6000,0,Avaliacoes!$G$2:$G$6000,"&lt;&gt;")*Dimensoes!$E$2)</f>
        <v/>
      </c>
      <c r="K92" s="0" t="str">
        <f aca="false">IF($A92="","",COUNTIFS(Avaliacoes!$A$2:$A$6000,$A92,Avaliacoes!$F$2:$F$6000,"II",Avaliacoes!$H$2:$H$6000,0,Avaliacoes!$G$2:$G$6000,"&lt;&gt;")*Dimensoes!$E$3)</f>
        <v/>
      </c>
      <c r="L92" s="0" t="str">
        <f aca="false">IF($A92="","",COUNTIFS(Avaliacoes!$A$2:$A$6000,$A92,Avaliacoes!$F$2:$F$6000,"III",Avaliacoes!$H$2:$H$6000,0,Avaliacoes!$G$2:$G$6000,"&lt;&gt;")*Dimensoes!$E$4)</f>
        <v/>
      </c>
      <c r="M92" s="0" t="str">
        <f aca="false">IF($A92="","",COUNTIFS(Avaliacoes!$A$2:$A$6000,$A92,Avaliacoes!$F$2:$F$6000,"IV",Avaliacoes!$H$2:$H$6000,0,Avaliacoes!$G$2:$G$6000,"&lt;&gt;")*Dimensoes!$E$5)</f>
        <v/>
      </c>
      <c r="N92" s="9" t="str">
        <f aca="false">IF($A92="","",IF(J92&gt;0,F92/J92,""))</f>
        <v/>
      </c>
      <c r="O92" s="9" t="str">
        <f aca="false">IF($A92="","",IF(K92&gt;0,G92/K92,""))</f>
        <v/>
      </c>
      <c r="P92" s="9" t="str">
        <f aca="false">IF($A92="","",IF(L92&gt;0,H92/L92,""))</f>
        <v/>
      </c>
      <c r="Q92" s="9" t="str">
        <f aca="false">IF($A92="","",IF(M92&gt;0,I92/M92,""))</f>
        <v/>
      </c>
      <c r="R92" s="17" t="str">
        <f aca="false">IF($A92="","",IF((IF(N92="",0,Dimensoes!$C$2)+IF(O92="",0,Dimensoes!$C$3)+IF(P92="",0,Dimensoes!$C$4)+IF(Q92="",0,Dimensoes!$C$5))=0,"",(IF(N92="",0,N92*Dimensoes!$C$2)+IF(O92="",0,O92*Dimensoes!$C$3)+IF(P92="",0,P92*Dimensoes!$C$4)+IF(Q92="",0,Q92*Dimensoes!$C$5))/(IF(N92="",0,Dimensoes!$C$2)+IF(O92="",0,Dimensoes!$C$3)+IF(P92="",0,Dimensoes!$C$4)+IF(Q92="",0,Dimensoes!$C$5))))</f>
        <v/>
      </c>
      <c r="S92" s="0" t="str">
        <f aca="false">IF(R92="","",IF(R92&lt;Faixas!$C$3,"vermelho",IF(R92&lt;Faixas!$C$4,"amarelo","verde")))</f>
        <v/>
      </c>
      <c r="T92" s="9" t="str">
        <f aca="false">IF($A92="","",IF(N92="",0,N92*Dimensoes!$C$2)+IF(O92="",0,O92*Dimensoes!$C$3)+IF(P92="",0,P92*Dimensoes!$C$4)+IF(Q92="",0,Q92*Dimensoes!$C$5))</f>
        <v/>
      </c>
      <c r="U92" s="0" t="str">
        <f aca="false">IF($A92="","",IF(OR(E92="concluida",E92="incompleta"),1,0))</f>
        <v/>
      </c>
    </row>
    <row r="93" customFormat="false" ht="15" hidden="false" customHeight="false" outlineLevel="0" collapsed="false">
      <c r="A93" s="0" t="str">
        <f aca="false">IF(Visitas!A93="","",Visitas!A93)</f>
        <v/>
      </c>
      <c r="B93" s="0" t="str">
        <f aca="false">IF($A93="","",Visitas!C93)</f>
        <v/>
      </c>
      <c r="C93" s="7" t="str">
        <f aca="false">IF($A93="","",Visitas!D93)</f>
        <v/>
      </c>
      <c r="D93" s="0" t="str">
        <f aca="false">IF($A93="","",Visitas!B93)</f>
        <v/>
      </c>
      <c r="E93" s="0" t="str">
        <f aca="false">IF($A93="","",Visitas!F93)</f>
        <v/>
      </c>
      <c r="F93" s="0" t="str">
        <f aca="false">IF($A93="","",SUMIFS(Avaliacoes!$G$2:$G$6000,Avaliacoes!$A$2:$A$6000,$A93,Avaliacoes!$F$2:$F$6000,"I",Avaliacoes!$H$2:$H$6000,0))</f>
        <v/>
      </c>
      <c r="G93" s="0" t="str">
        <f aca="false">IF($A93="","",SUMIFS(Avaliacoes!$G$2:$G$6000,Avaliacoes!$A$2:$A$6000,$A93,Avaliacoes!$F$2:$F$6000,"II",Avaliacoes!$H$2:$H$6000,0))</f>
        <v/>
      </c>
      <c r="H93" s="0" t="str">
        <f aca="false">IF($A93="","",SUMIFS(Avaliacoes!$G$2:$G$6000,Avaliacoes!$A$2:$A$6000,$A93,Avaliacoes!$F$2:$F$6000,"III",Avaliacoes!$H$2:$H$6000,0))</f>
        <v/>
      </c>
      <c r="I93" s="0" t="str">
        <f aca="false">IF($A93="","",SUMIFS(Avaliacoes!$G$2:$G$6000,Avaliacoes!$A$2:$A$6000,$A93,Avaliacoes!$F$2:$F$6000,"IV",Avaliacoes!$H$2:$H$6000,0))</f>
        <v/>
      </c>
      <c r="J93" s="0" t="str">
        <f aca="false">IF($A93="","",COUNTIFS(Avaliacoes!$A$2:$A$6000,$A93,Avaliacoes!$F$2:$F$6000,"I",Avaliacoes!$H$2:$H$6000,0,Avaliacoes!$G$2:$G$6000,"&lt;&gt;")*Dimensoes!$E$2)</f>
        <v/>
      </c>
      <c r="K93" s="0" t="str">
        <f aca="false">IF($A93="","",COUNTIFS(Avaliacoes!$A$2:$A$6000,$A93,Avaliacoes!$F$2:$F$6000,"II",Avaliacoes!$H$2:$H$6000,0,Avaliacoes!$G$2:$G$6000,"&lt;&gt;")*Dimensoes!$E$3)</f>
        <v/>
      </c>
      <c r="L93" s="0" t="str">
        <f aca="false">IF($A93="","",COUNTIFS(Avaliacoes!$A$2:$A$6000,$A93,Avaliacoes!$F$2:$F$6000,"III",Avaliacoes!$H$2:$H$6000,0,Avaliacoes!$G$2:$G$6000,"&lt;&gt;")*Dimensoes!$E$4)</f>
        <v/>
      </c>
      <c r="M93" s="0" t="str">
        <f aca="false">IF($A93="","",COUNTIFS(Avaliacoes!$A$2:$A$6000,$A93,Avaliacoes!$F$2:$F$6000,"IV",Avaliacoes!$H$2:$H$6000,0,Avaliacoes!$G$2:$G$6000,"&lt;&gt;")*Dimensoes!$E$5)</f>
        <v/>
      </c>
      <c r="N93" s="9" t="str">
        <f aca="false">IF($A93="","",IF(J93&gt;0,F93/J93,""))</f>
        <v/>
      </c>
      <c r="O93" s="9" t="str">
        <f aca="false">IF($A93="","",IF(K93&gt;0,G93/K93,""))</f>
        <v/>
      </c>
      <c r="P93" s="9" t="str">
        <f aca="false">IF($A93="","",IF(L93&gt;0,H93/L93,""))</f>
        <v/>
      </c>
      <c r="Q93" s="9" t="str">
        <f aca="false">IF($A93="","",IF(M93&gt;0,I93/M93,""))</f>
        <v/>
      </c>
      <c r="R93" s="17" t="str">
        <f aca="false">IF($A93="","",IF((IF(N93="",0,Dimensoes!$C$2)+IF(O93="",0,Dimensoes!$C$3)+IF(P93="",0,Dimensoes!$C$4)+IF(Q93="",0,Dimensoes!$C$5))=0,"",(IF(N93="",0,N93*Dimensoes!$C$2)+IF(O93="",0,O93*Dimensoes!$C$3)+IF(P93="",0,P93*Dimensoes!$C$4)+IF(Q93="",0,Q93*Dimensoes!$C$5))/(IF(N93="",0,Dimensoes!$C$2)+IF(O93="",0,Dimensoes!$C$3)+IF(P93="",0,Dimensoes!$C$4)+IF(Q93="",0,Dimensoes!$C$5))))</f>
        <v/>
      </c>
      <c r="S93" s="0" t="str">
        <f aca="false">IF(R93="","",IF(R93&lt;Faixas!$C$3,"vermelho",IF(R93&lt;Faixas!$C$4,"amarelo","verde")))</f>
        <v/>
      </c>
      <c r="T93" s="9" t="str">
        <f aca="false">IF($A93="","",IF(N93="",0,N93*Dimensoes!$C$2)+IF(O93="",0,O93*Dimensoes!$C$3)+IF(P93="",0,P93*Dimensoes!$C$4)+IF(Q93="",0,Q93*Dimensoes!$C$5))</f>
        <v/>
      </c>
      <c r="U93" s="0" t="str">
        <f aca="false">IF($A93="","",IF(OR(E93="concluida",E93="incompleta"),1,0))</f>
        <v/>
      </c>
    </row>
    <row r="94" customFormat="false" ht="15" hidden="false" customHeight="false" outlineLevel="0" collapsed="false">
      <c r="A94" s="0" t="str">
        <f aca="false">IF(Visitas!A94="","",Visitas!A94)</f>
        <v/>
      </c>
      <c r="B94" s="0" t="str">
        <f aca="false">IF($A94="","",Visitas!C94)</f>
        <v/>
      </c>
      <c r="C94" s="7" t="str">
        <f aca="false">IF($A94="","",Visitas!D94)</f>
        <v/>
      </c>
      <c r="D94" s="0" t="str">
        <f aca="false">IF($A94="","",Visitas!B94)</f>
        <v/>
      </c>
      <c r="E94" s="0" t="str">
        <f aca="false">IF($A94="","",Visitas!F94)</f>
        <v/>
      </c>
      <c r="F94" s="0" t="str">
        <f aca="false">IF($A94="","",SUMIFS(Avaliacoes!$G$2:$G$6000,Avaliacoes!$A$2:$A$6000,$A94,Avaliacoes!$F$2:$F$6000,"I",Avaliacoes!$H$2:$H$6000,0))</f>
        <v/>
      </c>
      <c r="G94" s="0" t="str">
        <f aca="false">IF($A94="","",SUMIFS(Avaliacoes!$G$2:$G$6000,Avaliacoes!$A$2:$A$6000,$A94,Avaliacoes!$F$2:$F$6000,"II",Avaliacoes!$H$2:$H$6000,0))</f>
        <v/>
      </c>
      <c r="H94" s="0" t="str">
        <f aca="false">IF($A94="","",SUMIFS(Avaliacoes!$G$2:$G$6000,Avaliacoes!$A$2:$A$6000,$A94,Avaliacoes!$F$2:$F$6000,"III",Avaliacoes!$H$2:$H$6000,0))</f>
        <v/>
      </c>
      <c r="I94" s="0" t="str">
        <f aca="false">IF($A94="","",SUMIFS(Avaliacoes!$G$2:$G$6000,Avaliacoes!$A$2:$A$6000,$A94,Avaliacoes!$F$2:$F$6000,"IV",Avaliacoes!$H$2:$H$6000,0))</f>
        <v/>
      </c>
      <c r="J94" s="0" t="str">
        <f aca="false">IF($A94="","",COUNTIFS(Avaliacoes!$A$2:$A$6000,$A94,Avaliacoes!$F$2:$F$6000,"I",Avaliacoes!$H$2:$H$6000,0,Avaliacoes!$G$2:$G$6000,"&lt;&gt;")*Dimensoes!$E$2)</f>
        <v/>
      </c>
      <c r="K94" s="0" t="str">
        <f aca="false">IF($A94="","",COUNTIFS(Avaliacoes!$A$2:$A$6000,$A94,Avaliacoes!$F$2:$F$6000,"II",Avaliacoes!$H$2:$H$6000,0,Avaliacoes!$G$2:$G$6000,"&lt;&gt;")*Dimensoes!$E$3)</f>
        <v/>
      </c>
      <c r="L94" s="0" t="str">
        <f aca="false">IF($A94="","",COUNTIFS(Avaliacoes!$A$2:$A$6000,$A94,Avaliacoes!$F$2:$F$6000,"III",Avaliacoes!$H$2:$H$6000,0,Avaliacoes!$G$2:$G$6000,"&lt;&gt;")*Dimensoes!$E$4)</f>
        <v/>
      </c>
      <c r="M94" s="0" t="str">
        <f aca="false">IF($A94="","",COUNTIFS(Avaliacoes!$A$2:$A$6000,$A94,Avaliacoes!$F$2:$F$6000,"IV",Avaliacoes!$H$2:$H$6000,0,Avaliacoes!$G$2:$G$6000,"&lt;&gt;")*Dimensoes!$E$5)</f>
        <v/>
      </c>
      <c r="N94" s="9" t="str">
        <f aca="false">IF($A94="","",IF(J94&gt;0,F94/J94,""))</f>
        <v/>
      </c>
      <c r="O94" s="9" t="str">
        <f aca="false">IF($A94="","",IF(K94&gt;0,G94/K94,""))</f>
        <v/>
      </c>
      <c r="P94" s="9" t="str">
        <f aca="false">IF($A94="","",IF(L94&gt;0,H94/L94,""))</f>
        <v/>
      </c>
      <c r="Q94" s="9" t="str">
        <f aca="false">IF($A94="","",IF(M94&gt;0,I94/M94,""))</f>
        <v/>
      </c>
      <c r="R94" s="17" t="str">
        <f aca="false">IF($A94="","",IF((IF(N94="",0,Dimensoes!$C$2)+IF(O94="",0,Dimensoes!$C$3)+IF(P94="",0,Dimensoes!$C$4)+IF(Q94="",0,Dimensoes!$C$5))=0,"",(IF(N94="",0,N94*Dimensoes!$C$2)+IF(O94="",0,O94*Dimensoes!$C$3)+IF(P94="",0,P94*Dimensoes!$C$4)+IF(Q94="",0,Q94*Dimensoes!$C$5))/(IF(N94="",0,Dimensoes!$C$2)+IF(O94="",0,Dimensoes!$C$3)+IF(P94="",0,Dimensoes!$C$4)+IF(Q94="",0,Dimensoes!$C$5))))</f>
        <v/>
      </c>
      <c r="S94" s="0" t="str">
        <f aca="false">IF(R94="","",IF(R94&lt;Faixas!$C$3,"vermelho",IF(R94&lt;Faixas!$C$4,"amarelo","verde")))</f>
        <v/>
      </c>
      <c r="T94" s="9" t="str">
        <f aca="false">IF($A94="","",IF(N94="",0,N94*Dimensoes!$C$2)+IF(O94="",0,O94*Dimensoes!$C$3)+IF(P94="",0,P94*Dimensoes!$C$4)+IF(Q94="",0,Q94*Dimensoes!$C$5))</f>
        <v/>
      </c>
      <c r="U94" s="0" t="str">
        <f aca="false">IF($A94="","",IF(OR(E94="concluida",E94="incompleta"),1,0))</f>
        <v/>
      </c>
    </row>
    <row r="95" customFormat="false" ht="15" hidden="false" customHeight="false" outlineLevel="0" collapsed="false">
      <c r="A95" s="0" t="str">
        <f aca="false">IF(Visitas!A95="","",Visitas!A95)</f>
        <v/>
      </c>
      <c r="B95" s="0" t="str">
        <f aca="false">IF($A95="","",Visitas!C95)</f>
        <v/>
      </c>
      <c r="C95" s="7" t="str">
        <f aca="false">IF($A95="","",Visitas!D95)</f>
        <v/>
      </c>
      <c r="D95" s="0" t="str">
        <f aca="false">IF($A95="","",Visitas!B95)</f>
        <v/>
      </c>
      <c r="E95" s="0" t="str">
        <f aca="false">IF($A95="","",Visitas!F95)</f>
        <v/>
      </c>
      <c r="F95" s="0" t="str">
        <f aca="false">IF($A95="","",SUMIFS(Avaliacoes!$G$2:$G$6000,Avaliacoes!$A$2:$A$6000,$A95,Avaliacoes!$F$2:$F$6000,"I",Avaliacoes!$H$2:$H$6000,0))</f>
        <v/>
      </c>
      <c r="G95" s="0" t="str">
        <f aca="false">IF($A95="","",SUMIFS(Avaliacoes!$G$2:$G$6000,Avaliacoes!$A$2:$A$6000,$A95,Avaliacoes!$F$2:$F$6000,"II",Avaliacoes!$H$2:$H$6000,0))</f>
        <v/>
      </c>
      <c r="H95" s="0" t="str">
        <f aca="false">IF($A95="","",SUMIFS(Avaliacoes!$G$2:$G$6000,Avaliacoes!$A$2:$A$6000,$A95,Avaliacoes!$F$2:$F$6000,"III",Avaliacoes!$H$2:$H$6000,0))</f>
        <v/>
      </c>
      <c r="I95" s="0" t="str">
        <f aca="false">IF($A95="","",SUMIFS(Avaliacoes!$G$2:$G$6000,Avaliacoes!$A$2:$A$6000,$A95,Avaliacoes!$F$2:$F$6000,"IV",Avaliacoes!$H$2:$H$6000,0))</f>
        <v/>
      </c>
      <c r="J95" s="0" t="str">
        <f aca="false">IF($A95="","",COUNTIFS(Avaliacoes!$A$2:$A$6000,$A95,Avaliacoes!$F$2:$F$6000,"I",Avaliacoes!$H$2:$H$6000,0,Avaliacoes!$G$2:$G$6000,"&lt;&gt;")*Dimensoes!$E$2)</f>
        <v/>
      </c>
      <c r="K95" s="0" t="str">
        <f aca="false">IF($A95="","",COUNTIFS(Avaliacoes!$A$2:$A$6000,$A95,Avaliacoes!$F$2:$F$6000,"II",Avaliacoes!$H$2:$H$6000,0,Avaliacoes!$G$2:$G$6000,"&lt;&gt;")*Dimensoes!$E$3)</f>
        <v/>
      </c>
      <c r="L95" s="0" t="str">
        <f aca="false">IF($A95="","",COUNTIFS(Avaliacoes!$A$2:$A$6000,$A95,Avaliacoes!$F$2:$F$6000,"III",Avaliacoes!$H$2:$H$6000,0,Avaliacoes!$G$2:$G$6000,"&lt;&gt;")*Dimensoes!$E$4)</f>
        <v/>
      </c>
      <c r="M95" s="0" t="str">
        <f aca="false">IF($A95="","",COUNTIFS(Avaliacoes!$A$2:$A$6000,$A95,Avaliacoes!$F$2:$F$6000,"IV",Avaliacoes!$H$2:$H$6000,0,Avaliacoes!$G$2:$G$6000,"&lt;&gt;")*Dimensoes!$E$5)</f>
        <v/>
      </c>
      <c r="N95" s="9" t="str">
        <f aca="false">IF($A95="","",IF(J95&gt;0,F95/J95,""))</f>
        <v/>
      </c>
      <c r="O95" s="9" t="str">
        <f aca="false">IF($A95="","",IF(K95&gt;0,G95/K95,""))</f>
        <v/>
      </c>
      <c r="P95" s="9" t="str">
        <f aca="false">IF($A95="","",IF(L95&gt;0,H95/L95,""))</f>
        <v/>
      </c>
      <c r="Q95" s="9" t="str">
        <f aca="false">IF($A95="","",IF(M95&gt;0,I95/M95,""))</f>
        <v/>
      </c>
      <c r="R95" s="17" t="str">
        <f aca="false">IF($A95="","",IF((IF(N95="",0,Dimensoes!$C$2)+IF(O95="",0,Dimensoes!$C$3)+IF(P95="",0,Dimensoes!$C$4)+IF(Q95="",0,Dimensoes!$C$5))=0,"",(IF(N95="",0,N95*Dimensoes!$C$2)+IF(O95="",0,O95*Dimensoes!$C$3)+IF(P95="",0,P95*Dimensoes!$C$4)+IF(Q95="",0,Q95*Dimensoes!$C$5))/(IF(N95="",0,Dimensoes!$C$2)+IF(O95="",0,Dimensoes!$C$3)+IF(P95="",0,Dimensoes!$C$4)+IF(Q95="",0,Dimensoes!$C$5))))</f>
        <v/>
      </c>
      <c r="S95" s="0" t="str">
        <f aca="false">IF(R95="","",IF(R95&lt;Faixas!$C$3,"vermelho",IF(R95&lt;Faixas!$C$4,"amarelo","verde")))</f>
        <v/>
      </c>
      <c r="T95" s="9" t="str">
        <f aca="false">IF($A95="","",IF(N95="",0,N95*Dimensoes!$C$2)+IF(O95="",0,O95*Dimensoes!$C$3)+IF(P95="",0,P95*Dimensoes!$C$4)+IF(Q95="",0,Q95*Dimensoes!$C$5))</f>
        <v/>
      </c>
      <c r="U95" s="0" t="str">
        <f aca="false">IF($A95="","",IF(OR(E95="concluida",E95="incompleta"),1,0))</f>
        <v/>
      </c>
    </row>
    <row r="96" customFormat="false" ht="15" hidden="false" customHeight="false" outlineLevel="0" collapsed="false">
      <c r="A96" s="0" t="str">
        <f aca="false">IF(Visitas!A96="","",Visitas!A96)</f>
        <v/>
      </c>
      <c r="B96" s="0" t="str">
        <f aca="false">IF($A96="","",Visitas!C96)</f>
        <v/>
      </c>
      <c r="C96" s="7" t="str">
        <f aca="false">IF($A96="","",Visitas!D96)</f>
        <v/>
      </c>
      <c r="D96" s="0" t="str">
        <f aca="false">IF($A96="","",Visitas!B96)</f>
        <v/>
      </c>
      <c r="E96" s="0" t="str">
        <f aca="false">IF($A96="","",Visitas!F96)</f>
        <v/>
      </c>
      <c r="F96" s="0" t="str">
        <f aca="false">IF($A96="","",SUMIFS(Avaliacoes!$G$2:$G$6000,Avaliacoes!$A$2:$A$6000,$A96,Avaliacoes!$F$2:$F$6000,"I",Avaliacoes!$H$2:$H$6000,0))</f>
        <v/>
      </c>
      <c r="G96" s="0" t="str">
        <f aca="false">IF($A96="","",SUMIFS(Avaliacoes!$G$2:$G$6000,Avaliacoes!$A$2:$A$6000,$A96,Avaliacoes!$F$2:$F$6000,"II",Avaliacoes!$H$2:$H$6000,0))</f>
        <v/>
      </c>
      <c r="H96" s="0" t="str">
        <f aca="false">IF($A96="","",SUMIFS(Avaliacoes!$G$2:$G$6000,Avaliacoes!$A$2:$A$6000,$A96,Avaliacoes!$F$2:$F$6000,"III",Avaliacoes!$H$2:$H$6000,0))</f>
        <v/>
      </c>
      <c r="I96" s="0" t="str">
        <f aca="false">IF($A96="","",SUMIFS(Avaliacoes!$G$2:$G$6000,Avaliacoes!$A$2:$A$6000,$A96,Avaliacoes!$F$2:$F$6000,"IV",Avaliacoes!$H$2:$H$6000,0))</f>
        <v/>
      </c>
      <c r="J96" s="0" t="str">
        <f aca="false">IF($A96="","",COUNTIFS(Avaliacoes!$A$2:$A$6000,$A96,Avaliacoes!$F$2:$F$6000,"I",Avaliacoes!$H$2:$H$6000,0,Avaliacoes!$G$2:$G$6000,"&lt;&gt;")*Dimensoes!$E$2)</f>
        <v/>
      </c>
      <c r="K96" s="0" t="str">
        <f aca="false">IF($A96="","",COUNTIFS(Avaliacoes!$A$2:$A$6000,$A96,Avaliacoes!$F$2:$F$6000,"II",Avaliacoes!$H$2:$H$6000,0,Avaliacoes!$G$2:$G$6000,"&lt;&gt;")*Dimensoes!$E$3)</f>
        <v/>
      </c>
      <c r="L96" s="0" t="str">
        <f aca="false">IF($A96="","",COUNTIFS(Avaliacoes!$A$2:$A$6000,$A96,Avaliacoes!$F$2:$F$6000,"III",Avaliacoes!$H$2:$H$6000,0,Avaliacoes!$G$2:$G$6000,"&lt;&gt;")*Dimensoes!$E$4)</f>
        <v/>
      </c>
      <c r="M96" s="0" t="str">
        <f aca="false">IF($A96="","",COUNTIFS(Avaliacoes!$A$2:$A$6000,$A96,Avaliacoes!$F$2:$F$6000,"IV",Avaliacoes!$H$2:$H$6000,0,Avaliacoes!$G$2:$G$6000,"&lt;&gt;")*Dimensoes!$E$5)</f>
        <v/>
      </c>
      <c r="N96" s="9" t="str">
        <f aca="false">IF($A96="","",IF(J96&gt;0,F96/J96,""))</f>
        <v/>
      </c>
      <c r="O96" s="9" t="str">
        <f aca="false">IF($A96="","",IF(K96&gt;0,G96/K96,""))</f>
        <v/>
      </c>
      <c r="P96" s="9" t="str">
        <f aca="false">IF($A96="","",IF(L96&gt;0,H96/L96,""))</f>
        <v/>
      </c>
      <c r="Q96" s="9" t="str">
        <f aca="false">IF($A96="","",IF(M96&gt;0,I96/M96,""))</f>
        <v/>
      </c>
      <c r="R96" s="17" t="str">
        <f aca="false">IF($A96="","",IF((IF(N96="",0,Dimensoes!$C$2)+IF(O96="",0,Dimensoes!$C$3)+IF(P96="",0,Dimensoes!$C$4)+IF(Q96="",0,Dimensoes!$C$5))=0,"",(IF(N96="",0,N96*Dimensoes!$C$2)+IF(O96="",0,O96*Dimensoes!$C$3)+IF(P96="",0,P96*Dimensoes!$C$4)+IF(Q96="",0,Q96*Dimensoes!$C$5))/(IF(N96="",0,Dimensoes!$C$2)+IF(O96="",0,Dimensoes!$C$3)+IF(P96="",0,Dimensoes!$C$4)+IF(Q96="",0,Dimensoes!$C$5))))</f>
        <v/>
      </c>
      <c r="S96" s="0" t="str">
        <f aca="false">IF(R96="","",IF(R96&lt;Faixas!$C$3,"vermelho",IF(R96&lt;Faixas!$C$4,"amarelo","verde")))</f>
        <v/>
      </c>
      <c r="T96" s="9" t="str">
        <f aca="false">IF($A96="","",IF(N96="",0,N96*Dimensoes!$C$2)+IF(O96="",0,O96*Dimensoes!$C$3)+IF(P96="",0,P96*Dimensoes!$C$4)+IF(Q96="",0,Q96*Dimensoes!$C$5))</f>
        <v/>
      </c>
      <c r="U96" s="0" t="str">
        <f aca="false">IF($A96="","",IF(OR(E96="concluida",E96="incompleta"),1,0))</f>
        <v/>
      </c>
    </row>
    <row r="97" customFormat="false" ht="15" hidden="false" customHeight="false" outlineLevel="0" collapsed="false">
      <c r="A97" s="0" t="str">
        <f aca="false">IF(Visitas!A97="","",Visitas!A97)</f>
        <v/>
      </c>
      <c r="B97" s="0" t="str">
        <f aca="false">IF($A97="","",Visitas!C97)</f>
        <v/>
      </c>
      <c r="C97" s="7" t="str">
        <f aca="false">IF($A97="","",Visitas!D97)</f>
        <v/>
      </c>
      <c r="D97" s="0" t="str">
        <f aca="false">IF($A97="","",Visitas!B97)</f>
        <v/>
      </c>
      <c r="E97" s="0" t="str">
        <f aca="false">IF($A97="","",Visitas!F97)</f>
        <v/>
      </c>
      <c r="F97" s="0" t="str">
        <f aca="false">IF($A97="","",SUMIFS(Avaliacoes!$G$2:$G$6000,Avaliacoes!$A$2:$A$6000,$A97,Avaliacoes!$F$2:$F$6000,"I",Avaliacoes!$H$2:$H$6000,0))</f>
        <v/>
      </c>
      <c r="G97" s="0" t="str">
        <f aca="false">IF($A97="","",SUMIFS(Avaliacoes!$G$2:$G$6000,Avaliacoes!$A$2:$A$6000,$A97,Avaliacoes!$F$2:$F$6000,"II",Avaliacoes!$H$2:$H$6000,0))</f>
        <v/>
      </c>
      <c r="H97" s="0" t="str">
        <f aca="false">IF($A97="","",SUMIFS(Avaliacoes!$G$2:$G$6000,Avaliacoes!$A$2:$A$6000,$A97,Avaliacoes!$F$2:$F$6000,"III",Avaliacoes!$H$2:$H$6000,0))</f>
        <v/>
      </c>
      <c r="I97" s="0" t="str">
        <f aca="false">IF($A97="","",SUMIFS(Avaliacoes!$G$2:$G$6000,Avaliacoes!$A$2:$A$6000,$A97,Avaliacoes!$F$2:$F$6000,"IV",Avaliacoes!$H$2:$H$6000,0))</f>
        <v/>
      </c>
      <c r="J97" s="0" t="str">
        <f aca="false">IF($A97="","",COUNTIFS(Avaliacoes!$A$2:$A$6000,$A97,Avaliacoes!$F$2:$F$6000,"I",Avaliacoes!$H$2:$H$6000,0,Avaliacoes!$G$2:$G$6000,"&lt;&gt;")*Dimensoes!$E$2)</f>
        <v/>
      </c>
      <c r="K97" s="0" t="str">
        <f aca="false">IF($A97="","",COUNTIFS(Avaliacoes!$A$2:$A$6000,$A97,Avaliacoes!$F$2:$F$6000,"II",Avaliacoes!$H$2:$H$6000,0,Avaliacoes!$G$2:$G$6000,"&lt;&gt;")*Dimensoes!$E$3)</f>
        <v/>
      </c>
      <c r="L97" s="0" t="str">
        <f aca="false">IF($A97="","",COUNTIFS(Avaliacoes!$A$2:$A$6000,$A97,Avaliacoes!$F$2:$F$6000,"III",Avaliacoes!$H$2:$H$6000,0,Avaliacoes!$G$2:$G$6000,"&lt;&gt;")*Dimensoes!$E$4)</f>
        <v/>
      </c>
      <c r="M97" s="0" t="str">
        <f aca="false">IF($A97="","",COUNTIFS(Avaliacoes!$A$2:$A$6000,$A97,Avaliacoes!$F$2:$F$6000,"IV",Avaliacoes!$H$2:$H$6000,0,Avaliacoes!$G$2:$G$6000,"&lt;&gt;")*Dimensoes!$E$5)</f>
        <v/>
      </c>
      <c r="N97" s="9" t="str">
        <f aca="false">IF($A97="","",IF(J97&gt;0,F97/J97,""))</f>
        <v/>
      </c>
      <c r="O97" s="9" t="str">
        <f aca="false">IF($A97="","",IF(K97&gt;0,G97/K97,""))</f>
        <v/>
      </c>
      <c r="P97" s="9" t="str">
        <f aca="false">IF($A97="","",IF(L97&gt;0,H97/L97,""))</f>
        <v/>
      </c>
      <c r="Q97" s="9" t="str">
        <f aca="false">IF($A97="","",IF(M97&gt;0,I97/M97,""))</f>
        <v/>
      </c>
      <c r="R97" s="17" t="str">
        <f aca="false">IF($A97="","",IF((IF(N97="",0,Dimensoes!$C$2)+IF(O97="",0,Dimensoes!$C$3)+IF(P97="",0,Dimensoes!$C$4)+IF(Q97="",0,Dimensoes!$C$5))=0,"",(IF(N97="",0,N97*Dimensoes!$C$2)+IF(O97="",0,O97*Dimensoes!$C$3)+IF(P97="",0,P97*Dimensoes!$C$4)+IF(Q97="",0,Q97*Dimensoes!$C$5))/(IF(N97="",0,Dimensoes!$C$2)+IF(O97="",0,Dimensoes!$C$3)+IF(P97="",0,Dimensoes!$C$4)+IF(Q97="",0,Dimensoes!$C$5))))</f>
        <v/>
      </c>
      <c r="S97" s="0" t="str">
        <f aca="false">IF(R97="","",IF(R97&lt;Faixas!$C$3,"vermelho",IF(R97&lt;Faixas!$C$4,"amarelo","verde")))</f>
        <v/>
      </c>
      <c r="T97" s="9" t="str">
        <f aca="false">IF($A97="","",IF(N97="",0,N97*Dimensoes!$C$2)+IF(O97="",0,O97*Dimensoes!$C$3)+IF(P97="",0,P97*Dimensoes!$C$4)+IF(Q97="",0,Q97*Dimensoes!$C$5))</f>
        <v/>
      </c>
      <c r="U97" s="0" t="str">
        <f aca="false">IF($A97="","",IF(OR(E97="concluida",E97="incompleta"),1,0))</f>
        <v/>
      </c>
    </row>
    <row r="98" customFormat="false" ht="15" hidden="false" customHeight="false" outlineLevel="0" collapsed="false">
      <c r="A98" s="0" t="str">
        <f aca="false">IF(Visitas!A98="","",Visitas!A98)</f>
        <v/>
      </c>
      <c r="B98" s="0" t="str">
        <f aca="false">IF($A98="","",Visitas!C98)</f>
        <v/>
      </c>
      <c r="C98" s="7" t="str">
        <f aca="false">IF($A98="","",Visitas!D98)</f>
        <v/>
      </c>
      <c r="D98" s="0" t="str">
        <f aca="false">IF($A98="","",Visitas!B98)</f>
        <v/>
      </c>
      <c r="E98" s="0" t="str">
        <f aca="false">IF($A98="","",Visitas!F98)</f>
        <v/>
      </c>
      <c r="F98" s="0" t="str">
        <f aca="false">IF($A98="","",SUMIFS(Avaliacoes!$G$2:$G$6000,Avaliacoes!$A$2:$A$6000,$A98,Avaliacoes!$F$2:$F$6000,"I",Avaliacoes!$H$2:$H$6000,0))</f>
        <v/>
      </c>
      <c r="G98" s="0" t="str">
        <f aca="false">IF($A98="","",SUMIFS(Avaliacoes!$G$2:$G$6000,Avaliacoes!$A$2:$A$6000,$A98,Avaliacoes!$F$2:$F$6000,"II",Avaliacoes!$H$2:$H$6000,0))</f>
        <v/>
      </c>
      <c r="H98" s="0" t="str">
        <f aca="false">IF($A98="","",SUMIFS(Avaliacoes!$G$2:$G$6000,Avaliacoes!$A$2:$A$6000,$A98,Avaliacoes!$F$2:$F$6000,"III",Avaliacoes!$H$2:$H$6000,0))</f>
        <v/>
      </c>
      <c r="I98" s="0" t="str">
        <f aca="false">IF($A98="","",SUMIFS(Avaliacoes!$G$2:$G$6000,Avaliacoes!$A$2:$A$6000,$A98,Avaliacoes!$F$2:$F$6000,"IV",Avaliacoes!$H$2:$H$6000,0))</f>
        <v/>
      </c>
      <c r="J98" s="0" t="str">
        <f aca="false">IF($A98="","",COUNTIFS(Avaliacoes!$A$2:$A$6000,$A98,Avaliacoes!$F$2:$F$6000,"I",Avaliacoes!$H$2:$H$6000,0,Avaliacoes!$G$2:$G$6000,"&lt;&gt;")*Dimensoes!$E$2)</f>
        <v/>
      </c>
      <c r="K98" s="0" t="str">
        <f aca="false">IF($A98="","",COUNTIFS(Avaliacoes!$A$2:$A$6000,$A98,Avaliacoes!$F$2:$F$6000,"II",Avaliacoes!$H$2:$H$6000,0,Avaliacoes!$G$2:$G$6000,"&lt;&gt;")*Dimensoes!$E$3)</f>
        <v/>
      </c>
      <c r="L98" s="0" t="str">
        <f aca="false">IF($A98="","",COUNTIFS(Avaliacoes!$A$2:$A$6000,$A98,Avaliacoes!$F$2:$F$6000,"III",Avaliacoes!$H$2:$H$6000,0,Avaliacoes!$G$2:$G$6000,"&lt;&gt;")*Dimensoes!$E$4)</f>
        <v/>
      </c>
      <c r="M98" s="0" t="str">
        <f aca="false">IF($A98="","",COUNTIFS(Avaliacoes!$A$2:$A$6000,$A98,Avaliacoes!$F$2:$F$6000,"IV",Avaliacoes!$H$2:$H$6000,0,Avaliacoes!$G$2:$G$6000,"&lt;&gt;")*Dimensoes!$E$5)</f>
        <v/>
      </c>
      <c r="N98" s="9" t="str">
        <f aca="false">IF($A98="","",IF(J98&gt;0,F98/J98,""))</f>
        <v/>
      </c>
      <c r="O98" s="9" t="str">
        <f aca="false">IF($A98="","",IF(K98&gt;0,G98/K98,""))</f>
        <v/>
      </c>
      <c r="P98" s="9" t="str">
        <f aca="false">IF($A98="","",IF(L98&gt;0,H98/L98,""))</f>
        <v/>
      </c>
      <c r="Q98" s="9" t="str">
        <f aca="false">IF($A98="","",IF(M98&gt;0,I98/M98,""))</f>
        <v/>
      </c>
      <c r="R98" s="17" t="str">
        <f aca="false">IF($A98="","",IF((IF(N98="",0,Dimensoes!$C$2)+IF(O98="",0,Dimensoes!$C$3)+IF(P98="",0,Dimensoes!$C$4)+IF(Q98="",0,Dimensoes!$C$5))=0,"",(IF(N98="",0,N98*Dimensoes!$C$2)+IF(O98="",0,O98*Dimensoes!$C$3)+IF(P98="",0,P98*Dimensoes!$C$4)+IF(Q98="",0,Q98*Dimensoes!$C$5))/(IF(N98="",0,Dimensoes!$C$2)+IF(O98="",0,Dimensoes!$C$3)+IF(P98="",0,Dimensoes!$C$4)+IF(Q98="",0,Dimensoes!$C$5))))</f>
        <v/>
      </c>
      <c r="S98" s="0" t="str">
        <f aca="false">IF(R98="","",IF(R98&lt;Faixas!$C$3,"vermelho",IF(R98&lt;Faixas!$C$4,"amarelo","verde")))</f>
        <v/>
      </c>
      <c r="T98" s="9" t="str">
        <f aca="false">IF($A98="","",IF(N98="",0,N98*Dimensoes!$C$2)+IF(O98="",0,O98*Dimensoes!$C$3)+IF(P98="",0,P98*Dimensoes!$C$4)+IF(Q98="",0,Q98*Dimensoes!$C$5))</f>
        <v/>
      </c>
      <c r="U98" s="0" t="str">
        <f aca="false">IF($A98="","",IF(OR(E98="concluida",E98="incompleta"),1,0))</f>
        <v/>
      </c>
    </row>
    <row r="99" customFormat="false" ht="15" hidden="false" customHeight="false" outlineLevel="0" collapsed="false">
      <c r="A99" s="0" t="str">
        <f aca="false">IF(Visitas!A99="","",Visitas!A99)</f>
        <v/>
      </c>
      <c r="B99" s="0" t="str">
        <f aca="false">IF($A99="","",Visitas!C99)</f>
        <v/>
      </c>
      <c r="C99" s="7" t="str">
        <f aca="false">IF($A99="","",Visitas!D99)</f>
        <v/>
      </c>
      <c r="D99" s="0" t="str">
        <f aca="false">IF($A99="","",Visitas!B99)</f>
        <v/>
      </c>
      <c r="E99" s="0" t="str">
        <f aca="false">IF($A99="","",Visitas!F99)</f>
        <v/>
      </c>
      <c r="F99" s="0" t="str">
        <f aca="false">IF($A99="","",SUMIFS(Avaliacoes!$G$2:$G$6000,Avaliacoes!$A$2:$A$6000,$A99,Avaliacoes!$F$2:$F$6000,"I",Avaliacoes!$H$2:$H$6000,0))</f>
        <v/>
      </c>
      <c r="G99" s="0" t="str">
        <f aca="false">IF($A99="","",SUMIFS(Avaliacoes!$G$2:$G$6000,Avaliacoes!$A$2:$A$6000,$A99,Avaliacoes!$F$2:$F$6000,"II",Avaliacoes!$H$2:$H$6000,0))</f>
        <v/>
      </c>
      <c r="H99" s="0" t="str">
        <f aca="false">IF($A99="","",SUMIFS(Avaliacoes!$G$2:$G$6000,Avaliacoes!$A$2:$A$6000,$A99,Avaliacoes!$F$2:$F$6000,"III",Avaliacoes!$H$2:$H$6000,0))</f>
        <v/>
      </c>
      <c r="I99" s="0" t="str">
        <f aca="false">IF($A99="","",SUMIFS(Avaliacoes!$G$2:$G$6000,Avaliacoes!$A$2:$A$6000,$A99,Avaliacoes!$F$2:$F$6000,"IV",Avaliacoes!$H$2:$H$6000,0))</f>
        <v/>
      </c>
      <c r="J99" s="0" t="str">
        <f aca="false">IF($A99="","",COUNTIFS(Avaliacoes!$A$2:$A$6000,$A99,Avaliacoes!$F$2:$F$6000,"I",Avaliacoes!$H$2:$H$6000,0,Avaliacoes!$G$2:$G$6000,"&lt;&gt;")*Dimensoes!$E$2)</f>
        <v/>
      </c>
      <c r="K99" s="0" t="str">
        <f aca="false">IF($A99="","",COUNTIFS(Avaliacoes!$A$2:$A$6000,$A99,Avaliacoes!$F$2:$F$6000,"II",Avaliacoes!$H$2:$H$6000,0,Avaliacoes!$G$2:$G$6000,"&lt;&gt;")*Dimensoes!$E$3)</f>
        <v/>
      </c>
      <c r="L99" s="0" t="str">
        <f aca="false">IF($A99="","",COUNTIFS(Avaliacoes!$A$2:$A$6000,$A99,Avaliacoes!$F$2:$F$6000,"III",Avaliacoes!$H$2:$H$6000,0,Avaliacoes!$G$2:$G$6000,"&lt;&gt;")*Dimensoes!$E$4)</f>
        <v/>
      </c>
      <c r="M99" s="0" t="str">
        <f aca="false">IF($A99="","",COUNTIFS(Avaliacoes!$A$2:$A$6000,$A99,Avaliacoes!$F$2:$F$6000,"IV",Avaliacoes!$H$2:$H$6000,0,Avaliacoes!$G$2:$G$6000,"&lt;&gt;")*Dimensoes!$E$5)</f>
        <v/>
      </c>
      <c r="N99" s="9" t="str">
        <f aca="false">IF($A99="","",IF(J99&gt;0,F99/J99,""))</f>
        <v/>
      </c>
      <c r="O99" s="9" t="str">
        <f aca="false">IF($A99="","",IF(K99&gt;0,G99/K99,""))</f>
        <v/>
      </c>
      <c r="P99" s="9" t="str">
        <f aca="false">IF($A99="","",IF(L99&gt;0,H99/L99,""))</f>
        <v/>
      </c>
      <c r="Q99" s="9" t="str">
        <f aca="false">IF($A99="","",IF(M99&gt;0,I99/M99,""))</f>
        <v/>
      </c>
      <c r="R99" s="17" t="str">
        <f aca="false">IF($A99="","",IF((IF(N99="",0,Dimensoes!$C$2)+IF(O99="",0,Dimensoes!$C$3)+IF(P99="",0,Dimensoes!$C$4)+IF(Q99="",0,Dimensoes!$C$5))=0,"",(IF(N99="",0,N99*Dimensoes!$C$2)+IF(O99="",0,O99*Dimensoes!$C$3)+IF(P99="",0,P99*Dimensoes!$C$4)+IF(Q99="",0,Q99*Dimensoes!$C$5))/(IF(N99="",0,Dimensoes!$C$2)+IF(O99="",0,Dimensoes!$C$3)+IF(P99="",0,Dimensoes!$C$4)+IF(Q99="",0,Dimensoes!$C$5))))</f>
        <v/>
      </c>
      <c r="S99" s="0" t="str">
        <f aca="false">IF(R99="","",IF(R99&lt;Faixas!$C$3,"vermelho",IF(R99&lt;Faixas!$C$4,"amarelo","verde")))</f>
        <v/>
      </c>
      <c r="T99" s="9" t="str">
        <f aca="false">IF($A99="","",IF(N99="",0,N99*Dimensoes!$C$2)+IF(O99="",0,O99*Dimensoes!$C$3)+IF(P99="",0,P99*Dimensoes!$C$4)+IF(Q99="",0,Q99*Dimensoes!$C$5))</f>
        <v/>
      </c>
      <c r="U99" s="0" t="str">
        <f aca="false">IF($A99="","",IF(OR(E99="concluida",E99="incompleta"),1,0))</f>
        <v/>
      </c>
    </row>
    <row r="100" customFormat="false" ht="15" hidden="false" customHeight="false" outlineLevel="0" collapsed="false">
      <c r="A100" s="0" t="str">
        <f aca="false">IF(Visitas!A100="","",Visitas!A100)</f>
        <v/>
      </c>
      <c r="B100" s="0" t="str">
        <f aca="false">IF($A100="","",Visitas!C100)</f>
        <v/>
      </c>
      <c r="C100" s="7" t="str">
        <f aca="false">IF($A100="","",Visitas!D100)</f>
        <v/>
      </c>
      <c r="D100" s="0" t="str">
        <f aca="false">IF($A100="","",Visitas!B100)</f>
        <v/>
      </c>
      <c r="E100" s="0" t="str">
        <f aca="false">IF($A100="","",Visitas!F100)</f>
        <v/>
      </c>
      <c r="F100" s="0" t="str">
        <f aca="false">IF($A100="","",SUMIFS(Avaliacoes!$G$2:$G$6000,Avaliacoes!$A$2:$A$6000,$A100,Avaliacoes!$F$2:$F$6000,"I",Avaliacoes!$H$2:$H$6000,0))</f>
        <v/>
      </c>
      <c r="G100" s="0" t="str">
        <f aca="false">IF($A100="","",SUMIFS(Avaliacoes!$G$2:$G$6000,Avaliacoes!$A$2:$A$6000,$A100,Avaliacoes!$F$2:$F$6000,"II",Avaliacoes!$H$2:$H$6000,0))</f>
        <v/>
      </c>
      <c r="H100" s="0" t="str">
        <f aca="false">IF($A100="","",SUMIFS(Avaliacoes!$G$2:$G$6000,Avaliacoes!$A$2:$A$6000,$A100,Avaliacoes!$F$2:$F$6000,"III",Avaliacoes!$H$2:$H$6000,0))</f>
        <v/>
      </c>
      <c r="I100" s="0" t="str">
        <f aca="false">IF($A100="","",SUMIFS(Avaliacoes!$G$2:$G$6000,Avaliacoes!$A$2:$A$6000,$A100,Avaliacoes!$F$2:$F$6000,"IV",Avaliacoes!$H$2:$H$6000,0))</f>
        <v/>
      </c>
      <c r="J100" s="0" t="str">
        <f aca="false">IF($A100="","",COUNTIFS(Avaliacoes!$A$2:$A$6000,$A100,Avaliacoes!$F$2:$F$6000,"I",Avaliacoes!$H$2:$H$6000,0,Avaliacoes!$G$2:$G$6000,"&lt;&gt;")*Dimensoes!$E$2)</f>
        <v/>
      </c>
      <c r="K100" s="0" t="str">
        <f aca="false">IF($A100="","",COUNTIFS(Avaliacoes!$A$2:$A$6000,$A100,Avaliacoes!$F$2:$F$6000,"II",Avaliacoes!$H$2:$H$6000,0,Avaliacoes!$G$2:$G$6000,"&lt;&gt;")*Dimensoes!$E$3)</f>
        <v/>
      </c>
      <c r="L100" s="0" t="str">
        <f aca="false">IF($A100="","",COUNTIFS(Avaliacoes!$A$2:$A$6000,$A100,Avaliacoes!$F$2:$F$6000,"III",Avaliacoes!$H$2:$H$6000,0,Avaliacoes!$G$2:$G$6000,"&lt;&gt;")*Dimensoes!$E$4)</f>
        <v/>
      </c>
      <c r="M100" s="0" t="str">
        <f aca="false">IF($A100="","",COUNTIFS(Avaliacoes!$A$2:$A$6000,$A100,Avaliacoes!$F$2:$F$6000,"IV",Avaliacoes!$H$2:$H$6000,0,Avaliacoes!$G$2:$G$6000,"&lt;&gt;")*Dimensoes!$E$5)</f>
        <v/>
      </c>
      <c r="N100" s="9" t="str">
        <f aca="false">IF($A100="","",IF(J100&gt;0,F100/J100,""))</f>
        <v/>
      </c>
      <c r="O100" s="9" t="str">
        <f aca="false">IF($A100="","",IF(K100&gt;0,G100/K100,""))</f>
        <v/>
      </c>
      <c r="P100" s="9" t="str">
        <f aca="false">IF($A100="","",IF(L100&gt;0,H100/L100,""))</f>
        <v/>
      </c>
      <c r="Q100" s="9" t="str">
        <f aca="false">IF($A100="","",IF(M100&gt;0,I100/M100,""))</f>
        <v/>
      </c>
      <c r="R100" s="17" t="str">
        <f aca="false">IF($A100="","",IF((IF(N100="",0,Dimensoes!$C$2)+IF(O100="",0,Dimensoes!$C$3)+IF(P100="",0,Dimensoes!$C$4)+IF(Q100="",0,Dimensoes!$C$5))=0,"",(IF(N100="",0,N100*Dimensoes!$C$2)+IF(O100="",0,O100*Dimensoes!$C$3)+IF(P100="",0,P100*Dimensoes!$C$4)+IF(Q100="",0,Q100*Dimensoes!$C$5))/(IF(N100="",0,Dimensoes!$C$2)+IF(O100="",0,Dimensoes!$C$3)+IF(P100="",0,Dimensoes!$C$4)+IF(Q100="",0,Dimensoes!$C$5))))</f>
        <v/>
      </c>
      <c r="S100" s="0" t="str">
        <f aca="false">IF(R100="","",IF(R100&lt;Faixas!$C$3,"vermelho",IF(R100&lt;Faixas!$C$4,"amarelo","verde")))</f>
        <v/>
      </c>
      <c r="T100" s="9" t="str">
        <f aca="false">IF($A100="","",IF(N100="",0,N100*Dimensoes!$C$2)+IF(O100="",0,O100*Dimensoes!$C$3)+IF(P100="",0,P100*Dimensoes!$C$4)+IF(Q100="",0,Q100*Dimensoes!$C$5))</f>
        <v/>
      </c>
      <c r="U100" s="0" t="str">
        <f aca="false">IF($A100="","",IF(OR(E100="concluida",E100="incompleta"),1,0))</f>
        <v/>
      </c>
    </row>
    <row r="101" customFormat="false" ht="15" hidden="false" customHeight="false" outlineLevel="0" collapsed="false">
      <c r="A101" s="0" t="str">
        <f aca="false">IF(Visitas!A101="","",Visitas!A101)</f>
        <v/>
      </c>
      <c r="B101" s="0" t="str">
        <f aca="false">IF($A101="","",Visitas!C101)</f>
        <v/>
      </c>
      <c r="C101" s="7" t="str">
        <f aca="false">IF($A101="","",Visitas!D101)</f>
        <v/>
      </c>
      <c r="D101" s="0" t="str">
        <f aca="false">IF($A101="","",Visitas!B101)</f>
        <v/>
      </c>
      <c r="E101" s="0" t="str">
        <f aca="false">IF($A101="","",Visitas!F101)</f>
        <v/>
      </c>
      <c r="F101" s="0" t="str">
        <f aca="false">IF($A101="","",SUMIFS(Avaliacoes!$G$2:$G$6000,Avaliacoes!$A$2:$A$6000,$A101,Avaliacoes!$F$2:$F$6000,"I",Avaliacoes!$H$2:$H$6000,0))</f>
        <v/>
      </c>
      <c r="G101" s="0" t="str">
        <f aca="false">IF($A101="","",SUMIFS(Avaliacoes!$G$2:$G$6000,Avaliacoes!$A$2:$A$6000,$A101,Avaliacoes!$F$2:$F$6000,"II",Avaliacoes!$H$2:$H$6000,0))</f>
        <v/>
      </c>
      <c r="H101" s="0" t="str">
        <f aca="false">IF($A101="","",SUMIFS(Avaliacoes!$G$2:$G$6000,Avaliacoes!$A$2:$A$6000,$A101,Avaliacoes!$F$2:$F$6000,"III",Avaliacoes!$H$2:$H$6000,0))</f>
        <v/>
      </c>
      <c r="I101" s="0" t="str">
        <f aca="false">IF($A101="","",SUMIFS(Avaliacoes!$G$2:$G$6000,Avaliacoes!$A$2:$A$6000,$A101,Avaliacoes!$F$2:$F$6000,"IV",Avaliacoes!$H$2:$H$6000,0))</f>
        <v/>
      </c>
      <c r="J101" s="0" t="str">
        <f aca="false">IF($A101="","",COUNTIFS(Avaliacoes!$A$2:$A$6000,$A101,Avaliacoes!$F$2:$F$6000,"I",Avaliacoes!$H$2:$H$6000,0,Avaliacoes!$G$2:$G$6000,"&lt;&gt;")*Dimensoes!$E$2)</f>
        <v/>
      </c>
      <c r="K101" s="0" t="str">
        <f aca="false">IF($A101="","",COUNTIFS(Avaliacoes!$A$2:$A$6000,$A101,Avaliacoes!$F$2:$F$6000,"II",Avaliacoes!$H$2:$H$6000,0,Avaliacoes!$G$2:$G$6000,"&lt;&gt;")*Dimensoes!$E$3)</f>
        <v/>
      </c>
      <c r="L101" s="0" t="str">
        <f aca="false">IF($A101="","",COUNTIFS(Avaliacoes!$A$2:$A$6000,$A101,Avaliacoes!$F$2:$F$6000,"III",Avaliacoes!$H$2:$H$6000,0,Avaliacoes!$G$2:$G$6000,"&lt;&gt;")*Dimensoes!$E$4)</f>
        <v/>
      </c>
      <c r="M101" s="0" t="str">
        <f aca="false">IF($A101="","",COUNTIFS(Avaliacoes!$A$2:$A$6000,$A101,Avaliacoes!$F$2:$F$6000,"IV",Avaliacoes!$H$2:$H$6000,0,Avaliacoes!$G$2:$G$6000,"&lt;&gt;")*Dimensoes!$E$5)</f>
        <v/>
      </c>
      <c r="N101" s="9" t="str">
        <f aca="false">IF($A101="","",IF(J101&gt;0,F101/J101,""))</f>
        <v/>
      </c>
      <c r="O101" s="9" t="str">
        <f aca="false">IF($A101="","",IF(K101&gt;0,G101/K101,""))</f>
        <v/>
      </c>
      <c r="P101" s="9" t="str">
        <f aca="false">IF($A101="","",IF(L101&gt;0,H101/L101,""))</f>
        <v/>
      </c>
      <c r="Q101" s="9" t="str">
        <f aca="false">IF($A101="","",IF(M101&gt;0,I101/M101,""))</f>
        <v/>
      </c>
      <c r="R101" s="17" t="str">
        <f aca="false">IF($A101="","",IF((IF(N101="",0,Dimensoes!$C$2)+IF(O101="",0,Dimensoes!$C$3)+IF(P101="",0,Dimensoes!$C$4)+IF(Q101="",0,Dimensoes!$C$5))=0,"",(IF(N101="",0,N101*Dimensoes!$C$2)+IF(O101="",0,O101*Dimensoes!$C$3)+IF(P101="",0,P101*Dimensoes!$C$4)+IF(Q101="",0,Q101*Dimensoes!$C$5))/(IF(N101="",0,Dimensoes!$C$2)+IF(O101="",0,Dimensoes!$C$3)+IF(P101="",0,Dimensoes!$C$4)+IF(Q101="",0,Dimensoes!$C$5))))</f>
        <v/>
      </c>
      <c r="S101" s="0" t="str">
        <f aca="false">IF(R101="","",IF(R101&lt;Faixas!$C$3,"vermelho",IF(R101&lt;Faixas!$C$4,"amarelo","verde")))</f>
        <v/>
      </c>
      <c r="T101" s="9" t="str">
        <f aca="false">IF($A101="","",IF(N101="",0,N101*Dimensoes!$C$2)+IF(O101="",0,O101*Dimensoes!$C$3)+IF(P101="",0,P101*Dimensoes!$C$4)+IF(Q101="",0,Q101*Dimensoes!$C$5))</f>
        <v/>
      </c>
      <c r="U101" s="0" t="str">
        <f aca="false">IF($A101="","",IF(OR(E101="concluida",E101="incompleta"),1,0))</f>
        <v/>
      </c>
    </row>
    <row r="102" customFormat="false" ht="15" hidden="false" customHeight="false" outlineLevel="0" collapsed="false">
      <c r="A102" s="0" t="str">
        <f aca="false">IF(Visitas!A102="","",Visitas!A102)</f>
        <v/>
      </c>
      <c r="B102" s="0" t="str">
        <f aca="false">IF($A102="","",Visitas!C102)</f>
        <v/>
      </c>
      <c r="C102" s="7" t="str">
        <f aca="false">IF($A102="","",Visitas!D102)</f>
        <v/>
      </c>
      <c r="D102" s="0" t="str">
        <f aca="false">IF($A102="","",Visitas!B102)</f>
        <v/>
      </c>
      <c r="E102" s="0" t="str">
        <f aca="false">IF($A102="","",Visitas!F102)</f>
        <v/>
      </c>
      <c r="F102" s="0" t="str">
        <f aca="false">IF($A102="","",SUMIFS(Avaliacoes!$G$2:$G$6000,Avaliacoes!$A$2:$A$6000,$A102,Avaliacoes!$F$2:$F$6000,"I",Avaliacoes!$H$2:$H$6000,0))</f>
        <v/>
      </c>
      <c r="G102" s="0" t="str">
        <f aca="false">IF($A102="","",SUMIFS(Avaliacoes!$G$2:$G$6000,Avaliacoes!$A$2:$A$6000,$A102,Avaliacoes!$F$2:$F$6000,"II",Avaliacoes!$H$2:$H$6000,0))</f>
        <v/>
      </c>
      <c r="H102" s="0" t="str">
        <f aca="false">IF($A102="","",SUMIFS(Avaliacoes!$G$2:$G$6000,Avaliacoes!$A$2:$A$6000,$A102,Avaliacoes!$F$2:$F$6000,"III",Avaliacoes!$H$2:$H$6000,0))</f>
        <v/>
      </c>
      <c r="I102" s="0" t="str">
        <f aca="false">IF($A102="","",SUMIFS(Avaliacoes!$G$2:$G$6000,Avaliacoes!$A$2:$A$6000,$A102,Avaliacoes!$F$2:$F$6000,"IV",Avaliacoes!$H$2:$H$6000,0))</f>
        <v/>
      </c>
      <c r="J102" s="0" t="str">
        <f aca="false">IF($A102="","",COUNTIFS(Avaliacoes!$A$2:$A$6000,$A102,Avaliacoes!$F$2:$F$6000,"I",Avaliacoes!$H$2:$H$6000,0,Avaliacoes!$G$2:$G$6000,"&lt;&gt;")*Dimensoes!$E$2)</f>
        <v/>
      </c>
      <c r="K102" s="0" t="str">
        <f aca="false">IF($A102="","",COUNTIFS(Avaliacoes!$A$2:$A$6000,$A102,Avaliacoes!$F$2:$F$6000,"II",Avaliacoes!$H$2:$H$6000,0,Avaliacoes!$G$2:$G$6000,"&lt;&gt;")*Dimensoes!$E$3)</f>
        <v/>
      </c>
      <c r="L102" s="0" t="str">
        <f aca="false">IF($A102="","",COUNTIFS(Avaliacoes!$A$2:$A$6000,$A102,Avaliacoes!$F$2:$F$6000,"III",Avaliacoes!$H$2:$H$6000,0,Avaliacoes!$G$2:$G$6000,"&lt;&gt;")*Dimensoes!$E$4)</f>
        <v/>
      </c>
      <c r="M102" s="0" t="str">
        <f aca="false">IF($A102="","",COUNTIFS(Avaliacoes!$A$2:$A$6000,$A102,Avaliacoes!$F$2:$F$6000,"IV",Avaliacoes!$H$2:$H$6000,0,Avaliacoes!$G$2:$G$6000,"&lt;&gt;")*Dimensoes!$E$5)</f>
        <v/>
      </c>
      <c r="N102" s="9" t="str">
        <f aca="false">IF($A102="","",IF(J102&gt;0,F102/J102,""))</f>
        <v/>
      </c>
      <c r="O102" s="9" t="str">
        <f aca="false">IF($A102="","",IF(K102&gt;0,G102/K102,""))</f>
        <v/>
      </c>
      <c r="P102" s="9" t="str">
        <f aca="false">IF($A102="","",IF(L102&gt;0,H102/L102,""))</f>
        <v/>
      </c>
      <c r="Q102" s="9" t="str">
        <f aca="false">IF($A102="","",IF(M102&gt;0,I102/M102,""))</f>
        <v/>
      </c>
      <c r="R102" s="17" t="str">
        <f aca="false">IF($A102="","",IF((IF(N102="",0,Dimensoes!$C$2)+IF(O102="",0,Dimensoes!$C$3)+IF(P102="",0,Dimensoes!$C$4)+IF(Q102="",0,Dimensoes!$C$5))=0,"",(IF(N102="",0,N102*Dimensoes!$C$2)+IF(O102="",0,O102*Dimensoes!$C$3)+IF(P102="",0,P102*Dimensoes!$C$4)+IF(Q102="",0,Q102*Dimensoes!$C$5))/(IF(N102="",0,Dimensoes!$C$2)+IF(O102="",0,Dimensoes!$C$3)+IF(P102="",0,Dimensoes!$C$4)+IF(Q102="",0,Dimensoes!$C$5))))</f>
        <v/>
      </c>
      <c r="S102" s="0" t="str">
        <f aca="false">IF(R102="","",IF(R102&lt;Faixas!$C$3,"vermelho",IF(R102&lt;Faixas!$C$4,"amarelo","verde")))</f>
        <v/>
      </c>
      <c r="T102" s="9" t="str">
        <f aca="false">IF($A102="","",IF(N102="",0,N102*Dimensoes!$C$2)+IF(O102="",0,O102*Dimensoes!$C$3)+IF(P102="",0,P102*Dimensoes!$C$4)+IF(Q102="",0,Q102*Dimensoes!$C$5))</f>
        <v/>
      </c>
      <c r="U102" s="0" t="str">
        <f aca="false">IF($A102="","",IF(OR(E102="concluida",E102="incompleta"),1,0))</f>
        <v/>
      </c>
    </row>
    <row r="103" customFormat="false" ht="15" hidden="false" customHeight="false" outlineLevel="0" collapsed="false">
      <c r="A103" s="0" t="str">
        <f aca="false">IF(Visitas!A103="","",Visitas!A103)</f>
        <v/>
      </c>
      <c r="B103" s="0" t="str">
        <f aca="false">IF($A103="","",Visitas!C103)</f>
        <v/>
      </c>
      <c r="C103" s="7" t="str">
        <f aca="false">IF($A103="","",Visitas!D103)</f>
        <v/>
      </c>
      <c r="D103" s="0" t="str">
        <f aca="false">IF($A103="","",Visitas!B103)</f>
        <v/>
      </c>
      <c r="E103" s="0" t="str">
        <f aca="false">IF($A103="","",Visitas!F103)</f>
        <v/>
      </c>
      <c r="F103" s="0" t="str">
        <f aca="false">IF($A103="","",SUMIFS(Avaliacoes!$G$2:$G$6000,Avaliacoes!$A$2:$A$6000,$A103,Avaliacoes!$F$2:$F$6000,"I",Avaliacoes!$H$2:$H$6000,0))</f>
        <v/>
      </c>
      <c r="G103" s="0" t="str">
        <f aca="false">IF($A103="","",SUMIFS(Avaliacoes!$G$2:$G$6000,Avaliacoes!$A$2:$A$6000,$A103,Avaliacoes!$F$2:$F$6000,"II",Avaliacoes!$H$2:$H$6000,0))</f>
        <v/>
      </c>
      <c r="H103" s="0" t="str">
        <f aca="false">IF($A103="","",SUMIFS(Avaliacoes!$G$2:$G$6000,Avaliacoes!$A$2:$A$6000,$A103,Avaliacoes!$F$2:$F$6000,"III",Avaliacoes!$H$2:$H$6000,0))</f>
        <v/>
      </c>
      <c r="I103" s="0" t="str">
        <f aca="false">IF($A103="","",SUMIFS(Avaliacoes!$G$2:$G$6000,Avaliacoes!$A$2:$A$6000,$A103,Avaliacoes!$F$2:$F$6000,"IV",Avaliacoes!$H$2:$H$6000,0))</f>
        <v/>
      </c>
      <c r="J103" s="0" t="str">
        <f aca="false">IF($A103="","",COUNTIFS(Avaliacoes!$A$2:$A$6000,$A103,Avaliacoes!$F$2:$F$6000,"I",Avaliacoes!$H$2:$H$6000,0,Avaliacoes!$G$2:$G$6000,"&lt;&gt;")*Dimensoes!$E$2)</f>
        <v/>
      </c>
      <c r="K103" s="0" t="str">
        <f aca="false">IF($A103="","",COUNTIFS(Avaliacoes!$A$2:$A$6000,$A103,Avaliacoes!$F$2:$F$6000,"II",Avaliacoes!$H$2:$H$6000,0,Avaliacoes!$G$2:$G$6000,"&lt;&gt;")*Dimensoes!$E$3)</f>
        <v/>
      </c>
      <c r="L103" s="0" t="str">
        <f aca="false">IF($A103="","",COUNTIFS(Avaliacoes!$A$2:$A$6000,$A103,Avaliacoes!$F$2:$F$6000,"III",Avaliacoes!$H$2:$H$6000,0,Avaliacoes!$G$2:$G$6000,"&lt;&gt;")*Dimensoes!$E$4)</f>
        <v/>
      </c>
      <c r="M103" s="0" t="str">
        <f aca="false">IF($A103="","",COUNTIFS(Avaliacoes!$A$2:$A$6000,$A103,Avaliacoes!$F$2:$F$6000,"IV",Avaliacoes!$H$2:$H$6000,0,Avaliacoes!$G$2:$G$6000,"&lt;&gt;")*Dimensoes!$E$5)</f>
        <v/>
      </c>
      <c r="N103" s="9" t="str">
        <f aca="false">IF($A103="","",IF(J103&gt;0,F103/J103,""))</f>
        <v/>
      </c>
      <c r="O103" s="9" t="str">
        <f aca="false">IF($A103="","",IF(K103&gt;0,G103/K103,""))</f>
        <v/>
      </c>
      <c r="P103" s="9" t="str">
        <f aca="false">IF($A103="","",IF(L103&gt;0,H103/L103,""))</f>
        <v/>
      </c>
      <c r="Q103" s="9" t="str">
        <f aca="false">IF($A103="","",IF(M103&gt;0,I103/M103,""))</f>
        <v/>
      </c>
      <c r="R103" s="17" t="str">
        <f aca="false">IF($A103="","",IF((IF(N103="",0,Dimensoes!$C$2)+IF(O103="",0,Dimensoes!$C$3)+IF(P103="",0,Dimensoes!$C$4)+IF(Q103="",0,Dimensoes!$C$5))=0,"",(IF(N103="",0,N103*Dimensoes!$C$2)+IF(O103="",0,O103*Dimensoes!$C$3)+IF(P103="",0,P103*Dimensoes!$C$4)+IF(Q103="",0,Q103*Dimensoes!$C$5))/(IF(N103="",0,Dimensoes!$C$2)+IF(O103="",0,Dimensoes!$C$3)+IF(P103="",0,Dimensoes!$C$4)+IF(Q103="",0,Dimensoes!$C$5))))</f>
        <v/>
      </c>
      <c r="S103" s="0" t="str">
        <f aca="false">IF(R103="","",IF(R103&lt;Faixas!$C$3,"vermelho",IF(R103&lt;Faixas!$C$4,"amarelo","verde")))</f>
        <v/>
      </c>
      <c r="T103" s="9" t="str">
        <f aca="false">IF($A103="","",IF(N103="",0,N103*Dimensoes!$C$2)+IF(O103="",0,O103*Dimensoes!$C$3)+IF(P103="",0,P103*Dimensoes!$C$4)+IF(Q103="",0,Q103*Dimensoes!$C$5))</f>
        <v/>
      </c>
      <c r="U103" s="0" t="str">
        <f aca="false">IF($A103="","",IF(OR(E103="concluida",E103="incompleta"),1,0))</f>
        <v/>
      </c>
    </row>
    <row r="104" customFormat="false" ht="15" hidden="false" customHeight="false" outlineLevel="0" collapsed="false">
      <c r="A104" s="0" t="str">
        <f aca="false">IF(Visitas!A104="","",Visitas!A104)</f>
        <v/>
      </c>
      <c r="B104" s="0" t="str">
        <f aca="false">IF($A104="","",Visitas!C104)</f>
        <v/>
      </c>
      <c r="C104" s="7" t="str">
        <f aca="false">IF($A104="","",Visitas!D104)</f>
        <v/>
      </c>
      <c r="D104" s="0" t="str">
        <f aca="false">IF($A104="","",Visitas!B104)</f>
        <v/>
      </c>
      <c r="E104" s="0" t="str">
        <f aca="false">IF($A104="","",Visitas!F104)</f>
        <v/>
      </c>
      <c r="F104" s="0" t="str">
        <f aca="false">IF($A104="","",SUMIFS(Avaliacoes!$G$2:$G$6000,Avaliacoes!$A$2:$A$6000,$A104,Avaliacoes!$F$2:$F$6000,"I",Avaliacoes!$H$2:$H$6000,0))</f>
        <v/>
      </c>
      <c r="G104" s="0" t="str">
        <f aca="false">IF($A104="","",SUMIFS(Avaliacoes!$G$2:$G$6000,Avaliacoes!$A$2:$A$6000,$A104,Avaliacoes!$F$2:$F$6000,"II",Avaliacoes!$H$2:$H$6000,0))</f>
        <v/>
      </c>
      <c r="H104" s="0" t="str">
        <f aca="false">IF($A104="","",SUMIFS(Avaliacoes!$G$2:$G$6000,Avaliacoes!$A$2:$A$6000,$A104,Avaliacoes!$F$2:$F$6000,"III",Avaliacoes!$H$2:$H$6000,0))</f>
        <v/>
      </c>
      <c r="I104" s="0" t="str">
        <f aca="false">IF($A104="","",SUMIFS(Avaliacoes!$G$2:$G$6000,Avaliacoes!$A$2:$A$6000,$A104,Avaliacoes!$F$2:$F$6000,"IV",Avaliacoes!$H$2:$H$6000,0))</f>
        <v/>
      </c>
      <c r="J104" s="0" t="str">
        <f aca="false">IF($A104="","",COUNTIFS(Avaliacoes!$A$2:$A$6000,$A104,Avaliacoes!$F$2:$F$6000,"I",Avaliacoes!$H$2:$H$6000,0,Avaliacoes!$G$2:$G$6000,"&lt;&gt;")*Dimensoes!$E$2)</f>
        <v/>
      </c>
      <c r="K104" s="0" t="str">
        <f aca="false">IF($A104="","",COUNTIFS(Avaliacoes!$A$2:$A$6000,$A104,Avaliacoes!$F$2:$F$6000,"II",Avaliacoes!$H$2:$H$6000,0,Avaliacoes!$G$2:$G$6000,"&lt;&gt;")*Dimensoes!$E$3)</f>
        <v/>
      </c>
      <c r="L104" s="0" t="str">
        <f aca="false">IF($A104="","",COUNTIFS(Avaliacoes!$A$2:$A$6000,$A104,Avaliacoes!$F$2:$F$6000,"III",Avaliacoes!$H$2:$H$6000,0,Avaliacoes!$G$2:$G$6000,"&lt;&gt;")*Dimensoes!$E$4)</f>
        <v/>
      </c>
      <c r="M104" s="0" t="str">
        <f aca="false">IF($A104="","",COUNTIFS(Avaliacoes!$A$2:$A$6000,$A104,Avaliacoes!$F$2:$F$6000,"IV",Avaliacoes!$H$2:$H$6000,0,Avaliacoes!$G$2:$G$6000,"&lt;&gt;")*Dimensoes!$E$5)</f>
        <v/>
      </c>
      <c r="N104" s="9" t="str">
        <f aca="false">IF($A104="","",IF(J104&gt;0,F104/J104,""))</f>
        <v/>
      </c>
      <c r="O104" s="9" t="str">
        <f aca="false">IF($A104="","",IF(K104&gt;0,G104/K104,""))</f>
        <v/>
      </c>
      <c r="P104" s="9" t="str">
        <f aca="false">IF($A104="","",IF(L104&gt;0,H104/L104,""))</f>
        <v/>
      </c>
      <c r="Q104" s="9" t="str">
        <f aca="false">IF($A104="","",IF(M104&gt;0,I104/M104,""))</f>
        <v/>
      </c>
      <c r="R104" s="17" t="str">
        <f aca="false">IF($A104="","",IF((IF(N104="",0,Dimensoes!$C$2)+IF(O104="",0,Dimensoes!$C$3)+IF(P104="",0,Dimensoes!$C$4)+IF(Q104="",0,Dimensoes!$C$5))=0,"",(IF(N104="",0,N104*Dimensoes!$C$2)+IF(O104="",0,O104*Dimensoes!$C$3)+IF(P104="",0,P104*Dimensoes!$C$4)+IF(Q104="",0,Q104*Dimensoes!$C$5))/(IF(N104="",0,Dimensoes!$C$2)+IF(O104="",0,Dimensoes!$C$3)+IF(P104="",0,Dimensoes!$C$4)+IF(Q104="",0,Dimensoes!$C$5))))</f>
        <v/>
      </c>
      <c r="S104" s="0" t="str">
        <f aca="false">IF(R104="","",IF(R104&lt;Faixas!$C$3,"vermelho",IF(R104&lt;Faixas!$C$4,"amarelo","verde")))</f>
        <v/>
      </c>
      <c r="T104" s="9" t="str">
        <f aca="false">IF($A104="","",IF(N104="",0,N104*Dimensoes!$C$2)+IF(O104="",0,O104*Dimensoes!$C$3)+IF(P104="",0,P104*Dimensoes!$C$4)+IF(Q104="",0,Q104*Dimensoes!$C$5))</f>
        <v/>
      </c>
      <c r="U104" s="0" t="str">
        <f aca="false">IF($A104="","",IF(OR(E104="concluida",E104="incompleta"),1,0))</f>
        <v/>
      </c>
    </row>
    <row r="105" customFormat="false" ht="15" hidden="false" customHeight="false" outlineLevel="0" collapsed="false">
      <c r="A105" s="0" t="str">
        <f aca="false">IF(Visitas!A105="","",Visitas!A105)</f>
        <v/>
      </c>
      <c r="B105" s="0" t="str">
        <f aca="false">IF($A105="","",Visitas!C105)</f>
        <v/>
      </c>
      <c r="C105" s="7" t="str">
        <f aca="false">IF($A105="","",Visitas!D105)</f>
        <v/>
      </c>
      <c r="D105" s="0" t="str">
        <f aca="false">IF($A105="","",Visitas!B105)</f>
        <v/>
      </c>
      <c r="E105" s="0" t="str">
        <f aca="false">IF($A105="","",Visitas!F105)</f>
        <v/>
      </c>
      <c r="F105" s="0" t="str">
        <f aca="false">IF($A105="","",SUMIFS(Avaliacoes!$G$2:$G$6000,Avaliacoes!$A$2:$A$6000,$A105,Avaliacoes!$F$2:$F$6000,"I",Avaliacoes!$H$2:$H$6000,0))</f>
        <v/>
      </c>
      <c r="G105" s="0" t="str">
        <f aca="false">IF($A105="","",SUMIFS(Avaliacoes!$G$2:$G$6000,Avaliacoes!$A$2:$A$6000,$A105,Avaliacoes!$F$2:$F$6000,"II",Avaliacoes!$H$2:$H$6000,0))</f>
        <v/>
      </c>
      <c r="H105" s="0" t="str">
        <f aca="false">IF($A105="","",SUMIFS(Avaliacoes!$G$2:$G$6000,Avaliacoes!$A$2:$A$6000,$A105,Avaliacoes!$F$2:$F$6000,"III",Avaliacoes!$H$2:$H$6000,0))</f>
        <v/>
      </c>
      <c r="I105" s="0" t="str">
        <f aca="false">IF($A105="","",SUMIFS(Avaliacoes!$G$2:$G$6000,Avaliacoes!$A$2:$A$6000,$A105,Avaliacoes!$F$2:$F$6000,"IV",Avaliacoes!$H$2:$H$6000,0))</f>
        <v/>
      </c>
      <c r="J105" s="0" t="str">
        <f aca="false">IF($A105="","",COUNTIFS(Avaliacoes!$A$2:$A$6000,$A105,Avaliacoes!$F$2:$F$6000,"I",Avaliacoes!$H$2:$H$6000,0,Avaliacoes!$G$2:$G$6000,"&lt;&gt;")*Dimensoes!$E$2)</f>
        <v/>
      </c>
      <c r="K105" s="0" t="str">
        <f aca="false">IF($A105="","",COUNTIFS(Avaliacoes!$A$2:$A$6000,$A105,Avaliacoes!$F$2:$F$6000,"II",Avaliacoes!$H$2:$H$6000,0,Avaliacoes!$G$2:$G$6000,"&lt;&gt;")*Dimensoes!$E$3)</f>
        <v/>
      </c>
      <c r="L105" s="0" t="str">
        <f aca="false">IF($A105="","",COUNTIFS(Avaliacoes!$A$2:$A$6000,$A105,Avaliacoes!$F$2:$F$6000,"III",Avaliacoes!$H$2:$H$6000,0,Avaliacoes!$G$2:$G$6000,"&lt;&gt;")*Dimensoes!$E$4)</f>
        <v/>
      </c>
      <c r="M105" s="0" t="str">
        <f aca="false">IF($A105="","",COUNTIFS(Avaliacoes!$A$2:$A$6000,$A105,Avaliacoes!$F$2:$F$6000,"IV",Avaliacoes!$H$2:$H$6000,0,Avaliacoes!$G$2:$G$6000,"&lt;&gt;")*Dimensoes!$E$5)</f>
        <v/>
      </c>
      <c r="N105" s="9" t="str">
        <f aca="false">IF($A105="","",IF(J105&gt;0,F105/J105,""))</f>
        <v/>
      </c>
      <c r="O105" s="9" t="str">
        <f aca="false">IF($A105="","",IF(K105&gt;0,G105/K105,""))</f>
        <v/>
      </c>
      <c r="P105" s="9" t="str">
        <f aca="false">IF($A105="","",IF(L105&gt;0,H105/L105,""))</f>
        <v/>
      </c>
      <c r="Q105" s="9" t="str">
        <f aca="false">IF($A105="","",IF(M105&gt;0,I105/M105,""))</f>
        <v/>
      </c>
      <c r="R105" s="17" t="str">
        <f aca="false">IF($A105="","",IF((IF(N105="",0,Dimensoes!$C$2)+IF(O105="",0,Dimensoes!$C$3)+IF(P105="",0,Dimensoes!$C$4)+IF(Q105="",0,Dimensoes!$C$5))=0,"",(IF(N105="",0,N105*Dimensoes!$C$2)+IF(O105="",0,O105*Dimensoes!$C$3)+IF(P105="",0,P105*Dimensoes!$C$4)+IF(Q105="",0,Q105*Dimensoes!$C$5))/(IF(N105="",0,Dimensoes!$C$2)+IF(O105="",0,Dimensoes!$C$3)+IF(P105="",0,Dimensoes!$C$4)+IF(Q105="",0,Dimensoes!$C$5))))</f>
        <v/>
      </c>
      <c r="S105" s="0" t="str">
        <f aca="false">IF(R105="","",IF(R105&lt;Faixas!$C$3,"vermelho",IF(R105&lt;Faixas!$C$4,"amarelo","verde")))</f>
        <v/>
      </c>
      <c r="T105" s="9" t="str">
        <f aca="false">IF($A105="","",IF(N105="",0,N105*Dimensoes!$C$2)+IF(O105="",0,O105*Dimensoes!$C$3)+IF(P105="",0,P105*Dimensoes!$C$4)+IF(Q105="",0,Q105*Dimensoes!$C$5))</f>
        <v/>
      </c>
      <c r="U105" s="0" t="str">
        <f aca="false">IF($A105="","",IF(OR(E105="concluida",E105="incompleta"),1,0))</f>
        <v/>
      </c>
    </row>
    <row r="106" customFormat="false" ht="15" hidden="false" customHeight="false" outlineLevel="0" collapsed="false">
      <c r="A106" s="0" t="str">
        <f aca="false">IF(Visitas!A106="","",Visitas!A106)</f>
        <v/>
      </c>
      <c r="B106" s="0" t="str">
        <f aca="false">IF($A106="","",Visitas!C106)</f>
        <v/>
      </c>
      <c r="C106" s="7" t="str">
        <f aca="false">IF($A106="","",Visitas!D106)</f>
        <v/>
      </c>
      <c r="D106" s="0" t="str">
        <f aca="false">IF($A106="","",Visitas!B106)</f>
        <v/>
      </c>
      <c r="E106" s="0" t="str">
        <f aca="false">IF($A106="","",Visitas!F106)</f>
        <v/>
      </c>
      <c r="F106" s="0" t="str">
        <f aca="false">IF($A106="","",SUMIFS(Avaliacoes!$G$2:$G$6000,Avaliacoes!$A$2:$A$6000,$A106,Avaliacoes!$F$2:$F$6000,"I",Avaliacoes!$H$2:$H$6000,0))</f>
        <v/>
      </c>
      <c r="G106" s="0" t="str">
        <f aca="false">IF($A106="","",SUMIFS(Avaliacoes!$G$2:$G$6000,Avaliacoes!$A$2:$A$6000,$A106,Avaliacoes!$F$2:$F$6000,"II",Avaliacoes!$H$2:$H$6000,0))</f>
        <v/>
      </c>
      <c r="H106" s="0" t="str">
        <f aca="false">IF($A106="","",SUMIFS(Avaliacoes!$G$2:$G$6000,Avaliacoes!$A$2:$A$6000,$A106,Avaliacoes!$F$2:$F$6000,"III",Avaliacoes!$H$2:$H$6000,0))</f>
        <v/>
      </c>
      <c r="I106" s="0" t="str">
        <f aca="false">IF($A106="","",SUMIFS(Avaliacoes!$G$2:$G$6000,Avaliacoes!$A$2:$A$6000,$A106,Avaliacoes!$F$2:$F$6000,"IV",Avaliacoes!$H$2:$H$6000,0))</f>
        <v/>
      </c>
      <c r="J106" s="0" t="str">
        <f aca="false">IF($A106="","",COUNTIFS(Avaliacoes!$A$2:$A$6000,$A106,Avaliacoes!$F$2:$F$6000,"I",Avaliacoes!$H$2:$H$6000,0,Avaliacoes!$G$2:$G$6000,"&lt;&gt;")*Dimensoes!$E$2)</f>
        <v/>
      </c>
      <c r="K106" s="0" t="str">
        <f aca="false">IF($A106="","",COUNTIFS(Avaliacoes!$A$2:$A$6000,$A106,Avaliacoes!$F$2:$F$6000,"II",Avaliacoes!$H$2:$H$6000,0,Avaliacoes!$G$2:$G$6000,"&lt;&gt;")*Dimensoes!$E$3)</f>
        <v/>
      </c>
      <c r="L106" s="0" t="str">
        <f aca="false">IF($A106="","",COUNTIFS(Avaliacoes!$A$2:$A$6000,$A106,Avaliacoes!$F$2:$F$6000,"III",Avaliacoes!$H$2:$H$6000,0,Avaliacoes!$G$2:$G$6000,"&lt;&gt;")*Dimensoes!$E$4)</f>
        <v/>
      </c>
      <c r="M106" s="0" t="str">
        <f aca="false">IF($A106="","",COUNTIFS(Avaliacoes!$A$2:$A$6000,$A106,Avaliacoes!$F$2:$F$6000,"IV",Avaliacoes!$H$2:$H$6000,0,Avaliacoes!$G$2:$G$6000,"&lt;&gt;")*Dimensoes!$E$5)</f>
        <v/>
      </c>
      <c r="N106" s="9" t="str">
        <f aca="false">IF($A106="","",IF(J106&gt;0,F106/J106,""))</f>
        <v/>
      </c>
      <c r="O106" s="9" t="str">
        <f aca="false">IF($A106="","",IF(K106&gt;0,G106/K106,""))</f>
        <v/>
      </c>
      <c r="P106" s="9" t="str">
        <f aca="false">IF($A106="","",IF(L106&gt;0,H106/L106,""))</f>
        <v/>
      </c>
      <c r="Q106" s="9" t="str">
        <f aca="false">IF($A106="","",IF(M106&gt;0,I106/M106,""))</f>
        <v/>
      </c>
      <c r="R106" s="17" t="str">
        <f aca="false">IF($A106="","",IF((IF(N106="",0,Dimensoes!$C$2)+IF(O106="",0,Dimensoes!$C$3)+IF(P106="",0,Dimensoes!$C$4)+IF(Q106="",0,Dimensoes!$C$5))=0,"",(IF(N106="",0,N106*Dimensoes!$C$2)+IF(O106="",0,O106*Dimensoes!$C$3)+IF(P106="",0,P106*Dimensoes!$C$4)+IF(Q106="",0,Q106*Dimensoes!$C$5))/(IF(N106="",0,Dimensoes!$C$2)+IF(O106="",0,Dimensoes!$C$3)+IF(P106="",0,Dimensoes!$C$4)+IF(Q106="",0,Dimensoes!$C$5))))</f>
        <v/>
      </c>
      <c r="S106" s="0" t="str">
        <f aca="false">IF(R106="","",IF(R106&lt;Faixas!$C$3,"vermelho",IF(R106&lt;Faixas!$C$4,"amarelo","verde")))</f>
        <v/>
      </c>
      <c r="T106" s="9" t="str">
        <f aca="false">IF($A106="","",IF(N106="",0,N106*Dimensoes!$C$2)+IF(O106="",0,O106*Dimensoes!$C$3)+IF(P106="",0,P106*Dimensoes!$C$4)+IF(Q106="",0,Q106*Dimensoes!$C$5))</f>
        <v/>
      </c>
      <c r="U106" s="0" t="str">
        <f aca="false">IF($A106="","",IF(OR(E106="concluida",E106="incompleta"),1,0))</f>
        <v/>
      </c>
    </row>
    <row r="107" customFormat="false" ht="15" hidden="false" customHeight="false" outlineLevel="0" collapsed="false">
      <c r="A107" s="0" t="str">
        <f aca="false">IF(Visitas!A107="","",Visitas!A107)</f>
        <v/>
      </c>
      <c r="B107" s="0" t="str">
        <f aca="false">IF($A107="","",Visitas!C107)</f>
        <v/>
      </c>
      <c r="C107" s="7" t="str">
        <f aca="false">IF($A107="","",Visitas!D107)</f>
        <v/>
      </c>
      <c r="D107" s="0" t="str">
        <f aca="false">IF($A107="","",Visitas!B107)</f>
        <v/>
      </c>
      <c r="E107" s="0" t="str">
        <f aca="false">IF($A107="","",Visitas!F107)</f>
        <v/>
      </c>
      <c r="F107" s="0" t="str">
        <f aca="false">IF($A107="","",SUMIFS(Avaliacoes!$G$2:$G$6000,Avaliacoes!$A$2:$A$6000,$A107,Avaliacoes!$F$2:$F$6000,"I",Avaliacoes!$H$2:$H$6000,0))</f>
        <v/>
      </c>
      <c r="G107" s="0" t="str">
        <f aca="false">IF($A107="","",SUMIFS(Avaliacoes!$G$2:$G$6000,Avaliacoes!$A$2:$A$6000,$A107,Avaliacoes!$F$2:$F$6000,"II",Avaliacoes!$H$2:$H$6000,0))</f>
        <v/>
      </c>
      <c r="H107" s="0" t="str">
        <f aca="false">IF($A107="","",SUMIFS(Avaliacoes!$G$2:$G$6000,Avaliacoes!$A$2:$A$6000,$A107,Avaliacoes!$F$2:$F$6000,"III",Avaliacoes!$H$2:$H$6000,0))</f>
        <v/>
      </c>
      <c r="I107" s="0" t="str">
        <f aca="false">IF($A107="","",SUMIFS(Avaliacoes!$G$2:$G$6000,Avaliacoes!$A$2:$A$6000,$A107,Avaliacoes!$F$2:$F$6000,"IV",Avaliacoes!$H$2:$H$6000,0))</f>
        <v/>
      </c>
      <c r="J107" s="0" t="str">
        <f aca="false">IF($A107="","",COUNTIFS(Avaliacoes!$A$2:$A$6000,$A107,Avaliacoes!$F$2:$F$6000,"I",Avaliacoes!$H$2:$H$6000,0,Avaliacoes!$G$2:$G$6000,"&lt;&gt;")*Dimensoes!$E$2)</f>
        <v/>
      </c>
      <c r="K107" s="0" t="str">
        <f aca="false">IF($A107="","",COUNTIFS(Avaliacoes!$A$2:$A$6000,$A107,Avaliacoes!$F$2:$F$6000,"II",Avaliacoes!$H$2:$H$6000,0,Avaliacoes!$G$2:$G$6000,"&lt;&gt;")*Dimensoes!$E$3)</f>
        <v/>
      </c>
      <c r="L107" s="0" t="str">
        <f aca="false">IF($A107="","",COUNTIFS(Avaliacoes!$A$2:$A$6000,$A107,Avaliacoes!$F$2:$F$6000,"III",Avaliacoes!$H$2:$H$6000,0,Avaliacoes!$G$2:$G$6000,"&lt;&gt;")*Dimensoes!$E$4)</f>
        <v/>
      </c>
      <c r="M107" s="0" t="str">
        <f aca="false">IF($A107="","",COUNTIFS(Avaliacoes!$A$2:$A$6000,$A107,Avaliacoes!$F$2:$F$6000,"IV",Avaliacoes!$H$2:$H$6000,0,Avaliacoes!$G$2:$G$6000,"&lt;&gt;")*Dimensoes!$E$5)</f>
        <v/>
      </c>
      <c r="N107" s="9" t="str">
        <f aca="false">IF($A107="","",IF(J107&gt;0,F107/J107,""))</f>
        <v/>
      </c>
      <c r="O107" s="9" t="str">
        <f aca="false">IF($A107="","",IF(K107&gt;0,G107/K107,""))</f>
        <v/>
      </c>
      <c r="P107" s="9" t="str">
        <f aca="false">IF($A107="","",IF(L107&gt;0,H107/L107,""))</f>
        <v/>
      </c>
      <c r="Q107" s="9" t="str">
        <f aca="false">IF($A107="","",IF(M107&gt;0,I107/M107,""))</f>
        <v/>
      </c>
      <c r="R107" s="17" t="str">
        <f aca="false">IF($A107="","",IF((IF(N107="",0,Dimensoes!$C$2)+IF(O107="",0,Dimensoes!$C$3)+IF(P107="",0,Dimensoes!$C$4)+IF(Q107="",0,Dimensoes!$C$5))=0,"",(IF(N107="",0,N107*Dimensoes!$C$2)+IF(O107="",0,O107*Dimensoes!$C$3)+IF(P107="",0,P107*Dimensoes!$C$4)+IF(Q107="",0,Q107*Dimensoes!$C$5))/(IF(N107="",0,Dimensoes!$C$2)+IF(O107="",0,Dimensoes!$C$3)+IF(P107="",0,Dimensoes!$C$4)+IF(Q107="",0,Dimensoes!$C$5))))</f>
        <v/>
      </c>
      <c r="S107" s="0" t="str">
        <f aca="false">IF(R107="","",IF(R107&lt;Faixas!$C$3,"vermelho",IF(R107&lt;Faixas!$C$4,"amarelo","verde")))</f>
        <v/>
      </c>
      <c r="T107" s="9" t="str">
        <f aca="false">IF($A107="","",IF(N107="",0,N107*Dimensoes!$C$2)+IF(O107="",0,O107*Dimensoes!$C$3)+IF(P107="",0,P107*Dimensoes!$C$4)+IF(Q107="",0,Q107*Dimensoes!$C$5))</f>
        <v/>
      </c>
      <c r="U107" s="0" t="str">
        <f aca="false">IF($A107="","",IF(OR(E107="concluida",E107="incompleta"),1,0))</f>
        <v/>
      </c>
    </row>
    <row r="108" customFormat="false" ht="15" hidden="false" customHeight="false" outlineLevel="0" collapsed="false">
      <c r="A108" s="0" t="str">
        <f aca="false">IF(Visitas!A108="","",Visitas!A108)</f>
        <v/>
      </c>
      <c r="B108" s="0" t="str">
        <f aca="false">IF($A108="","",Visitas!C108)</f>
        <v/>
      </c>
      <c r="C108" s="7" t="str">
        <f aca="false">IF($A108="","",Visitas!D108)</f>
        <v/>
      </c>
      <c r="D108" s="0" t="str">
        <f aca="false">IF($A108="","",Visitas!B108)</f>
        <v/>
      </c>
      <c r="E108" s="0" t="str">
        <f aca="false">IF($A108="","",Visitas!F108)</f>
        <v/>
      </c>
      <c r="F108" s="0" t="str">
        <f aca="false">IF($A108="","",SUMIFS(Avaliacoes!$G$2:$G$6000,Avaliacoes!$A$2:$A$6000,$A108,Avaliacoes!$F$2:$F$6000,"I",Avaliacoes!$H$2:$H$6000,0))</f>
        <v/>
      </c>
      <c r="G108" s="0" t="str">
        <f aca="false">IF($A108="","",SUMIFS(Avaliacoes!$G$2:$G$6000,Avaliacoes!$A$2:$A$6000,$A108,Avaliacoes!$F$2:$F$6000,"II",Avaliacoes!$H$2:$H$6000,0))</f>
        <v/>
      </c>
      <c r="H108" s="0" t="str">
        <f aca="false">IF($A108="","",SUMIFS(Avaliacoes!$G$2:$G$6000,Avaliacoes!$A$2:$A$6000,$A108,Avaliacoes!$F$2:$F$6000,"III",Avaliacoes!$H$2:$H$6000,0))</f>
        <v/>
      </c>
      <c r="I108" s="0" t="str">
        <f aca="false">IF($A108="","",SUMIFS(Avaliacoes!$G$2:$G$6000,Avaliacoes!$A$2:$A$6000,$A108,Avaliacoes!$F$2:$F$6000,"IV",Avaliacoes!$H$2:$H$6000,0))</f>
        <v/>
      </c>
      <c r="J108" s="0" t="str">
        <f aca="false">IF($A108="","",COUNTIFS(Avaliacoes!$A$2:$A$6000,$A108,Avaliacoes!$F$2:$F$6000,"I",Avaliacoes!$H$2:$H$6000,0,Avaliacoes!$G$2:$G$6000,"&lt;&gt;")*Dimensoes!$E$2)</f>
        <v/>
      </c>
      <c r="K108" s="0" t="str">
        <f aca="false">IF($A108="","",COUNTIFS(Avaliacoes!$A$2:$A$6000,$A108,Avaliacoes!$F$2:$F$6000,"II",Avaliacoes!$H$2:$H$6000,0,Avaliacoes!$G$2:$G$6000,"&lt;&gt;")*Dimensoes!$E$3)</f>
        <v/>
      </c>
      <c r="L108" s="0" t="str">
        <f aca="false">IF($A108="","",COUNTIFS(Avaliacoes!$A$2:$A$6000,$A108,Avaliacoes!$F$2:$F$6000,"III",Avaliacoes!$H$2:$H$6000,0,Avaliacoes!$G$2:$G$6000,"&lt;&gt;")*Dimensoes!$E$4)</f>
        <v/>
      </c>
      <c r="M108" s="0" t="str">
        <f aca="false">IF($A108="","",COUNTIFS(Avaliacoes!$A$2:$A$6000,$A108,Avaliacoes!$F$2:$F$6000,"IV",Avaliacoes!$H$2:$H$6000,0,Avaliacoes!$G$2:$G$6000,"&lt;&gt;")*Dimensoes!$E$5)</f>
        <v/>
      </c>
      <c r="N108" s="9" t="str">
        <f aca="false">IF($A108="","",IF(J108&gt;0,F108/J108,""))</f>
        <v/>
      </c>
      <c r="O108" s="9" t="str">
        <f aca="false">IF($A108="","",IF(K108&gt;0,G108/K108,""))</f>
        <v/>
      </c>
      <c r="P108" s="9" t="str">
        <f aca="false">IF($A108="","",IF(L108&gt;0,H108/L108,""))</f>
        <v/>
      </c>
      <c r="Q108" s="9" t="str">
        <f aca="false">IF($A108="","",IF(M108&gt;0,I108/M108,""))</f>
        <v/>
      </c>
      <c r="R108" s="17" t="str">
        <f aca="false">IF($A108="","",IF((IF(N108="",0,Dimensoes!$C$2)+IF(O108="",0,Dimensoes!$C$3)+IF(P108="",0,Dimensoes!$C$4)+IF(Q108="",0,Dimensoes!$C$5))=0,"",(IF(N108="",0,N108*Dimensoes!$C$2)+IF(O108="",0,O108*Dimensoes!$C$3)+IF(P108="",0,P108*Dimensoes!$C$4)+IF(Q108="",0,Q108*Dimensoes!$C$5))/(IF(N108="",0,Dimensoes!$C$2)+IF(O108="",0,Dimensoes!$C$3)+IF(P108="",0,Dimensoes!$C$4)+IF(Q108="",0,Dimensoes!$C$5))))</f>
        <v/>
      </c>
      <c r="S108" s="0" t="str">
        <f aca="false">IF(R108="","",IF(R108&lt;Faixas!$C$3,"vermelho",IF(R108&lt;Faixas!$C$4,"amarelo","verde")))</f>
        <v/>
      </c>
      <c r="T108" s="9" t="str">
        <f aca="false">IF($A108="","",IF(N108="",0,N108*Dimensoes!$C$2)+IF(O108="",0,O108*Dimensoes!$C$3)+IF(P108="",0,P108*Dimensoes!$C$4)+IF(Q108="",0,Q108*Dimensoes!$C$5))</f>
        <v/>
      </c>
      <c r="U108" s="0" t="str">
        <f aca="false">IF($A108="","",IF(OR(E108="concluida",E108="incompleta"),1,0))</f>
        <v/>
      </c>
    </row>
    <row r="109" customFormat="false" ht="15" hidden="false" customHeight="false" outlineLevel="0" collapsed="false">
      <c r="A109" s="0" t="str">
        <f aca="false">IF(Visitas!A109="","",Visitas!A109)</f>
        <v/>
      </c>
      <c r="B109" s="0" t="str">
        <f aca="false">IF($A109="","",Visitas!C109)</f>
        <v/>
      </c>
      <c r="C109" s="7" t="str">
        <f aca="false">IF($A109="","",Visitas!D109)</f>
        <v/>
      </c>
      <c r="D109" s="0" t="str">
        <f aca="false">IF($A109="","",Visitas!B109)</f>
        <v/>
      </c>
      <c r="E109" s="0" t="str">
        <f aca="false">IF($A109="","",Visitas!F109)</f>
        <v/>
      </c>
      <c r="F109" s="0" t="str">
        <f aca="false">IF($A109="","",SUMIFS(Avaliacoes!$G$2:$G$6000,Avaliacoes!$A$2:$A$6000,$A109,Avaliacoes!$F$2:$F$6000,"I",Avaliacoes!$H$2:$H$6000,0))</f>
        <v/>
      </c>
      <c r="G109" s="0" t="str">
        <f aca="false">IF($A109="","",SUMIFS(Avaliacoes!$G$2:$G$6000,Avaliacoes!$A$2:$A$6000,$A109,Avaliacoes!$F$2:$F$6000,"II",Avaliacoes!$H$2:$H$6000,0))</f>
        <v/>
      </c>
      <c r="H109" s="0" t="str">
        <f aca="false">IF($A109="","",SUMIFS(Avaliacoes!$G$2:$G$6000,Avaliacoes!$A$2:$A$6000,$A109,Avaliacoes!$F$2:$F$6000,"III",Avaliacoes!$H$2:$H$6000,0))</f>
        <v/>
      </c>
      <c r="I109" s="0" t="str">
        <f aca="false">IF($A109="","",SUMIFS(Avaliacoes!$G$2:$G$6000,Avaliacoes!$A$2:$A$6000,$A109,Avaliacoes!$F$2:$F$6000,"IV",Avaliacoes!$H$2:$H$6000,0))</f>
        <v/>
      </c>
      <c r="J109" s="0" t="str">
        <f aca="false">IF($A109="","",COUNTIFS(Avaliacoes!$A$2:$A$6000,$A109,Avaliacoes!$F$2:$F$6000,"I",Avaliacoes!$H$2:$H$6000,0,Avaliacoes!$G$2:$G$6000,"&lt;&gt;")*Dimensoes!$E$2)</f>
        <v/>
      </c>
      <c r="K109" s="0" t="str">
        <f aca="false">IF($A109="","",COUNTIFS(Avaliacoes!$A$2:$A$6000,$A109,Avaliacoes!$F$2:$F$6000,"II",Avaliacoes!$H$2:$H$6000,0,Avaliacoes!$G$2:$G$6000,"&lt;&gt;")*Dimensoes!$E$3)</f>
        <v/>
      </c>
      <c r="L109" s="0" t="str">
        <f aca="false">IF($A109="","",COUNTIFS(Avaliacoes!$A$2:$A$6000,$A109,Avaliacoes!$F$2:$F$6000,"III",Avaliacoes!$H$2:$H$6000,0,Avaliacoes!$G$2:$G$6000,"&lt;&gt;")*Dimensoes!$E$4)</f>
        <v/>
      </c>
      <c r="M109" s="0" t="str">
        <f aca="false">IF($A109="","",COUNTIFS(Avaliacoes!$A$2:$A$6000,$A109,Avaliacoes!$F$2:$F$6000,"IV",Avaliacoes!$H$2:$H$6000,0,Avaliacoes!$G$2:$G$6000,"&lt;&gt;")*Dimensoes!$E$5)</f>
        <v/>
      </c>
      <c r="N109" s="9" t="str">
        <f aca="false">IF($A109="","",IF(J109&gt;0,F109/J109,""))</f>
        <v/>
      </c>
      <c r="O109" s="9" t="str">
        <f aca="false">IF($A109="","",IF(K109&gt;0,G109/K109,""))</f>
        <v/>
      </c>
      <c r="P109" s="9" t="str">
        <f aca="false">IF($A109="","",IF(L109&gt;0,H109/L109,""))</f>
        <v/>
      </c>
      <c r="Q109" s="9" t="str">
        <f aca="false">IF($A109="","",IF(M109&gt;0,I109/M109,""))</f>
        <v/>
      </c>
      <c r="R109" s="17" t="str">
        <f aca="false">IF($A109="","",IF((IF(N109="",0,Dimensoes!$C$2)+IF(O109="",0,Dimensoes!$C$3)+IF(P109="",0,Dimensoes!$C$4)+IF(Q109="",0,Dimensoes!$C$5))=0,"",(IF(N109="",0,N109*Dimensoes!$C$2)+IF(O109="",0,O109*Dimensoes!$C$3)+IF(P109="",0,P109*Dimensoes!$C$4)+IF(Q109="",0,Q109*Dimensoes!$C$5))/(IF(N109="",0,Dimensoes!$C$2)+IF(O109="",0,Dimensoes!$C$3)+IF(P109="",0,Dimensoes!$C$4)+IF(Q109="",0,Dimensoes!$C$5))))</f>
        <v/>
      </c>
      <c r="S109" s="0" t="str">
        <f aca="false">IF(R109="","",IF(R109&lt;Faixas!$C$3,"vermelho",IF(R109&lt;Faixas!$C$4,"amarelo","verde")))</f>
        <v/>
      </c>
      <c r="T109" s="9" t="str">
        <f aca="false">IF($A109="","",IF(N109="",0,N109*Dimensoes!$C$2)+IF(O109="",0,O109*Dimensoes!$C$3)+IF(P109="",0,P109*Dimensoes!$C$4)+IF(Q109="",0,Q109*Dimensoes!$C$5))</f>
        <v/>
      </c>
      <c r="U109" s="0" t="str">
        <f aca="false">IF($A109="","",IF(OR(E109="concluida",E109="incompleta"),1,0))</f>
        <v/>
      </c>
    </row>
    <row r="110" customFormat="false" ht="15" hidden="false" customHeight="false" outlineLevel="0" collapsed="false">
      <c r="A110" s="0" t="str">
        <f aca="false">IF(Visitas!A110="","",Visitas!A110)</f>
        <v/>
      </c>
      <c r="B110" s="0" t="str">
        <f aca="false">IF($A110="","",Visitas!C110)</f>
        <v/>
      </c>
      <c r="C110" s="7" t="str">
        <f aca="false">IF($A110="","",Visitas!D110)</f>
        <v/>
      </c>
      <c r="D110" s="0" t="str">
        <f aca="false">IF($A110="","",Visitas!B110)</f>
        <v/>
      </c>
      <c r="E110" s="0" t="str">
        <f aca="false">IF($A110="","",Visitas!F110)</f>
        <v/>
      </c>
      <c r="F110" s="0" t="str">
        <f aca="false">IF($A110="","",SUMIFS(Avaliacoes!$G$2:$G$6000,Avaliacoes!$A$2:$A$6000,$A110,Avaliacoes!$F$2:$F$6000,"I",Avaliacoes!$H$2:$H$6000,0))</f>
        <v/>
      </c>
      <c r="G110" s="0" t="str">
        <f aca="false">IF($A110="","",SUMIFS(Avaliacoes!$G$2:$G$6000,Avaliacoes!$A$2:$A$6000,$A110,Avaliacoes!$F$2:$F$6000,"II",Avaliacoes!$H$2:$H$6000,0))</f>
        <v/>
      </c>
      <c r="H110" s="0" t="str">
        <f aca="false">IF($A110="","",SUMIFS(Avaliacoes!$G$2:$G$6000,Avaliacoes!$A$2:$A$6000,$A110,Avaliacoes!$F$2:$F$6000,"III",Avaliacoes!$H$2:$H$6000,0))</f>
        <v/>
      </c>
      <c r="I110" s="0" t="str">
        <f aca="false">IF($A110="","",SUMIFS(Avaliacoes!$G$2:$G$6000,Avaliacoes!$A$2:$A$6000,$A110,Avaliacoes!$F$2:$F$6000,"IV",Avaliacoes!$H$2:$H$6000,0))</f>
        <v/>
      </c>
      <c r="J110" s="0" t="str">
        <f aca="false">IF($A110="","",COUNTIFS(Avaliacoes!$A$2:$A$6000,$A110,Avaliacoes!$F$2:$F$6000,"I",Avaliacoes!$H$2:$H$6000,0,Avaliacoes!$G$2:$G$6000,"&lt;&gt;")*Dimensoes!$E$2)</f>
        <v/>
      </c>
      <c r="K110" s="0" t="str">
        <f aca="false">IF($A110="","",COUNTIFS(Avaliacoes!$A$2:$A$6000,$A110,Avaliacoes!$F$2:$F$6000,"II",Avaliacoes!$H$2:$H$6000,0,Avaliacoes!$G$2:$G$6000,"&lt;&gt;")*Dimensoes!$E$3)</f>
        <v/>
      </c>
      <c r="L110" s="0" t="str">
        <f aca="false">IF($A110="","",COUNTIFS(Avaliacoes!$A$2:$A$6000,$A110,Avaliacoes!$F$2:$F$6000,"III",Avaliacoes!$H$2:$H$6000,0,Avaliacoes!$G$2:$G$6000,"&lt;&gt;")*Dimensoes!$E$4)</f>
        <v/>
      </c>
      <c r="M110" s="0" t="str">
        <f aca="false">IF($A110="","",COUNTIFS(Avaliacoes!$A$2:$A$6000,$A110,Avaliacoes!$F$2:$F$6000,"IV",Avaliacoes!$H$2:$H$6000,0,Avaliacoes!$G$2:$G$6000,"&lt;&gt;")*Dimensoes!$E$5)</f>
        <v/>
      </c>
      <c r="N110" s="9" t="str">
        <f aca="false">IF($A110="","",IF(J110&gt;0,F110/J110,""))</f>
        <v/>
      </c>
      <c r="O110" s="9" t="str">
        <f aca="false">IF($A110="","",IF(K110&gt;0,G110/K110,""))</f>
        <v/>
      </c>
      <c r="P110" s="9" t="str">
        <f aca="false">IF($A110="","",IF(L110&gt;0,H110/L110,""))</f>
        <v/>
      </c>
      <c r="Q110" s="9" t="str">
        <f aca="false">IF($A110="","",IF(M110&gt;0,I110/M110,""))</f>
        <v/>
      </c>
      <c r="R110" s="17" t="str">
        <f aca="false">IF($A110="","",IF((IF(N110="",0,Dimensoes!$C$2)+IF(O110="",0,Dimensoes!$C$3)+IF(P110="",0,Dimensoes!$C$4)+IF(Q110="",0,Dimensoes!$C$5))=0,"",(IF(N110="",0,N110*Dimensoes!$C$2)+IF(O110="",0,O110*Dimensoes!$C$3)+IF(P110="",0,P110*Dimensoes!$C$4)+IF(Q110="",0,Q110*Dimensoes!$C$5))/(IF(N110="",0,Dimensoes!$C$2)+IF(O110="",0,Dimensoes!$C$3)+IF(P110="",0,Dimensoes!$C$4)+IF(Q110="",0,Dimensoes!$C$5))))</f>
        <v/>
      </c>
      <c r="S110" s="0" t="str">
        <f aca="false">IF(R110="","",IF(R110&lt;Faixas!$C$3,"vermelho",IF(R110&lt;Faixas!$C$4,"amarelo","verde")))</f>
        <v/>
      </c>
      <c r="T110" s="9" t="str">
        <f aca="false">IF($A110="","",IF(N110="",0,N110*Dimensoes!$C$2)+IF(O110="",0,O110*Dimensoes!$C$3)+IF(P110="",0,P110*Dimensoes!$C$4)+IF(Q110="",0,Q110*Dimensoes!$C$5))</f>
        <v/>
      </c>
      <c r="U110" s="0" t="str">
        <f aca="false">IF($A110="","",IF(OR(E110="concluida",E110="incompleta"),1,0))</f>
        <v/>
      </c>
    </row>
    <row r="111" customFormat="false" ht="15" hidden="false" customHeight="false" outlineLevel="0" collapsed="false">
      <c r="A111" s="0" t="str">
        <f aca="false">IF(Visitas!A111="","",Visitas!A111)</f>
        <v/>
      </c>
      <c r="B111" s="0" t="str">
        <f aca="false">IF($A111="","",Visitas!C111)</f>
        <v/>
      </c>
      <c r="C111" s="7" t="str">
        <f aca="false">IF($A111="","",Visitas!D111)</f>
        <v/>
      </c>
      <c r="D111" s="0" t="str">
        <f aca="false">IF($A111="","",Visitas!B111)</f>
        <v/>
      </c>
      <c r="E111" s="0" t="str">
        <f aca="false">IF($A111="","",Visitas!F111)</f>
        <v/>
      </c>
      <c r="F111" s="0" t="str">
        <f aca="false">IF($A111="","",SUMIFS(Avaliacoes!$G$2:$G$6000,Avaliacoes!$A$2:$A$6000,$A111,Avaliacoes!$F$2:$F$6000,"I",Avaliacoes!$H$2:$H$6000,0))</f>
        <v/>
      </c>
      <c r="G111" s="0" t="str">
        <f aca="false">IF($A111="","",SUMIFS(Avaliacoes!$G$2:$G$6000,Avaliacoes!$A$2:$A$6000,$A111,Avaliacoes!$F$2:$F$6000,"II",Avaliacoes!$H$2:$H$6000,0))</f>
        <v/>
      </c>
      <c r="H111" s="0" t="str">
        <f aca="false">IF($A111="","",SUMIFS(Avaliacoes!$G$2:$G$6000,Avaliacoes!$A$2:$A$6000,$A111,Avaliacoes!$F$2:$F$6000,"III",Avaliacoes!$H$2:$H$6000,0))</f>
        <v/>
      </c>
      <c r="I111" s="0" t="str">
        <f aca="false">IF($A111="","",SUMIFS(Avaliacoes!$G$2:$G$6000,Avaliacoes!$A$2:$A$6000,$A111,Avaliacoes!$F$2:$F$6000,"IV",Avaliacoes!$H$2:$H$6000,0))</f>
        <v/>
      </c>
      <c r="J111" s="0" t="str">
        <f aca="false">IF($A111="","",COUNTIFS(Avaliacoes!$A$2:$A$6000,$A111,Avaliacoes!$F$2:$F$6000,"I",Avaliacoes!$H$2:$H$6000,0,Avaliacoes!$G$2:$G$6000,"&lt;&gt;")*Dimensoes!$E$2)</f>
        <v/>
      </c>
      <c r="K111" s="0" t="str">
        <f aca="false">IF($A111="","",COUNTIFS(Avaliacoes!$A$2:$A$6000,$A111,Avaliacoes!$F$2:$F$6000,"II",Avaliacoes!$H$2:$H$6000,0,Avaliacoes!$G$2:$G$6000,"&lt;&gt;")*Dimensoes!$E$3)</f>
        <v/>
      </c>
      <c r="L111" s="0" t="str">
        <f aca="false">IF($A111="","",COUNTIFS(Avaliacoes!$A$2:$A$6000,$A111,Avaliacoes!$F$2:$F$6000,"III",Avaliacoes!$H$2:$H$6000,0,Avaliacoes!$G$2:$G$6000,"&lt;&gt;")*Dimensoes!$E$4)</f>
        <v/>
      </c>
      <c r="M111" s="0" t="str">
        <f aca="false">IF($A111="","",COUNTIFS(Avaliacoes!$A$2:$A$6000,$A111,Avaliacoes!$F$2:$F$6000,"IV",Avaliacoes!$H$2:$H$6000,0,Avaliacoes!$G$2:$G$6000,"&lt;&gt;")*Dimensoes!$E$5)</f>
        <v/>
      </c>
      <c r="N111" s="9" t="str">
        <f aca="false">IF($A111="","",IF(J111&gt;0,F111/J111,""))</f>
        <v/>
      </c>
      <c r="O111" s="9" t="str">
        <f aca="false">IF($A111="","",IF(K111&gt;0,G111/K111,""))</f>
        <v/>
      </c>
      <c r="P111" s="9" t="str">
        <f aca="false">IF($A111="","",IF(L111&gt;0,H111/L111,""))</f>
        <v/>
      </c>
      <c r="Q111" s="9" t="str">
        <f aca="false">IF($A111="","",IF(M111&gt;0,I111/M111,""))</f>
        <v/>
      </c>
      <c r="R111" s="17" t="str">
        <f aca="false">IF($A111="","",IF((IF(N111="",0,Dimensoes!$C$2)+IF(O111="",0,Dimensoes!$C$3)+IF(P111="",0,Dimensoes!$C$4)+IF(Q111="",0,Dimensoes!$C$5))=0,"",(IF(N111="",0,N111*Dimensoes!$C$2)+IF(O111="",0,O111*Dimensoes!$C$3)+IF(P111="",0,P111*Dimensoes!$C$4)+IF(Q111="",0,Q111*Dimensoes!$C$5))/(IF(N111="",0,Dimensoes!$C$2)+IF(O111="",0,Dimensoes!$C$3)+IF(P111="",0,Dimensoes!$C$4)+IF(Q111="",0,Dimensoes!$C$5))))</f>
        <v/>
      </c>
      <c r="S111" s="0" t="str">
        <f aca="false">IF(R111="","",IF(R111&lt;Faixas!$C$3,"vermelho",IF(R111&lt;Faixas!$C$4,"amarelo","verde")))</f>
        <v/>
      </c>
      <c r="T111" s="9" t="str">
        <f aca="false">IF($A111="","",IF(N111="",0,N111*Dimensoes!$C$2)+IF(O111="",0,O111*Dimensoes!$C$3)+IF(P111="",0,P111*Dimensoes!$C$4)+IF(Q111="",0,Q111*Dimensoes!$C$5))</f>
        <v/>
      </c>
      <c r="U111" s="0" t="str">
        <f aca="false">IF($A111="","",IF(OR(E111="concluida",E111="incompleta"),1,0))</f>
        <v/>
      </c>
    </row>
    <row r="112" customFormat="false" ht="15" hidden="false" customHeight="false" outlineLevel="0" collapsed="false">
      <c r="A112" s="0" t="str">
        <f aca="false">IF(Visitas!A112="","",Visitas!A112)</f>
        <v/>
      </c>
      <c r="B112" s="0" t="str">
        <f aca="false">IF($A112="","",Visitas!C112)</f>
        <v/>
      </c>
      <c r="C112" s="7" t="str">
        <f aca="false">IF($A112="","",Visitas!D112)</f>
        <v/>
      </c>
      <c r="D112" s="0" t="str">
        <f aca="false">IF($A112="","",Visitas!B112)</f>
        <v/>
      </c>
      <c r="E112" s="0" t="str">
        <f aca="false">IF($A112="","",Visitas!F112)</f>
        <v/>
      </c>
      <c r="F112" s="0" t="str">
        <f aca="false">IF($A112="","",SUMIFS(Avaliacoes!$G$2:$G$6000,Avaliacoes!$A$2:$A$6000,$A112,Avaliacoes!$F$2:$F$6000,"I",Avaliacoes!$H$2:$H$6000,0))</f>
        <v/>
      </c>
      <c r="G112" s="0" t="str">
        <f aca="false">IF($A112="","",SUMIFS(Avaliacoes!$G$2:$G$6000,Avaliacoes!$A$2:$A$6000,$A112,Avaliacoes!$F$2:$F$6000,"II",Avaliacoes!$H$2:$H$6000,0))</f>
        <v/>
      </c>
      <c r="H112" s="0" t="str">
        <f aca="false">IF($A112="","",SUMIFS(Avaliacoes!$G$2:$G$6000,Avaliacoes!$A$2:$A$6000,$A112,Avaliacoes!$F$2:$F$6000,"III",Avaliacoes!$H$2:$H$6000,0))</f>
        <v/>
      </c>
      <c r="I112" s="0" t="str">
        <f aca="false">IF($A112="","",SUMIFS(Avaliacoes!$G$2:$G$6000,Avaliacoes!$A$2:$A$6000,$A112,Avaliacoes!$F$2:$F$6000,"IV",Avaliacoes!$H$2:$H$6000,0))</f>
        <v/>
      </c>
      <c r="J112" s="0" t="str">
        <f aca="false">IF($A112="","",COUNTIFS(Avaliacoes!$A$2:$A$6000,$A112,Avaliacoes!$F$2:$F$6000,"I",Avaliacoes!$H$2:$H$6000,0,Avaliacoes!$G$2:$G$6000,"&lt;&gt;")*Dimensoes!$E$2)</f>
        <v/>
      </c>
      <c r="K112" s="0" t="str">
        <f aca="false">IF($A112="","",COUNTIFS(Avaliacoes!$A$2:$A$6000,$A112,Avaliacoes!$F$2:$F$6000,"II",Avaliacoes!$H$2:$H$6000,0,Avaliacoes!$G$2:$G$6000,"&lt;&gt;")*Dimensoes!$E$3)</f>
        <v/>
      </c>
      <c r="L112" s="0" t="str">
        <f aca="false">IF($A112="","",COUNTIFS(Avaliacoes!$A$2:$A$6000,$A112,Avaliacoes!$F$2:$F$6000,"III",Avaliacoes!$H$2:$H$6000,0,Avaliacoes!$G$2:$G$6000,"&lt;&gt;")*Dimensoes!$E$4)</f>
        <v/>
      </c>
      <c r="M112" s="0" t="str">
        <f aca="false">IF($A112="","",COUNTIFS(Avaliacoes!$A$2:$A$6000,$A112,Avaliacoes!$F$2:$F$6000,"IV",Avaliacoes!$H$2:$H$6000,0,Avaliacoes!$G$2:$G$6000,"&lt;&gt;")*Dimensoes!$E$5)</f>
        <v/>
      </c>
      <c r="N112" s="9" t="str">
        <f aca="false">IF($A112="","",IF(J112&gt;0,F112/J112,""))</f>
        <v/>
      </c>
      <c r="O112" s="9" t="str">
        <f aca="false">IF($A112="","",IF(K112&gt;0,G112/K112,""))</f>
        <v/>
      </c>
      <c r="P112" s="9" t="str">
        <f aca="false">IF($A112="","",IF(L112&gt;0,H112/L112,""))</f>
        <v/>
      </c>
      <c r="Q112" s="9" t="str">
        <f aca="false">IF($A112="","",IF(M112&gt;0,I112/M112,""))</f>
        <v/>
      </c>
      <c r="R112" s="17" t="str">
        <f aca="false">IF($A112="","",IF((IF(N112="",0,Dimensoes!$C$2)+IF(O112="",0,Dimensoes!$C$3)+IF(P112="",0,Dimensoes!$C$4)+IF(Q112="",0,Dimensoes!$C$5))=0,"",(IF(N112="",0,N112*Dimensoes!$C$2)+IF(O112="",0,O112*Dimensoes!$C$3)+IF(P112="",0,P112*Dimensoes!$C$4)+IF(Q112="",0,Q112*Dimensoes!$C$5))/(IF(N112="",0,Dimensoes!$C$2)+IF(O112="",0,Dimensoes!$C$3)+IF(P112="",0,Dimensoes!$C$4)+IF(Q112="",0,Dimensoes!$C$5))))</f>
        <v/>
      </c>
      <c r="S112" s="0" t="str">
        <f aca="false">IF(R112="","",IF(R112&lt;Faixas!$C$3,"vermelho",IF(R112&lt;Faixas!$C$4,"amarelo","verde")))</f>
        <v/>
      </c>
      <c r="T112" s="9" t="str">
        <f aca="false">IF($A112="","",IF(N112="",0,N112*Dimensoes!$C$2)+IF(O112="",0,O112*Dimensoes!$C$3)+IF(P112="",0,P112*Dimensoes!$C$4)+IF(Q112="",0,Q112*Dimensoes!$C$5))</f>
        <v/>
      </c>
      <c r="U112" s="0" t="str">
        <f aca="false">IF($A112="","",IF(OR(E112="concluida",E112="incompleta"),1,0))</f>
        <v/>
      </c>
    </row>
    <row r="113" customFormat="false" ht="15" hidden="false" customHeight="false" outlineLevel="0" collapsed="false">
      <c r="A113" s="0" t="str">
        <f aca="false">IF(Visitas!A113="","",Visitas!A113)</f>
        <v/>
      </c>
      <c r="B113" s="0" t="str">
        <f aca="false">IF($A113="","",Visitas!C113)</f>
        <v/>
      </c>
      <c r="C113" s="7" t="str">
        <f aca="false">IF($A113="","",Visitas!D113)</f>
        <v/>
      </c>
      <c r="D113" s="0" t="str">
        <f aca="false">IF($A113="","",Visitas!B113)</f>
        <v/>
      </c>
      <c r="E113" s="0" t="str">
        <f aca="false">IF($A113="","",Visitas!F113)</f>
        <v/>
      </c>
      <c r="F113" s="0" t="str">
        <f aca="false">IF($A113="","",SUMIFS(Avaliacoes!$G$2:$G$6000,Avaliacoes!$A$2:$A$6000,$A113,Avaliacoes!$F$2:$F$6000,"I",Avaliacoes!$H$2:$H$6000,0))</f>
        <v/>
      </c>
      <c r="G113" s="0" t="str">
        <f aca="false">IF($A113="","",SUMIFS(Avaliacoes!$G$2:$G$6000,Avaliacoes!$A$2:$A$6000,$A113,Avaliacoes!$F$2:$F$6000,"II",Avaliacoes!$H$2:$H$6000,0))</f>
        <v/>
      </c>
      <c r="H113" s="0" t="str">
        <f aca="false">IF($A113="","",SUMIFS(Avaliacoes!$G$2:$G$6000,Avaliacoes!$A$2:$A$6000,$A113,Avaliacoes!$F$2:$F$6000,"III",Avaliacoes!$H$2:$H$6000,0))</f>
        <v/>
      </c>
      <c r="I113" s="0" t="str">
        <f aca="false">IF($A113="","",SUMIFS(Avaliacoes!$G$2:$G$6000,Avaliacoes!$A$2:$A$6000,$A113,Avaliacoes!$F$2:$F$6000,"IV",Avaliacoes!$H$2:$H$6000,0))</f>
        <v/>
      </c>
      <c r="J113" s="0" t="str">
        <f aca="false">IF($A113="","",COUNTIFS(Avaliacoes!$A$2:$A$6000,$A113,Avaliacoes!$F$2:$F$6000,"I",Avaliacoes!$H$2:$H$6000,0,Avaliacoes!$G$2:$G$6000,"&lt;&gt;")*Dimensoes!$E$2)</f>
        <v/>
      </c>
      <c r="K113" s="0" t="str">
        <f aca="false">IF($A113="","",COUNTIFS(Avaliacoes!$A$2:$A$6000,$A113,Avaliacoes!$F$2:$F$6000,"II",Avaliacoes!$H$2:$H$6000,0,Avaliacoes!$G$2:$G$6000,"&lt;&gt;")*Dimensoes!$E$3)</f>
        <v/>
      </c>
      <c r="L113" s="0" t="str">
        <f aca="false">IF($A113="","",COUNTIFS(Avaliacoes!$A$2:$A$6000,$A113,Avaliacoes!$F$2:$F$6000,"III",Avaliacoes!$H$2:$H$6000,0,Avaliacoes!$G$2:$G$6000,"&lt;&gt;")*Dimensoes!$E$4)</f>
        <v/>
      </c>
      <c r="M113" s="0" t="str">
        <f aca="false">IF($A113="","",COUNTIFS(Avaliacoes!$A$2:$A$6000,$A113,Avaliacoes!$F$2:$F$6000,"IV",Avaliacoes!$H$2:$H$6000,0,Avaliacoes!$G$2:$G$6000,"&lt;&gt;")*Dimensoes!$E$5)</f>
        <v/>
      </c>
      <c r="N113" s="9" t="str">
        <f aca="false">IF($A113="","",IF(J113&gt;0,F113/J113,""))</f>
        <v/>
      </c>
      <c r="O113" s="9" t="str">
        <f aca="false">IF($A113="","",IF(K113&gt;0,G113/K113,""))</f>
        <v/>
      </c>
      <c r="P113" s="9" t="str">
        <f aca="false">IF($A113="","",IF(L113&gt;0,H113/L113,""))</f>
        <v/>
      </c>
      <c r="Q113" s="9" t="str">
        <f aca="false">IF($A113="","",IF(M113&gt;0,I113/M113,""))</f>
        <v/>
      </c>
      <c r="R113" s="17" t="str">
        <f aca="false">IF($A113="","",IF((IF(N113="",0,Dimensoes!$C$2)+IF(O113="",0,Dimensoes!$C$3)+IF(P113="",0,Dimensoes!$C$4)+IF(Q113="",0,Dimensoes!$C$5))=0,"",(IF(N113="",0,N113*Dimensoes!$C$2)+IF(O113="",0,O113*Dimensoes!$C$3)+IF(P113="",0,P113*Dimensoes!$C$4)+IF(Q113="",0,Q113*Dimensoes!$C$5))/(IF(N113="",0,Dimensoes!$C$2)+IF(O113="",0,Dimensoes!$C$3)+IF(P113="",0,Dimensoes!$C$4)+IF(Q113="",0,Dimensoes!$C$5))))</f>
        <v/>
      </c>
      <c r="S113" s="0" t="str">
        <f aca="false">IF(R113="","",IF(R113&lt;Faixas!$C$3,"vermelho",IF(R113&lt;Faixas!$C$4,"amarelo","verde")))</f>
        <v/>
      </c>
      <c r="T113" s="9" t="str">
        <f aca="false">IF($A113="","",IF(N113="",0,N113*Dimensoes!$C$2)+IF(O113="",0,O113*Dimensoes!$C$3)+IF(P113="",0,P113*Dimensoes!$C$4)+IF(Q113="",0,Q113*Dimensoes!$C$5))</f>
        <v/>
      </c>
      <c r="U113" s="0" t="str">
        <f aca="false">IF($A113="","",IF(OR(E113="concluida",E113="incompleta"),1,0))</f>
        <v/>
      </c>
    </row>
    <row r="114" customFormat="false" ht="15" hidden="false" customHeight="false" outlineLevel="0" collapsed="false">
      <c r="A114" s="0" t="str">
        <f aca="false">IF(Visitas!A114="","",Visitas!A114)</f>
        <v/>
      </c>
      <c r="B114" s="0" t="str">
        <f aca="false">IF($A114="","",Visitas!C114)</f>
        <v/>
      </c>
      <c r="C114" s="7" t="str">
        <f aca="false">IF($A114="","",Visitas!D114)</f>
        <v/>
      </c>
      <c r="D114" s="0" t="str">
        <f aca="false">IF($A114="","",Visitas!B114)</f>
        <v/>
      </c>
      <c r="E114" s="0" t="str">
        <f aca="false">IF($A114="","",Visitas!F114)</f>
        <v/>
      </c>
      <c r="F114" s="0" t="str">
        <f aca="false">IF($A114="","",SUMIFS(Avaliacoes!$G$2:$G$6000,Avaliacoes!$A$2:$A$6000,$A114,Avaliacoes!$F$2:$F$6000,"I",Avaliacoes!$H$2:$H$6000,0))</f>
        <v/>
      </c>
      <c r="G114" s="0" t="str">
        <f aca="false">IF($A114="","",SUMIFS(Avaliacoes!$G$2:$G$6000,Avaliacoes!$A$2:$A$6000,$A114,Avaliacoes!$F$2:$F$6000,"II",Avaliacoes!$H$2:$H$6000,0))</f>
        <v/>
      </c>
      <c r="H114" s="0" t="str">
        <f aca="false">IF($A114="","",SUMIFS(Avaliacoes!$G$2:$G$6000,Avaliacoes!$A$2:$A$6000,$A114,Avaliacoes!$F$2:$F$6000,"III",Avaliacoes!$H$2:$H$6000,0))</f>
        <v/>
      </c>
      <c r="I114" s="0" t="str">
        <f aca="false">IF($A114="","",SUMIFS(Avaliacoes!$G$2:$G$6000,Avaliacoes!$A$2:$A$6000,$A114,Avaliacoes!$F$2:$F$6000,"IV",Avaliacoes!$H$2:$H$6000,0))</f>
        <v/>
      </c>
      <c r="J114" s="0" t="str">
        <f aca="false">IF($A114="","",COUNTIFS(Avaliacoes!$A$2:$A$6000,$A114,Avaliacoes!$F$2:$F$6000,"I",Avaliacoes!$H$2:$H$6000,0,Avaliacoes!$G$2:$G$6000,"&lt;&gt;")*Dimensoes!$E$2)</f>
        <v/>
      </c>
      <c r="K114" s="0" t="str">
        <f aca="false">IF($A114="","",COUNTIFS(Avaliacoes!$A$2:$A$6000,$A114,Avaliacoes!$F$2:$F$6000,"II",Avaliacoes!$H$2:$H$6000,0,Avaliacoes!$G$2:$G$6000,"&lt;&gt;")*Dimensoes!$E$3)</f>
        <v/>
      </c>
      <c r="L114" s="0" t="str">
        <f aca="false">IF($A114="","",COUNTIFS(Avaliacoes!$A$2:$A$6000,$A114,Avaliacoes!$F$2:$F$6000,"III",Avaliacoes!$H$2:$H$6000,0,Avaliacoes!$G$2:$G$6000,"&lt;&gt;")*Dimensoes!$E$4)</f>
        <v/>
      </c>
      <c r="M114" s="0" t="str">
        <f aca="false">IF($A114="","",COUNTIFS(Avaliacoes!$A$2:$A$6000,$A114,Avaliacoes!$F$2:$F$6000,"IV",Avaliacoes!$H$2:$H$6000,0,Avaliacoes!$G$2:$G$6000,"&lt;&gt;")*Dimensoes!$E$5)</f>
        <v/>
      </c>
      <c r="N114" s="9" t="str">
        <f aca="false">IF($A114="","",IF(J114&gt;0,F114/J114,""))</f>
        <v/>
      </c>
      <c r="O114" s="9" t="str">
        <f aca="false">IF($A114="","",IF(K114&gt;0,G114/K114,""))</f>
        <v/>
      </c>
      <c r="P114" s="9" t="str">
        <f aca="false">IF($A114="","",IF(L114&gt;0,H114/L114,""))</f>
        <v/>
      </c>
      <c r="Q114" s="9" t="str">
        <f aca="false">IF($A114="","",IF(M114&gt;0,I114/M114,""))</f>
        <v/>
      </c>
      <c r="R114" s="17" t="str">
        <f aca="false">IF($A114="","",IF((IF(N114="",0,Dimensoes!$C$2)+IF(O114="",0,Dimensoes!$C$3)+IF(P114="",0,Dimensoes!$C$4)+IF(Q114="",0,Dimensoes!$C$5))=0,"",(IF(N114="",0,N114*Dimensoes!$C$2)+IF(O114="",0,O114*Dimensoes!$C$3)+IF(P114="",0,P114*Dimensoes!$C$4)+IF(Q114="",0,Q114*Dimensoes!$C$5))/(IF(N114="",0,Dimensoes!$C$2)+IF(O114="",0,Dimensoes!$C$3)+IF(P114="",0,Dimensoes!$C$4)+IF(Q114="",0,Dimensoes!$C$5))))</f>
        <v/>
      </c>
      <c r="S114" s="0" t="str">
        <f aca="false">IF(R114="","",IF(R114&lt;Faixas!$C$3,"vermelho",IF(R114&lt;Faixas!$C$4,"amarelo","verde")))</f>
        <v/>
      </c>
      <c r="T114" s="9" t="str">
        <f aca="false">IF($A114="","",IF(N114="",0,N114*Dimensoes!$C$2)+IF(O114="",0,O114*Dimensoes!$C$3)+IF(P114="",0,P114*Dimensoes!$C$4)+IF(Q114="",0,Q114*Dimensoes!$C$5))</f>
        <v/>
      </c>
      <c r="U114" s="0" t="str">
        <f aca="false">IF($A114="","",IF(OR(E114="concluida",E114="incompleta"),1,0))</f>
        <v/>
      </c>
    </row>
    <row r="115" customFormat="false" ht="15" hidden="false" customHeight="false" outlineLevel="0" collapsed="false">
      <c r="A115" s="0" t="str">
        <f aca="false">IF(Visitas!A115="","",Visitas!A115)</f>
        <v/>
      </c>
      <c r="B115" s="0" t="str">
        <f aca="false">IF($A115="","",Visitas!C115)</f>
        <v/>
      </c>
      <c r="C115" s="7" t="str">
        <f aca="false">IF($A115="","",Visitas!D115)</f>
        <v/>
      </c>
      <c r="D115" s="0" t="str">
        <f aca="false">IF($A115="","",Visitas!B115)</f>
        <v/>
      </c>
      <c r="E115" s="0" t="str">
        <f aca="false">IF($A115="","",Visitas!F115)</f>
        <v/>
      </c>
      <c r="F115" s="0" t="str">
        <f aca="false">IF($A115="","",SUMIFS(Avaliacoes!$G$2:$G$6000,Avaliacoes!$A$2:$A$6000,$A115,Avaliacoes!$F$2:$F$6000,"I",Avaliacoes!$H$2:$H$6000,0))</f>
        <v/>
      </c>
      <c r="G115" s="0" t="str">
        <f aca="false">IF($A115="","",SUMIFS(Avaliacoes!$G$2:$G$6000,Avaliacoes!$A$2:$A$6000,$A115,Avaliacoes!$F$2:$F$6000,"II",Avaliacoes!$H$2:$H$6000,0))</f>
        <v/>
      </c>
      <c r="H115" s="0" t="str">
        <f aca="false">IF($A115="","",SUMIFS(Avaliacoes!$G$2:$G$6000,Avaliacoes!$A$2:$A$6000,$A115,Avaliacoes!$F$2:$F$6000,"III",Avaliacoes!$H$2:$H$6000,0))</f>
        <v/>
      </c>
      <c r="I115" s="0" t="str">
        <f aca="false">IF($A115="","",SUMIFS(Avaliacoes!$G$2:$G$6000,Avaliacoes!$A$2:$A$6000,$A115,Avaliacoes!$F$2:$F$6000,"IV",Avaliacoes!$H$2:$H$6000,0))</f>
        <v/>
      </c>
      <c r="J115" s="0" t="str">
        <f aca="false">IF($A115="","",COUNTIFS(Avaliacoes!$A$2:$A$6000,$A115,Avaliacoes!$F$2:$F$6000,"I",Avaliacoes!$H$2:$H$6000,0,Avaliacoes!$G$2:$G$6000,"&lt;&gt;")*Dimensoes!$E$2)</f>
        <v/>
      </c>
      <c r="K115" s="0" t="str">
        <f aca="false">IF($A115="","",COUNTIFS(Avaliacoes!$A$2:$A$6000,$A115,Avaliacoes!$F$2:$F$6000,"II",Avaliacoes!$H$2:$H$6000,0,Avaliacoes!$G$2:$G$6000,"&lt;&gt;")*Dimensoes!$E$3)</f>
        <v/>
      </c>
      <c r="L115" s="0" t="str">
        <f aca="false">IF($A115="","",COUNTIFS(Avaliacoes!$A$2:$A$6000,$A115,Avaliacoes!$F$2:$F$6000,"III",Avaliacoes!$H$2:$H$6000,0,Avaliacoes!$G$2:$G$6000,"&lt;&gt;")*Dimensoes!$E$4)</f>
        <v/>
      </c>
      <c r="M115" s="0" t="str">
        <f aca="false">IF($A115="","",COUNTIFS(Avaliacoes!$A$2:$A$6000,$A115,Avaliacoes!$F$2:$F$6000,"IV",Avaliacoes!$H$2:$H$6000,0,Avaliacoes!$G$2:$G$6000,"&lt;&gt;")*Dimensoes!$E$5)</f>
        <v/>
      </c>
      <c r="N115" s="9" t="str">
        <f aca="false">IF($A115="","",IF(J115&gt;0,F115/J115,""))</f>
        <v/>
      </c>
      <c r="O115" s="9" t="str">
        <f aca="false">IF($A115="","",IF(K115&gt;0,G115/K115,""))</f>
        <v/>
      </c>
      <c r="P115" s="9" t="str">
        <f aca="false">IF($A115="","",IF(L115&gt;0,H115/L115,""))</f>
        <v/>
      </c>
      <c r="Q115" s="9" t="str">
        <f aca="false">IF($A115="","",IF(M115&gt;0,I115/M115,""))</f>
        <v/>
      </c>
      <c r="R115" s="17" t="str">
        <f aca="false">IF($A115="","",IF((IF(N115="",0,Dimensoes!$C$2)+IF(O115="",0,Dimensoes!$C$3)+IF(P115="",0,Dimensoes!$C$4)+IF(Q115="",0,Dimensoes!$C$5))=0,"",(IF(N115="",0,N115*Dimensoes!$C$2)+IF(O115="",0,O115*Dimensoes!$C$3)+IF(P115="",0,P115*Dimensoes!$C$4)+IF(Q115="",0,Q115*Dimensoes!$C$5))/(IF(N115="",0,Dimensoes!$C$2)+IF(O115="",0,Dimensoes!$C$3)+IF(P115="",0,Dimensoes!$C$4)+IF(Q115="",0,Dimensoes!$C$5))))</f>
        <v/>
      </c>
      <c r="S115" s="0" t="str">
        <f aca="false">IF(R115="","",IF(R115&lt;Faixas!$C$3,"vermelho",IF(R115&lt;Faixas!$C$4,"amarelo","verde")))</f>
        <v/>
      </c>
      <c r="T115" s="9" t="str">
        <f aca="false">IF($A115="","",IF(N115="",0,N115*Dimensoes!$C$2)+IF(O115="",0,O115*Dimensoes!$C$3)+IF(P115="",0,P115*Dimensoes!$C$4)+IF(Q115="",0,Q115*Dimensoes!$C$5))</f>
        <v/>
      </c>
      <c r="U115" s="0" t="str">
        <f aca="false">IF($A115="","",IF(OR(E115="concluida",E115="incompleta"),1,0))</f>
        <v/>
      </c>
    </row>
    <row r="116" customFormat="false" ht="15" hidden="false" customHeight="false" outlineLevel="0" collapsed="false">
      <c r="A116" s="0" t="str">
        <f aca="false">IF(Visitas!A116="","",Visitas!A116)</f>
        <v/>
      </c>
      <c r="B116" s="0" t="str">
        <f aca="false">IF($A116="","",Visitas!C116)</f>
        <v/>
      </c>
      <c r="C116" s="7" t="str">
        <f aca="false">IF($A116="","",Visitas!D116)</f>
        <v/>
      </c>
      <c r="D116" s="0" t="str">
        <f aca="false">IF($A116="","",Visitas!B116)</f>
        <v/>
      </c>
      <c r="E116" s="0" t="str">
        <f aca="false">IF($A116="","",Visitas!F116)</f>
        <v/>
      </c>
      <c r="F116" s="0" t="str">
        <f aca="false">IF($A116="","",SUMIFS(Avaliacoes!$G$2:$G$6000,Avaliacoes!$A$2:$A$6000,$A116,Avaliacoes!$F$2:$F$6000,"I",Avaliacoes!$H$2:$H$6000,0))</f>
        <v/>
      </c>
      <c r="G116" s="0" t="str">
        <f aca="false">IF($A116="","",SUMIFS(Avaliacoes!$G$2:$G$6000,Avaliacoes!$A$2:$A$6000,$A116,Avaliacoes!$F$2:$F$6000,"II",Avaliacoes!$H$2:$H$6000,0))</f>
        <v/>
      </c>
      <c r="H116" s="0" t="str">
        <f aca="false">IF($A116="","",SUMIFS(Avaliacoes!$G$2:$G$6000,Avaliacoes!$A$2:$A$6000,$A116,Avaliacoes!$F$2:$F$6000,"III",Avaliacoes!$H$2:$H$6000,0))</f>
        <v/>
      </c>
      <c r="I116" s="0" t="str">
        <f aca="false">IF($A116="","",SUMIFS(Avaliacoes!$G$2:$G$6000,Avaliacoes!$A$2:$A$6000,$A116,Avaliacoes!$F$2:$F$6000,"IV",Avaliacoes!$H$2:$H$6000,0))</f>
        <v/>
      </c>
      <c r="J116" s="0" t="str">
        <f aca="false">IF($A116="","",COUNTIFS(Avaliacoes!$A$2:$A$6000,$A116,Avaliacoes!$F$2:$F$6000,"I",Avaliacoes!$H$2:$H$6000,0,Avaliacoes!$G$2:$G$6000,"&lt;&gt;")*Dimensoes!$E$2)</f>
        <v/>
      </c>
      <c r="K116" s="0" t="str">
        <f aca="false">IF($A116="","",COUNTIFS(Avaliacoes!$A$2:$A$6000,$A116,Avaliacoes!$F$2:$F$6000,"II",Avaliacoes!$H$2:$H$6000,0,Avaliacoes!$G$2:$G$6000,"&lt;&gt;")*Dimensoes!$E$3)</f>
        <v/>
      </c>
      <c r="L116" s="0" t="str">
        <f aca="false">IF($A116="","",COUNTIFS(Avaliacoes!$A$2:$A$6000,$A116,Avaliacoes!$F$2:$F$6000,"III",Avaliacoes!$H$2:$H$6000,0,Avaliacoes!$G$2:$G$6000,"&lt;&gt;")*Dimensoes!$E$4)</f>
        <v/>
      </c>
      <c r="M116" s="0" t="str">
        <f aca="false">IF($A116="","",COUNTIFS(Avaliacoes!$A$2:$A$6000,$A116,Avaliacoes!$F$2:$F$6000,"IV",Avaliacoes!$H$2:$H$6000,0,Avaliacoes!$G$2:$G$6000,"&lt;&gt;")*Dimensoes!$E$5)</f>
        <v/>
      </c>
      <c r="N116" s="9" t="str">
        <f aca="false">IF($A116="","",IF(J116&gt;0,F116/J116,""))</f>
        <v/>
      </c>
      <c r="O116" s="9" t="str">
        <f aca="false">IF($A116="","",IF(K116&gt;0,G116/K116,""))</f>
        <v/>
      </c>
      <c r="P116" s="9" t="str">
        <f aca="false">IF($A116="","",IF(L116&gt;0,H116/L116,""))</f>
        <v/>
      </c>
      <c r="Q116" s="9" t="str">
        <f aca="false">IF($A116="","",IF(M116&gt;0,I116/M116,""))</f>
        <v/>
      </c>
      <c r="R116" s="17" t="str">
        <f aca="false">IF($A116="","",IF((IF(N116="",0,Dimensoes!$C$2)+IF(O116="",0,Dimensoes!$C$3)+IF(P116="",0,Dimensoes!$C$4)+IF(Q116="",0,Dimensoes!$C$5))=0,"",(IF(N116="",0,N116*Dimensoes!$C$2)+IF(O116="",0,O116*Dimensoes!$C$3)+IF(P116="",0,P116*Dimensoes!$C$4)+IF(Q116="",0,Q116*Dimensoes!$C$5))/(IF(N116="",0,Dimensoes!$C$2)+IF(O116="",0,Dimensoes!$C$3)+IF(P116="",0,Dimensoes!$C$4)+IF(Q116="",0,Dimensoes!$C$5))))</f>
        <v/>
      </c>
      <c r="S116" s="0" t="str">
        <f aca="false">IF(R116="","",IF(R116&lt;Faixas!$C$3,"vermelho",IF(R116&lt;Faixas!$C$4,"amarelo","verde")))</f>
        <v/>
      </c>
      <c r="T116" s="9" t="str">
        <f aca="false">IF($A116="","",IF(N116="",0,N116*Dimensoes!$C$2)+IF(O116="",0,O116*Dimensoes!$C$3)+IF(P116="",0,P116*Dimensoes!$C$4)+IF(Q116="",0,Q116*Dimensoes!$C$5))</f>
        <v/>
      </c>
      <c r="U116" s="0" t="str">
        <f aca="false">IF($A116="","",IF(OR(E116="concluida",E116="incompleta"),1,0))</f>
        <v/>
      </c>
    </row>
    <row r="117" customFormat="false" ht="15" hidden="false" customHeight="false" outlineLevel="0" collapsed="false">
      <c r="A117" s="0" t="str">
        <f aca="false">IF(Visitas!A117="","",Visitas!A117)</f>
        <v/>
      </c>
      <c r="B117" s="0" t="str">
        <f aca="false">IF($A117="","",Visitas!C117)</f>
        <v/>
      </c>
      <c r="C117" s="7" t="str">
        <f aca="false">IF($A117="","",Visitas!D117)</f>
        <v/>
      </c>
      <c r="D117" s="0" t="str">
        <f aca="false">IF($A117="","",Visitas!B117)</f>
        <v/>
      </c>
      <c r="E117" s="0" t="str">
        <f aca="false">IF($A117="","",Visitas!F117)</f>
        <v/>
      </c>
      <c r="F117" s="0" t="str">
        <f aca="false">IF($A117="","",SUMIFS(Avaliacoes!$G$2:$G$6000,Avaliacoes!$A$2:$A$6000,$A117,Avaliacoes!$F$2:$F$6000,"I",Avaliacoes!$H$2:$H$6000,0))</f>
        <v/>
      </c>
      <c r="G117" s="0" t="str">
        <f aca="false">IF($A117="","",SUMIFS(Avaliacoes!$G$2:$G$6000,Avaliacoes!$A$2:$A$6000,$A117,Avaliacoes!$F$2:$F$6000,"II",Avaliacoes!$H$2:$H$6000,0))</f>
        <v/>
      </c>
      <c r="H117" s="0" t="str">
        <f aca="false">IF($A117="","",SUMIFS(Avaliacoes!$G$2:$G$6000,Avaliacoes!$A$2:$A$6000,$A117,Avaliacoes!$F$2:$F$6000,"III",Avaliacoes!$H$2:$H$6000,0))</f>
        <v/>
      </c>
      <c r="I117" s="0" t="str">
        <f aca="false">IF($A117="","",SUMIFS(Avaliacoes!$G$2:$G$6000,Avaliacoes!$A$2:$A$6000,$A117,Avaliacoes!$F$2:$F$6000,"IV",Avaliacoes!$H$2:$H$6000,0))</f>
        <v/>
      </c>
      <c r="J117" s="0" t="str">
        <f aca="false">IF($A117="","",COUNTIFS(Avaliacoes!$A$2:$A$6000,$A117,Avaliacoes!$F$2:$F$6000,"I",Avaliacoes!$H$2:$H$6000,0,Avaliacoes!$G$2:$G$6000,"&lt;&gt;")*Dimensoes!$E$2)</f>
        <v/>
      </c>
      <c r="K117" s="0" t="str">
        <f aca="false">IF($A117="","",COUNTIFS(Avaliacoes!$A$2:$A$6000,$A117,Avaliacoes!$F$2:$F$6000,"II",Avaliacoes!$H$2:$H$6000,0,Avaliacoes!$G$2:$G$6000,"&lt;&gt;")*Dimensoes!$E$3)</f>
        <v/>
      </c>
      <c r="L117" s="0" t="str">
        <f aca="false">IF($A117="","",COUNTIFS(Avaliacoes!$A$2:$A$6000,$A117,Avaliacoes!$F$2:$F$6000,"III",Avaliacoes!$H$2:$H$6000,0,Avaliacoes!$G$2:$G$6000,"&lt;&gt;")*Dimensoes!$E$4)</f>
        <v/>
      </c>
      <c r="M117" s="0" t="str">
        <f aca="false">IF($A117="","",COUNTIFS(Avaliacoes!$A$2:$A$6000,$A117,Avaliacoes!$F$2:$F$6000,"IV",Avaliacoes!$H$2:$H$6000,0,Avaliacoes!$G$2:$G$6000,"&lt;&gt;")*Dimensoes!$E$5)</f>
        <v/>
      </c>
      <c r="N117" s="9" t="str">
        <f aca="false">IF($A117="","",IF(J117&gt;0,F117/J117,""))</f>
        <v/>
      </c>
      <c r="O117" s="9" t="str">
        <f aca="false">IF($A117="","",IF(K117&gt;0,G117/K117,""))</f>
        <v/>
      </c>
      <c r="P117" s="9" t="str">
        <f aca="false">IF($A117="","",IF(L117&gt;0,H117/L117,""))</f>
        <v/>
      </c>
      <c r="Q117" s="9" t="str">
        <f aca="false">IF($A117="","",IF(M117&gt;0,I117/M117,""))</f>
        <v/>
      </c>
      <c r="R117" s="17" t="str">
        <f aca="false">IF($A117="","",IF((IF(N117="",0,Dimensoes!$C$2)+IF(O117="",0,Dimensoes!$C$3)+IF(P117="",0,Dimensoes!$C$4)+IF(Q117="",0,Dimensoes!$C$5))=0,"",(IF(N117="",0,N117*Dimensoes!$C$2)+IF(O117="",0,O117*Dimensoes!$C$3)+IF(P117="",0,P117*Dimensoes!$C$4)+IF(Q117="",0,Q117*Dimensoes!$C$5))/(IF(N117="",0,Dimensoes!$C$2)+IF(O117="",0,Dimensoes!$C$3)+IF(P117="",0,Dimensoes!$C$4)+IF(Q117="",0,Dimensoes!$C$5))))</f>
        <v/>
      </c>
      <c r="S117" s="0" t="str">
        <f aca="false">IF(R117="","",IF(R117&lt;Faixas!$C$3,"vermelho",IF(R117&lt;Faixas!$C$4,"amarelo","verde")))</f>
        <v/>
      </c>
      <c r="T117" s="9" t="str">
        <f aca="false">IF($A117="","",IF(N117="",0,N117*Dimensoes!$C$2)+IF(O117="",0,O117*Dimensoes!$C$3)+IF(P117="",0,P117*Dimensoes!$C$4)+IF(Q117="",0,Q117*Dimensoes!$C$5))</f>
        <v/>
      </c>
      <c r="U117" s="0" t="str">
        <f aca="false">IF($A117="","",IF(OR(E117="concluida",E117="incompleta"),1,0))</f>
        <v/>
      </c>
    </row>
    <row r="118" customFormat="false" ht="15" hidden="false" customHeight="false" outlineLevel="0" collapsed="false">
      <c r="A118" s="0" t="str">
        <f aca="false">IF(Visitas!A118="","",Visitas!A118)</f>
        <v/>
      </c>
      <c r="B118" s="0" t="str">
        <f aca="false">IF($A118="","",Visitas!C118)</f>
        <v/>
      </c>
      <c r="C118" s="7" t="str">
        <f aca="false">IF($A118="","",Visitas!D118)</f>
        <v/>
      </c>
      <c r="D118" s="0" t="str">
        <f aca="false">IF($A118="","",Visitas!B118)</f>
        <v/>
      </c>
      <c r="E118" s="0" t="str">
        <f aca="false">IF($A118="","",Visitas!F118)</f>
        <v/>
      </c>
      <c r="F118" s="0" t="str">
        <f aca="false">IF($A118="","",SUMIFS(Avaliacoes!$G$2:$G$6000,Avaliacoes!$A$2:$A$6000,$A118,Avaliacoes!$F$2:$F$6000,"I",Avaliacoes!$H$2:$H$6000,0))</f>
        <v/>
      </c>
      <c r="G118" s="0" t="str">
        <f aca="false">IF($A118="","",SUMIFS(Avaliacoes!$G$2:$G$6000,Avaliacoes!$A$2:$A$6000,$A118,Avaliacoes!$F$2:$F$6000,"II",Avaliacoes!$H$2:$H$6000,0))</f>
        <v/>
      </c>
      <c r="H118" s="0" t="str">
        <f aca="false">IF($A118="","",SUMIFS(Avaliacoes!$G$2:$G$6000,Avaliacoes!$A$2:$A$6000,$A118,Avaliacoes!$F$2:$F$6000,"III",Avaliacoes!$H$2:$H$6000,0))</f>
        <v/>
      </c>
      <c r="I118" s="0" t="str">
        <f aca="false">IF($A118="","",SUMIFS(Avaliacoes!$G$2:$G$6000,Avaliacoes!$A$2:$A$6000,$A118,Avaliacoes!$F$2:$F$6000,"IV",Avaliacoes!$H$2:$H$6000,0))</f>
        <v/>
      </c>
      <c r="J118" s="0" t="str">
        <f aca="false">IF($A118="","",COUNTIFS(Avaliacoes!$A$2:$A$6000,$A118,Avaliacoes!$F$2:$F$6000,"I",Avaliacoes!$H$2:$H$6000,0,Avaliacoes!$G$2:$G$6000,"&lt;&gt;")*Dimensoes!$E$2)</f>
        <v/>
      </c>
      <c r="K118" s="0" t="str">
        <f aca="false">IF($A118="","",COUNTIFS(Avaliacoes!$A$2:$A$6000,$A118,Avaliacoes!$F$2:$F$6000,"II",Avaliacoes!$H$2:$H$6000,0,Avaliacoes!$G$2:$G$6000,"&lt;&gt;")*Dimensoes!$E$3)</f>
        <v/>
      </c>
      <c r="L118" s="0" t="str">
        <f aca="false">IF($A118="","",COUNTIFS(Avaliacoes!$A$2:$A$6000,$A118,Avaliacoes!$F$2:$F$6000,"III",Avaliacoes!$H$2:$H$6000,0,Avaliacoes!$G$2:$G$6000,"&lt;&gt;")*Dimensoes!$E$4)</f>
        <v/>
      </c>
      <c r="M118" s="0" t="str">
        <f aca="false">IF($A118="","",COUNTIFS(Avaliacoes!$A$2:$A$6000,$A118,Avaliacoes!$F$2:$F$6000,"IV",Avaliacoes!$H$2:$H$6000,0,Avaliacoes!$G$2:$G$6000,"&lt;&gt;")*Dimensoes!$E$5)</f>
        <v/>
      </c>
      <c r="N118" s="9" t="str">
        <f aca="false">IF($A118="","",IF(J118&gt;0,F118/J118,""))</f>
        <v/>
      </c>
      <c r="O118" s="9" t="str">
        <f aca="false">IF($A118="","",IF(K118&gt;0,G118/K118,""))</f>
        <v/>
      </c>
      <c r="P118" s="9" t="str">
        <f aca="false">IF($A118="","",IF(L118&gt;0,H118/L118,""))</f>
        <v/>
      </c>
      <c r="Q118" s="9" t="str">
        <f aca="false">IF($A118="","",IF(M118&gt;0,I118/M118,""))</f>
        <v/>
      </c>
      <c r="R118" s="17" t="str">
        <f aca="false">IF($A118="","",IF((IF(N118="",0,Dimensoes!$C$2)+IF(O118="",0,Dimensoes!$C$3)+IF(P118="",0,Dimensoes!$C$4)+IF(Q118="",0,Dimensoes!$C$5))=0,"",(IF(N118="",0,N118*Dimensoes!$C$2)+IF(O118="",0,O118*Dimensoes!$C$3)+IF(P118="",0,P118*Dimensoes!$C$4)+IF(Q118="",0,Q118*Dimensoes!$C$5))/(IF(N118="",0,Dimensoes!$C$2)+IF(O118="",0,Dimensoes!$C$3)+IF(P118="",0,Dimensoes!$C$4)+IF(Q118="",0,Dimensoes!$C$5))))</f>
        <v/>
      </c>
      <c r="S118" s="0" t="str">
        <f aca="false">IF(R118="","",IF(R118&lt;Faixas!$C$3,"vermelho",IF(R118&lt;Faixas!$C$4,"amarelo","verde")))</f>
        <v/>
      </c>
      <c r="T118" s="9" t="str">
        <f aca="false">IF($A118="","",IF(N118="",0,N118*Dimensoes!$C$2)+IF(O118="",0,O118*Dimensoes!$C$3)+IF(P118="",0,P118*Dimensoes!$C$4)+IF(Q118="",0,Q118*Dimensoes!$C$5))</f>
        <v/>
      </c>
      <c r="U118" s="0" t="str">
        <f aca="false">IF($A118="","",IF(OR(E118="concluida",E118="incompleta"),1,0))</f>
        <v/>
      </c>
    </row>
    <row r="119" customFormat="false" ht="15" hidden="false" customHeight="false" outlineLevel="0" collapsed="false">
      <c r="A119" s="0" t="str">
        <f aca="false">IF(Visitas!A119="","",Visitas!A119)</f>
        <v/>
      </c>
      <c r="B119" s="0" t="str">
        <f aca="false">IF($A119="","",Visitas!C119)</f>
        <v/>
      </c>
      <c r="C119" s="7" t="str">
        <f aca="false">IF($A119="","",Visitas!D119)</f>
        <v/>
      </c>
      <c r="D119" s="0" t="str">
        <f aca="false">IF($A119="","",Visitas!B119)</f>
        <v/>
      </c>
      <c r="E119" s="0" t="str">
        <f aca="false">IF($A119="","",Visitas!F119)</f>
        <v/>
      </c>
      <c r="F119" s="0" t="str">
        <f aca="false">IF($A119="","",SUMIFS(Avaliacoes!$G$2:$G$6000,Avaliacoes!$A$2:$A$6000,$A119,Avaliacoes!$F$2:$F$6000,"I",Avaliacoes!$H$2:$H$6000,0))</f>
        <v/>
      </c>
      <c r="G119" s="0" t="str">
        <f aca="false">IF($A119="","",SUMIFS(Avaliacoes!$G$2:$G$6000,Avaliacoes!$A$2:$A$6000,$A119,Avaliacoes!$F$2:$F$6000,"II",Avaliacoes!$H$2:$H$6000,0))</f>
        <v/>
      </c>
      <c r="H119" s="0" t="str">
        <f aca="false">IF($A119="","",SUMIFS(Avaliacoes!$G$2:$G$6000,Avaliacoes!$A$2:$A$6000,$A119,Avaliacoes!$F$2:$F$6000,"III",Avaliacoes!$H$2:$H$6000,0))</f>
        <v/>
      </c>
      <c r="I119" s="0" t="str">
        <f aca="false">IF($A119="","",SUMIFS(Avaliacoes!$G$2:$G$6000,Avaliacoes!$A$2:$A$6000,$A119,Avaliacoes!$F$2:$F$6000,"IV",Avaliacoes!$H$2:$H$6000,0))</f>
        <v/>
      </c>
      <c r="J119" s="0" t="str">
        <f aca="false">IF($A119="","",COUNTIFS(Avaliacoes!$A$2:$A$6000,$A119,Avaliacoes!$F$2:$F$6000,"I",Avaliacoes!$H$2:$H$6000,0,Avaliacoes!$G$2:$G$6000,"&lt;&gt;")*Dimensoes!$E$2)</f>
        <v/>
      </c>
      <c r="K119" s="0" t="str">
        <f aca="false">IF($A119="","",COUNTIFS(Avaliacoes!$A$2:$A$6000,$A119,Avaliacoes!$F$2:$F$6000,"II",Avaliacoes!$H$2:$H$6000,0,Avaliacoes!$G$2:$G$6000,"&lt;&gt;")*Dimensoes!$E$3)</f>
        <v/>
      </c>
      <c r="L119" s="0" t="str">
        <f aca="false">IF($A119="","",COUNTIFS(Avaliacoes!$A$2:$A$6000,$A119,Avaliacoes!$F$2:$F$6000,"III",Avaliacoes!$H$2:$H$6000,0,Avaliacoes!$G$2:$G$6000,"&lt;&gt;")*Dimensoes!$E$4)</f>
        <v/>
      </c>
      <c r="M119" s="0" t="str">
        <f aca="false">IF($A119="","",COUNTIFS(Avaliacoes!$A$2:$A$6000,$A119,Avaliacoes!$F$2:$F$6000,"IV",Avaliacoes!$H$2:$H$6000,0,Avaliacoes!$G$2:$G$6000,"&lt;&gt;")*Dimensoes!$E$5)</f>
        <v/>
      </c>
      <c r="N119" s="9" t="str">
        <f aca="false">IF($A119="","",IF(J119&gt;0,F119/J119,""))</f>
        <v/>
      </c>
      <c r="O119" s="9" t="str">
        <f aca="false">IF($A119="","",IF(K119&gt;0,G119/K119,""))</f>
        <v/>
      </c>
      <c r="P119" s="9" t="str">
        <f aca="false">IF($A119="","",IF(L119&gt;0,H119/L119,""))</f>
        <v/>
      </c>
      <c r="Q119" s="9" t="str">
        <f aca="false">IF($A119="","",IF(M119&gt;0,I119/M119,""))</f>
        <v/>
      </c>
      <c r="R119" s="17" t="str">
        <f aca="false">IF($A119="","",IF((IF(N119="",0,Dimensoes!$C$2)+IF(O119="",0,Dimensoes!$C$3)+IF(P119="",0,Dimensoes!$C$4)+IF(Q119="",0,Dimensoes!$C$5))=0,"",(IF(N119="",0,N119*Dimensoes!$C$2)+IF(O119="",0,O119*Dimensoes!$C$3)+IF(P119="",0,P119*Dimensoes!$C$4)+IF(Q119="",0,Q119*Dimensoes!$C$5))/(IF(N119="",0,Dimensoes!$C$2)+IF(O119="",0,Dimensoes!$C$3)+IF(P119="",0,Dimensoes!$C$4)+IF(Q119="",0,Dimensoes!$C$5))))</f>
        <v/>
      </c>
      <c r="S119" s="0" t="str">
        <f aca="false">IF(R119="","",IF(R119&lt;Faixas!$C$3,"vermelho",IF(R119&lt;Faixas!$C$4,"amarelo","verde")))</f>
        <v/>
      </c>
      <c r="T119" s="9" t="str">
        <f aca="false">IF($A119="","",IF(N119="",0,N119*Dimensoes!$C$2)+IF(O119="",0,O119*Dimensoes!$C$3)+IF(P119="",0,P119*Dimensoes!$C$4)+IF(Q119="",0,Q119*Dimensoes!$C$5))</f>
        <v/>
      </c>
      <c r="U119" s="0" t="str">
        <f aca="false">IF($A119="","",IF(OR(E119="concluida",E119="incompleta"),1,0))</f>
        <v/>
      </c>
    </row>
    <row r="120" customFormat="false" ht="15" hidden="false" customHeight="false" outlineLevel="0" collapsed="false">
      <c r="A120" s="0" t="str">
        <f aca="false">IF(Visitas!A120="","",Visitas!A120)</f>
        <v/>
      </c>
      <c r="B120" s="0" t="str">
        <f aca="false">IF($A120="","",Visitas!C120)</f>
        <v/>
      </c>
      <c r="C120" s="7" t="str">
        <f aca="false">IF($A120="","",Visitas!D120)</f>
        <v/>
      </c>
      <c r="D120" s="0" t="str">
        <f aca="false">IF($A120="","",Visitas!B120)</f>
        <v/>
      </c>
      <c r="E120" s="0" t="str">
        <f aca="false">IF($A120="","",Visitas!F120)</f>
        <v/>
      </c>
      <c r="F120" s="0" t="str">
        <f aca="false">IF($A120="","",SUMIFS(Avaliacoes!$G$2:$G$6000,Avaliacoes!$A$2:$A$6000,$A120,Avaliacoes!$F$2:$F$6000,"I",Avaliacoes!$H$2:$H$6000,0))</f>
        <v/>
      </c>
      <c r="G120" s="0" t="str">
        <f aca="false">IF($A120="","",SUMIFS(Avaliacoes!$G$2:$G$6000,Avaliacoes!$A$2:$A$6000,$A120,Avaliacoes!$F$2:$F$6000,"II",Avaliacoes!$H$2:$H$6000,0))</f>
        <v/>
      </c>
      <c r="H120" s="0" t="str">
        <f aca="false">IF($A120="","",SUMIFS(Avaliacoes!$G$2:$G$6000,Avaliacoes!$A$2:$A$6000,$A120,Avaliacoes!$F$2:$F$6000,"III",Avaliacoes!$H$2:$H$6000,0))</f>
        <v/>
      </c>
      <c r="I120" s="0" t="str">
        <f aca="false">IF($A120="","",SUMIFS(Avaliacoes!$G$2:$G$6000,Avaliacoes!$A$2:$A$6000,$A120,Avaliacoes!$F$2:$F$6000,"IV",Avaliacoes!$H$2:$H$6000,0))</f>
        <v/>
      </c>
      <c r="J120" s="0" t="str">
        <f aca="false">IF($A120="","",COUNTIFS(Avaliacoes!$A$2:$A$6000,$A120,Avaliacoes!$F$2:$F$6000,"I",Avaliacoes!$H$2:$H$6000,0,Avaliacoes!$G$2:$G$6000,"&lt;&gt;")*Dimensoes!$E$2)</f>
        <v/>
      </c>
      <c r="K120" s="0" t="str">
        <f aca="false">IF($A120="","",COUNTIFS(Avaliacoes!$A$2:$A$6000,$A120,Avaliacoes!$F$2:$F$6000,"II",Avaliacoes!$H$2:$H$6000,0,Avaliacoes!$G$2:$G$6000,"&lt;&gt;")*Dimensoes!$E$3)</f>
        <v/>
      </c>
      <c r="L120" s="0" t="str">
        <f aca="false">IF($A120="","",COUNTIFS(Avaliacoes!$A$2:$A$6000,$A120,Avaliacoes!$F$2:$F$6000,"III",Avaliacoes!$H$2:$H$6000,0,Avaliacoes!$G$2:$G$6000,"&lt;&gt;")*Dimensoes!$E$4)</f>
        <v/>
      </c>
      <c r="M120" s="0" t="str">
        <f aca="false">IF($A120="","",COUNTIFS(Avaliacoes!$A$2:$A$6000,$A120,Avaliacoes!$F$2:$F$6000,"IV",Avaliacoes!$H$2:$H$6000,0,Avaliacoes!$G$2:$G$6000,"&lt;&gt;")*Dimensoes!$E$5)</f>
        <v/>
      </c>
      <c r="N120" s="9" t="str">
        <f aca="false">IF($A120="","",IF(J120&gt;0,F120/J120,""))</f>
        <v/>
      </c>
      <c r="O120" s="9" t="str">
        <f aca="false">IF($A120="","",IF(K120&gt;0,G120/K120,""))</f>
        <v/>
      </c>
      <c r="P120" s="9" t="str">
        <f aca="false">IF($A120="","",IF(L120&gt;0,H120/L120,""))</f>
        <v/>
      </c>
      <c r="Q120" s="9" t="str">
        <f aca="false">IF($A120="","",IF(M120&gt;0,I120/M120,""))</f>
        <v/>
      </c>
      <c r="R120" s="17" t="str">
        <f aca="false">IF($A120="","",IF((IF(N120="",0,Dimensoes!$C$2)+IF(O120="",0,Dimensoes!$C$3)+IF(P120="",0,Dimensoes!$C$4)+IF(Q120="",0,Dimensoes!$C$5))=0,"",(IF(N120="",0,N120*Dimensoes!$C$2)+IF(O120="",0,O120*Dimensoes!$C$3)+IF(P120="",0,P120*Dimensoes!$C$4)+IF(Q120="",0,Q120*Dimensoes!$C$5))/(IF(N120="",0,Dimensoes!$C$2)+IF(O120="",0,Dimensoes!$C$3)+IF(P120="",0,Dimensoes!$C$4)+IF(Q120="",0,Dimensoes!$C$5))))</f>
        <v/>
      </c>
      <c r="S120" s="0" t="str">
        <f aca="false">IF(R120="","",IF(R120&lt;Faixas!$C$3,"vermelho",IF(R120&lt;Faixas!$C$4,"amarelo","verde")))</f>
        <v/>
      </c>
      <c r="T120" s="9" t="str">
        <f aca="false">IF($A120="","",IF(N120="",0,N120*Dimensoes!$C$2)+IF(O120="",0,O120*Dimensoes!$C$3)+IF(P120="",0,P120*Dimensoes!$C$4)+IF(Q120="",0,Q120*Dimensoes!$C$5))</f>
        <v/>
      </c>
      <c r="U120" s="0" t="str">
        <f aca="false">IF($A120="","",IF(OR(E120="concluida",E120="incompleta"),1,0))</f>
        <v/>
      </c>
    </row>
    <row r="121" customFormat="false" ht="15" hidden="false" customHeight="false" outlineLevel="0" collapsed="false">
      <c r="A121" s="0" t="str">
        <f aca="false">IF(Visitas!A121="","",Visitas!A121)</f>
        <v/>
      </c>
      <c r="B121" s="0" t="str">
        <f aca="false">IF($A121="","",Visitas!C121)</f>
        <v/>
      </c>
      <c r="C121" s="7" t="str">
        <f aca="false">IF($A121="","",Visitas!D121)</f>
        <v/>
      </c>
      <c r="D121" s="0" t="str">
        <f aca="false">IF($A121="","",Visitas!B121)</f>
        <v/>
      </c>
      <c r="E121" s="0" t="str">
        <f aca="false">IF($A121="","",Visitas!F121)</f>
        <v/>
      </c>
      <c r="F121" s="0" t="str">
        <f aca="false">IF($A121="","",SUMIFS(Avaliacoes!$G$2:$G$6000,Avaliacoes!$A$2:$A$6000,$A121,Avaliacoes!$F$2:$F$6000,"I",Avaliacoes!$H$2:$H$6000,0))</f>
        <v/>
      </c>
      <c r="G121" s="0" t="str">
        <f aca="false">IF($A121="","",SUMIFS(Avaliacoes!$G$2:$G$6000,Avaliacoes!$A$2:$A$6000,$A121,Avaliacoes!$F$2:$F$6000,"II",Avaliacoes!$H$2:$H$6000,0))</f>
        <v/>
      </c>
      <c r="H121" s="0" t="str">
        <f aca="false">IF($A121="","",SUMIFS(Avaliacoes!$G$2:$G$6000,Avaliacoes!$A$2:$A$6000,$A121,Avaliacoes!$F$2:$F$6000,"III",Avaliacoes!$H$2:$H$6000,0))</f>
        <v/>
      </c>
      <c r="I121" s="0" t="str">
        <f aca="false">IF($A121="","",SUMIFS(Avaliacoes!$G$2:$G$6000,Avaliacoes!$A$2:$A$6000,$A121,Avaliacoes!$F$2:$F$6000,"IV",Avaliacoes!$H$2:$H$6000,0))</f>
        <v/>
      </c>
      <c r="J121" s="0" t="str">
        <f aca="false">IF($A121="","",COUNTIFS(Avaliacoes!$A$2:$A$6000,$A121,Avaliacoes!$F$2:$F$6000,"I",Avaliacoes!$H$2:$H$6000,0,Avaliacoes!$G$2:$G$6000,"&lt;&gt;")*Dimensoes!$E$2)</f>
        <v/>
      </c>
      <c r="K121" s="0" t="str">
        <f aca="false">IF($A121="","",COUNTIFS(Avaliacoes!$A$2:$A$6000,$A121,Avaliacoes!$F$2:$F$6000,"II",Avaliacoes!$H$2:$H$6000,0,Avaliacoes!$G$2:$G$6000,"&lt;&gt;")*Dimensoes!$E$3)</f>
        <v/>
      </c>
      <c r="L121" s="0" t="str">
        <f aca="false">IF($A121="","",COUNTIFS(Avaliacoes!$A$2:$A$6000,$A121,Avaliacoes!$F$2:$F$6000,"III",Avaliacoes!$H$2:$H$6000,0,Avaliacoes!$G$2:$G$6000,"&lt;&gt;")*Dimensoes!$E$4)</f>
        <v/>
      </c>
      <c r="M121" s="0" t="str">
        <f aca="false">IF($A121="","",COUNTIFS(Avaliacoes!$A$2:$A$6000,$A121,Avaliacoes!$F$2:$F$6000,"IV",Avaliacoes!$H$2:$H$6000,0,Avaliacoes!$G$2:$G$6000,"&lt;&gt;")*Dimensoes!$E$5)</f>
        <v/>
      </c>
      <c r="N121" s="9" t="str">
        <f aca="false">IF($A121="","",IF(J121&gt;0,F121/J121,""))</f>
        <v/>
      </c>
      <c r="O121" s="9" t="str">
        <f aca="false">IF($A121="","",IF(K121&gt;0,G121/K121,""))</f>
        <v/>
      </c>
      <c r="P121" s="9" t="str">
        <f aca="false">IF($A121="","",IF(L121&gt;0,H121/L121,""))</f>
        <v/>
      </c>
      <c r="Q121" s="9" t="str">
        <f aca="false">IF($A121="","",IF(M121&gt;0,I121/M121,""))</f>
        <v/>
      </c>
      <c r="R121" s="17" t="str">
        <f aca="false">IF($A121="","",IF((IF(N121="",0,Dimensoes!$C$2)+IF(O121="",0,Dimensoes!$C$3)+IF(P121="",0,Dimensoes!$C$4)+IF(Q121="",0,Dimensoes!$C$5))=0,"",(IF(N121="",0,N121*Dimensoes!$C$2)+IF(O121="",0,O121*Dimensoes!$C$3)+IF(P121="",0,P121*Dimensoes!$C$4)+IF(Q121="",0,Q121*Dimensoes!$C$5))/(IF(N121="",0,Dimensoes!$C$2)+IF(O121="",0,Dimensoes!$C$3)+IF(P121="",0,Dimensoes!$C$4)+IF(Q121="",0,Dimensoes!$C$5))))</f>
        <v/>
      </c>
      <c r="S121" s="0" t="str">
        <f aca="false">IF(R121="","",IF(R121&lt;Faixas!$C$3,"vermelho",IF(R121&lt;Faixas!$C$4,"amarelo","verde")))</f>
        <v/>
      </c>
      <c r="T121" s="9" t="str">
        <f aca="false">IF($A121="","",IF(N121="",0,N121*Dimensoes!$C$2)+IF(O121="",0,O121*Dimensoes!$C$3)+IF(P121="",0,P121*Dimensoes!$C$4)+IF(Q121="",0,Q121*Dimensoes!$C$5))</f>
        <v/>
      </c>
      <c r="U121" s="0" t="str">
        <f aca="false">IF($A121="","",IF(OR(E121="concluida",E121="incompleta"),1,0))</f>
        <v/>
      </c>
    </row>
    <row r="122" customFormat="false" ht="15" hidden="false" customHeight="false" outlineLevel="0" collapsed="false">
      <c r="A122" s="0" t="str">
        <f aca="false">IF(Visitas!A122="","",Visitas!A122)</f>
        <v/>
      </c>
      <c r="B122" s="0" t="str">
        <f aca="false">IF($A122="","",Visitas!C122)</f>
        <v/>
      </c>
      <c r="C122" s="7" t="str">
        <f aca="false">IF($A122="","",Visitas!D122)</f>
        <v/>
      </c>
      <c r="D122" s="0" t="str">
        <f aca="false">IF($A122="","",Visitas!B122)</f>
        <v/>
      </c>
      <c r="E122" s="0" t="str">
        <f aca="false">IF($A122="","",Visitas!F122)</f>
        <v/>
      </c>
      <c r="F122" s="0" t="str">
        <f aca="false">IF($A122="","",SUMIFS(Avaliacoes!$G$2:$G$6000,Avaliacoes!$A$2:$A$6000,$A122,Avaliacoes!$F$2:$F$6000,"I",Avaliacoes!$H$2:$H$6000,0))</f>
        <v/>
      </c>
      <c r="G122" s="0" t="str">
        <f aca="false">IF($A122="","",SUMIFS(Avaliacoes!$G$2:$G$6000,Avaliacoes!$A$2:$A$6000,$A122,Avaliacoes!$F$2:$F$6000,"II",Avaliacoes!$H$2:$H$6000,0))</f>
        <v/>
      </c>
      <c r="H122" s="0" t="str">
        <f aca="false">IF($A122="","",SUMIFS(Avaliacoes!$G$2:$G$6000,Avaliacoes!$A$2:$A$6000,$A122,Avaliacoes!$F$2:$F$6000,"III",Avaliacoes!$H$2:$H$6000,0))</f>
        <v/>
      </c>
      <c r="I122" s="0" t="str">
        <f aca="false">IF($A122="","",SUMIFS(Avaliacoes!$G$2:$G$6000,Avaliacoes!$A$2:$A$6000,$A122,Avaliacoes!$F$2:$F$6000,"IV",Avaliacoes!$H$2:$H$6000,0))</f>
        <v/>
      </c>
      <c r="J122" s="0" t="str">
        <f aca="false">IF($A122="","",COUNTIFS(Avaliacoes!$A$2:$A$6000,$A122,Avaliacoes!$F$2:$F$6000,"I",Avaliacoes!$H$2:$H$6000,0,Avaliacoes!$G$2:$G$6000,"&lt;&gt;")*Dimensoes!$E$2)</f>
        <v/>
      </c>
      <c r="K122" s="0" t="str">
        <f aca="false">IF($A122="","",COUNTIFS(Avaliacoes!$A$2:$A$6000,$A122,Avaliacoes!$F$2:$F$6000,"II",Avaliacoes!$H$2:$H$6000,0,Avaliacoes!$G$2:$G$6000,"&lt;&gt;")*Dimensoes!$E$3)</f>
        <v/>
      </c>
      <c r="L122" s="0" t="str">
        <f aca="false">IF($A122="","",COUNTIFS(Avaliacoes!$A$2:$A$6000,$A122,Avaliacoes!$F$2:$F$6000,"III",Avaliacoes!$H$2:$H$6000,0,Avaliacoes!$G$2:$G$6000,"&lt;&gt;")*Dimensoes!$E$4)</f>
        <v/>
      </c>
      <c r="M122" s="0" t="str">
        <f aca="false">IF($A122="","",COUNTIFS(Avaliacoes!$A$2:$A$6000,$A122,Avaliacoes!$F$2:$F$6000,"IV",Avaliacoes!$H$2:$H$6000,0,Avaliacoes!$G$2:$G$6000,"&lt;&gt;")*Dimensoes!$E$5)</f>
        <v/>
      </c>
      <c r="N122" s="9" t="str">
        <f aca="false">IF($A122="","",IF(J122&gt;0,F122/J122,""))</f>
        <v/>
      </c>
      <c r="O122" s="9" t="str">
        <f aca="false">IF($A122="","",IF(K122&gt;0,G122/K122,""))</f>
        <v/>
      </c>
      <c r="P122" s="9" t="str">
        <f aca="false">IF($A122="","",IF(L122&gt;0,H122/L122,""))</f>
        <v/>
      </c>
      <c r="Q122" s="9" t="str">
        <f aca="false">IF($A122="","",IF(M122&gt;0,I122/M122,""))</f>
        <v/>
      </c>
      <c r="R122" s="17" t="str">
        <f aca="false">IF($A122="","",IF((IF(N122="",0,Dimensoes!$C$2)+IF(O122="",0,Dimensoes!$C$3)+IF(P122="",0,Dimensoes!$C$4)+IF(Q122="",0,Dimensoes!$C$5))=0,"",(IF(N122="",0,N122*Dimensoes!$C$2)+IF(O122="",0,O122*Dimensoes!$C$3)+IF(P122="",0,P122*Dimensoes!$C$4)+IF(Q122="",0,Q122*Dimensoes!$C$5))/(IF(N122="",0,Dimensoes!$C$2)+IF(O122="",0,Dimensoes!$C$3)+IF(P122="",0,Dimensoes!$C$4)+IF(Q122="",0,Dimensoes!$C$5))))</f>
        <v/>
      </c>
      <c r="S122" s="0" t="str">
        <f aca="false">IF(R122="","",IF(R122&lt;Faixas!$C$3,"vermelho",IF(R122&lt;Faixas!$C$4,"amarelo","verde")))</f>
        <v/>
      </c>
      <c r="T122" s="9" t="str">
        <f aca="false">IF($A122="","",IF(N122="",0,N122*Dimensoes!$C$2)+IF(O122="",0,O122*Dimensoes!$C$3)+IF(P122="",0,P122*Dimensoes!$C$4)+IF(Q122="",0,Q122*Dimensoes!$C$5))</f>
        <v/>
      </c>
      <c r="U122" s="0" t="str">
        <f aca="false">IF($A122="","",IF(OR(E122="concluida",E122="incompleta"),1,0))</f>
        <v/>
      </c>
    </row>
    <row r="123" customFormat="false" ht="15" hidden="false" customHeight="false" outlineLevel="0" collapsed="false">
      <c r="A123" s="0" t="str">
        <f aca="false">IF(Visitas!A123="","",Visitas!A123)</f>
        <v/>
      </c>
      <c r="B123" s="0" t="str">
        <f aca="false">IF($A123="","",Visitas!C123)</f>
        <v/>
      </c>
      <c r="C123" s="7" t="str">
        <f aca="false">IF($A123="","",Visitas!D123)</f>
        <v/>
      </c>
      <c r="D123" s="0" t="str">
        <f aca="false">IF($A123="","",Visitas!B123)</f>
        <v/>
      </c>
      <c r="E123" s="0" t="str">
        <f aca="false">IF($A123="","",Visitas!F123)</f>
        <v/>
      </c>
      <c r="F123" s="0" t="str">
        <f aca="false">IF($A123="","",SUMIFS(Avaliacoes!$G$2:$G$6000,Avaliacoes!$A$2:$A$6000,$A123,Avaliacoes!$F$2:$F$6000,"I",Avaliacoes!$H$2:$H$6000,0))</f>
        <v/>
      </c>
      <c r="G123" s="0" t="str">
        <f aca="false">IF($A123="","",SUMIFS(Avaliacoes!$G$2:$G$6000,Avaliacoes!$A$2:$A$6000,$A123,Avaliacoes!$F$2:$F$6000,"II",Avaliacoes!$H$2:$H$6000,0))</f>
        <v/>
      </c>
      <c r="H123" s="0" t="str">
        <f aca="false">IF($A123="","",SUMIFS(Avaliacoes!$G$2:$G$6000,Avaliacoes!$A$2:$A$6000,$A123,Avaliacoes!$F$2:$F$6000,"III",Avaliacoes!$H$2:$H$6000,0))</f>
        <v/>
      </c>
      <c r="I123" s="0" t="str">
        <f aca="false">IF($A123="","",SUMIFS(Avaliacoes!$G$2:$G$6000,Avaliacoes!$A$2:$A$6000,$A123,Avaliacoes!$F$2:$F$6000,"IV",Avaliacoes!$H$2:$H$6000,0))</f>
        <v/>
      </c>
      <c r="J123" s="0" t="str">
        <f aca="false">IF($A123="","",COUNTIFS(Avaliacoes!$A$2:$A$6000,$A123,Avaliacoes!$F$2:$F$6000,"I",Avaliacoes!$H$2:$H$6000,0,Avaliacoes!$G$2:$G$6000,"&lt;&gt;")*Dimensoes!$E$2)</f>
        <v/>
      </c>
      <c r="K123" s="0" t="str">
        <f aca="false">IF($A123="","",COUNTIFS(Avaliacoes!$A$2:$A$6000,$A123,Avaliacoes!$F$2:$F$6000,"II",Avaliacoes!$H$2:$H$6000,0,Avaliacoes!$G$2:$G$6000,"&lt;&gt;")*Dimensoes!$E$3)</f>
        <v/>
      </c>
      <c r="L123" s="0" t="str">
        <f aca="false">IF($A123="","",COUNTIFS(Avaliacoes!$A$2:$A$6000,$A123,Avaliacoes!$F$2:$F$6000,"III",Avaliacoes!$H$2:$H$6000,0,Avaliacoes!$G$2:$G$6000,"&lt;&gt;")*Dimensoes!$E$4)</f>
        <v/>
      </c>
      <c r="M123" s="0" t="str">
        <f aca="false">IF($A123="","",COUNTIFS(Avaliacoes!$A$2:$A$6000,$A123,Avaliacoes!$F$2:$F$6000,"IV",Avaliacoes!$H$2:$H$6000,0,Avaliacoes!$G$2:$G$6000,"&lt;&gt;")*Dimensoes!$E$5)</f>
        <v/>
      </c>
      <c r="N123" s="9" t="str">
        <f aca="false">IF($A123="","",IF(J123&gt;0,F123/J123,""))</f>
        <v/>
      </c>
      <c r="O123" s="9" t="str">
        <f aca="false">IF($A123="","",IF(K123&gt;0,G123/K123,""))</f>
        <v/>
      </c>
      <c r="P123" s="9" t="str">
        <f aca="false">IF($A123="","",IF(L123&gt;0,H123/L123,""))</f>
        <v/>
      </c>
      <c r="Q123" s="9" t="str">
        <f aca="false">IF($A123="","",IF(M123&gt;0,I123/M123,""))</f>
        <v/>
      </c>
      <c r="R123" s="17" t="str">
        <f aca="false">IF($A123="","",IF((IF(N123="",0,Dimensoes!$C$2)+IF(O123="",0,Dimensoes!$C$3)+IF(P123="",0,Dimensoes!$C$4)+IF(Q123="",0,Dimensoes!$C$5))=0,"",(IF(N123="",0,N123*Dimensoes!$C$2)+IF(O123="",0,O123*Dimensoes!$C$3)+IF(P123="",0,P123*Dimensoes!$C$4)+IF(Q123="",0,Q123*Dimensoes!$C$5))/(IF(N123="",0,Dimensoes!$C$2)+IF(O123="",0,Dimensoes!$C$3)+IF(P123="",0,Dimensoes!$C$4)+IF(Q123="",0,Dimensoes!$C$5))))</f>
        <v/>
      </c>
      <c r="S123" s="0" t="str">
        <f aca="false">IF(R123="","",IF(R123&lt;Faixas!$C$3,"vermelho",IF(R123&lt;Faixas!$C$4,"amarelo","verde")))</f>
        <v/>
      </c>
      <c r="T123" s="9" t="str">
        <f aca="false">IF($A123="","",IF(N123="",0,N123*Dimensoes!$C$2)+IF(O123="",0,O123*Dimensoes!$C$3)+IF(P123="",0,P123*Dimensoes!$C$4)+IF(Q123="",0,Q123*Dimensoes!$C$5))</f>
        <v/>
      </c>
      <c r="U123" s="0" t="str">
        <f aca="false">IF($A123="","",IF(OR(E123="concluida",E123="incompleta"),1,0))</f>
        <v/>
      </c>
    </row>
    <row r="124" customFormat="false" ht="15" hidden="false" customHeight="false" outlineLevel="0" collapsed="false">
      <c r="A124" s="0" t="str">
        <f aca="false">IF(Visitas!A124="","",Visitas!A124)</f>
        <v/>
      </c>
      <c r="B124" s="0" t="str">
        <f aca="false">IF($A124="","",Visitas!C124)</f>
        <v/>
      </c>
      <c r="C124" s="7" t="str">
        <f aca="false">IF($A124="","",Visitas!D124)</f>
        <v/>
      </c>
      <c r="D124" s="0" t="str">
        <f aca="false">IF($A124="","",Visitas!B124)</f>
        <v/>
      </c>
      <c r="E124" s="0" t="str">
        <f aca="false">IF($A124="","",Visitas!F124)</f>
        <v/>
      </c>
      <c r="F124" s="0" t="str">
        <f aca="false">IF($A124="","",SUMIFS(Avaliacoes!$G$2:$G$6000,Avaliacoes!$A$2:$A$6000,$A124,Avaliacoes!$F$2:$F$6000,"I",Avaliacoes!$H$2:$H$6000,0))</f>
        <v/>
      </c>
      <c r="G124" s="0" t="str">
        <f aca="false">IF($A124="","",SUMIFS(Avaliacoes!$G$2:$G$6000,Avaliacoes!$A$2:$A$6000,$A124,Avaliacoes!$F$2:$F$6000,"II",Avaliacoes!$H$2:$H$6000,0))</f>
        <v/>
      </c>
      <c r="H124" s="0" t="str">
        <f aca="false">IF($A124="","",SUMIFS(Avaliacoes!$G$2:$G$6000,Avaliacoes!$A$2:$A$6000,$A124,Avaliacoes!$F$2:$F$6000,"III",Avaliacoes!$H$2:$H$6000,0))</f>
        <v/>
      </c>
      <c r="I124" s="0" t="str">
        <f aca="false">IF($A124="","",SUMIFS(Avaliacoes!$G$2:$G$6000,Avaliacoes!$A$2:$A$6000,$A124,Avaliacoes!$F$2:$F$6000,"IV",Avaliacoes!$H$2:$H$6000,0))</f>
        <v/>
      </c>
      <c r="J124" s="0" t="str">
        <f aca="false">IF($A124="","",COUNTIFS(Avaliacoes!$A$2:$A$6000,$A124,Avaliacoes!$F$2:$F$6000,"I",Avaliacoes!$H$2:$H$6000,0,Avaliacoes!$G$2:$G$6000,"&lt;&gt;")*Dimensoes!$E$2)</f>
        <v/>
      </c>
      <c r="K124" s="0" t="str">
        <f aca="false">IF($A124="","",COUNTIFS(Avaliacoes!$A$2:$A$6000,$A124,Avaliacoes!$F$2:$F$6000,"II",Avaliacoes!$H$2:$H$6000,0,Avaliacoes!$G$2:$G$6000,"&lt;&gt;")*Dimensoes!$E$3)</f>
        <v/>
      </c>
      <c r="L124" s="0" t="str">
        <f aca="false">IF($A124="","",COUNTIFS(Avaliacoes!$A$2:$A$6000,$A124,Avaliacoes!$F$2:$F$6000,"III",Avaliacoes!$H$2:$H$6000,0,Avaliacoes!$G$2:$G$6000,"&lt;&gt;")*Dimensoes!$E$4)</f>
        <v/>
      </c>
      <c r="M124" s="0" t="str">
        <f aca="false">IF($A124="","",COUNTIFS(Avaliacoes!$A$2:$A$6000,$A124,Avaliacoes!$F$2:$F$6000,"IV",Avaliacoes!$H$2:$H$6000,0,Avaliacoes!$G$2:$G$6000,"&lt;&gt;")*Dimensoes!$E$5)</f>
        <v/>
      </c>
      <c r="N124" s="9" t="str">
        <f aca="false">IF($A124="","",IF(J124&gt;0,F124/J124,""))</f>
        <v/>
      </c>
      <c r="O124" s="9" t="str">
        <f aca="false">IF($A124="","",IF(K124&gt;0,G124/K124,""))</f>
        <v/>
      </c>
      <c r="P124" s="9" t="str">
        <f aca="false">IF($A124="","",IF(L124&gt;0,H124/L124,""))</f>
        <v/>
      </c>
      <c r="Q124" s="9" t="str">
        <f aca="false">IF($A124="","",IF(M124&gt;0,I124/M124,""))</f>
        <v/>
      </c>
      <c r="R124" s="17" t="str">
        <f aca="false">IF($A124="","",IF((IF(N124="",0,Dimensoes!$C$2)+IF(O124="",0,Dimensoes!$C$3)+IF(P124="",0,Dimensoes!$C$4)+IF(Q124="",0,Dimensoes!$C$5))=0,"",(IF(N124="",0,N124*Dimensoes!$C$2)+IF(O124="",0,O124*Dimensoes!$C$3)+IF(P124="",0,P124*Dimensoes!$C$4)+IF(Q124="",0,Q124*Dimensoes!$C$5))/(IF(N124="",0,Dimensoes!$C$2)+IF(O124="",0,Dimensoes!$C$3)+IF(P124="",0,Dimensoes!$C$4)+IF(Q124="",0,Dimensoes!$C$5))))</f>
        <v/>
      </c>
      <c r="S124" s="0" t="str">
        <f aca="false">IF(R124="","",IF(R124&lt;Faixas!$C$3,"vermelho",IF(R124&lt;Faixas!$C$4,"amarelo","verde")))</f>
        <v/>
      </c>
      <c r="T124" s="9" t="str">
        <f aca="false">IF($A124="","",IF(N124="",0,N124*Dimensoes!$C$2)+IF(O124="",0,O124*Dimensoes!$C$3)+IF(P124="",0,P124*Dimensoes!$C$4)+IF(Q124="",0,Q124*Dimensoes!$C$5))</f>
        <v/>
      </c>
      <c r="U124" s="0" t="str">
        <f aca="false">IF($A124="","",IF(OR(E124="concluida",E124="incompleta"),1,0))</f>
        <v/>
      </c>
    </row>
    <row r="125" customFormat="false" ht="15" hidden="false" customHeight="false" outlineLevel="0" collapsed="false">
      <c r="A125" s="0" t="str">
        <f aca="false">IF(Visitas!A125="","",Visitas!A125)</f>
        <v/>
      </c>
      <c r="B125" s="0" t="str">
        <f aca="false">IF($A125="","",Visitas!C125)</f>
        <v/>
      </c>
      <c r="C125" s="7" t="str">
        <f aca="false">IF($A125="","",Visitas!D125)</f>
        <v/>
      </c>
      <c r="D125" s="0" t="str">
        <f aca="false">IF($A125="","",Visitas!B125)</f>
        <v/>
      </c>
      <c r="E125" s="0" t="str">
        <f aca="false">IF($A125="","",Visitas!F125)</f>
        <v/>
      </c>
      <c r="F125" s="0" t="str">
        <f aca="false">IF($A125="","",SUMIFS(Avaliacoes!$G$2:$G$6000,Avaliacoes!$A$2:$A$6000,$A125,Avaliacoes!$F$2:$F$6000,"I",Avaliacoes!$H$2:$H$6000,0))</f>
        <v/>
      </c>
      <c r="G125" s="0" t="str">
        <f aca="false">IF($A125="","",SUMIFS(Avaliacoes!$G$2:$G$6000,Avaliacoes!$A$2:$A$6000,$A125,Avaliacoes!$F$2:$F$6000,"II",Avaliacoes!$H$2:$H$6000,0))</f>
        <v/>
      </c>
      <c r="H125" s="0" t="str">
        <f aca="false">IF($A125="","",SUMIFS(Avaliacoes!$G$2:$G$6000,Avaliacoes!$A$2:$A$6000,$A125,Avaliacoes!$F$2:$F$6000,"III",Avaliacoes!$H$2:$H$6000,0))</f>
        <v/>
      </c>
      <c r="I125" s="0" t="str">
        <f aca="false">IF($A125="","",SUMIFS(Avaliacoes!$G$2:$G$6000,Avaliacoes!$A$2:$A$6000,$A125,Avaliacoes!$F$2:$F$6000,"IV",Avaliacoes!$H$2:$H$6000,0))</f>
        <v/>
      </c>
      <c r="J125" s="0" t="str">
        <f aca="false">IF($A125="","",COUNTIFS(Avaliacoes!$A$2:$A$6000,$A125,Avaliacoes!$F$2:$F$6000,"I",Avaliacoes!$H$2:$H$6000,0,Avaliacoes!$G$2:$G$6000,"&lt;&gt;")*Dimensoes!$E$2)</f>
        <v/>
      </c>
      <c r="K125" s="0" t="str">
        <f aca="false">IF($A125="","",COUNTIFS(Avaliacoes!$A$2:$A$6000,$A125,Avaliacoes!$F$2:$F$6000,"II",Avaliacoes!$H$2:$H$6000,0,Avaliacoes!$G$2:$G$6000,"&lt;&gt;")*Dimensoes!$E$3)</f>
        <v/>
      </c>
      <c r="L125" s="0" t="str">
        <f aca="false">IF($A125="","",COUNTIFS(Avaliacoes!$A$2:$A$6000,$A125,Avaliacoes!$F$2:$F$6000,"III",Avaliacoes!$H$2:$H$6000,0,Avaliacoes!$G$2:$G$6000,"&lt;&gt;")*Dimensoes!$E$4)</f>
        <v/>
      </c>
      <c r="M125" s="0" t="str">
        <f aca="false">IF($A125="","",COUNTIFS(Avaliacoes!$A$2:$A$6000,$A125,Avaliacoes!$F$2:$F$6000,"IV",Avaliacoes!$H$2:$H$6000,0,Avaliacoes!$G$2:$G$6000,"&lt;&gt;")*Dimensoes!$E$5)</f>
        <v/>
      </c>
      <c r="N125" s="9" t="str">
        <f aca="false">IF($A125="","",IF(J125&gt;0,F125/J125,""))</f>
        <v/>
      </c>
      <c r="O125" s="9" t="str">
        <f aca="false">IF($A125="","",IF(K125&gt;0,G125/K125,""))</f>
        <v/>
      </c>
      <c r="P125" s="9" t="str">
        <f aca="false">IF($A125="","",IF(L125&gt;0,H125/L125,""))</f>
        <v/>
      </c>
      <c r="Q125" s="9" t="str">
        <f aca="false">IF($A125="","",IF(M125&gt;0,I125/M125,""))</f>
        <v/>
      </c>
      <c r="R125" s="17" t="str">
        <f aca="false">IF($A125="","",IF((IF(N125="",0,Dimensoes!$C$2)+IF(O125="",0,Dimensoes!$C$3)+IF(P125="",0,Dimensoes!$C$4)+IF(Q125="",0,Dimensoes!$C$5))=0,"",(IF(N125="",0,N125*Dimensoes!$C$2)+IF(O125="",0,O125*Dimensoes!$C$3)+IF(P125="",0,P125*Dimensoes!$C$4)+IF(Q125="",0,Q125*Dimensoes!$C$5))/(IF(N125="",0,Dimensoes!$C$2)+IF(O125="",0,Dimensoes!$C$3)+IF(P125="",0,Dimensoes!$C$4)+IF(Q125="",0,Dimensoes!$C$5))))</f>
        <v/>
      </c>
      <c r="S125" s="0" t="str">
        <f aca="false">IF(R125="","",IF(R125&lt;Faixas!$C$3,"vermelho",IF(R125&lt;Faixas!$C$4,"amarelo","verde")))</f>
        <v/>
      </c>
      <c r="T125" s="9" t="str">
        <f aca="false">IF($A125="","",IF(N125="",0,N125*Dimensoes!$C$2)+IF(O125="",0,O125*Dimensoes!$C$3)+IF(P125="",0,P125*Dimensoes!$C$4)+IF(Q125="",0,Q125*Dimensoes!$C$5))</f>
        <v/>
      </c>
      <c r="U125" s="0" t="str">
        <f aca="false">IF($A125="","",IF(OR(E125="concluida",E125="incompleta"),1,0))</f>
        <v/>
      </c>
    </row>
    <row r="126" customFormat="false" ht="15" hidden="false" customHeight="false" outlineLevel="0" collapsed="false">
      <c r="A126" s="0" t="str">
        <f aca="false">IF(Visitas!A126="","",Visitas!A126)</f>
        <v/>
      </c>
      <c r="B126" s="0" t="str">
        <f aca="false">IF($A126="","",Visitas!C126)</f>
        <v/>
      </c>
      <c r="C126" s="7" t="str">
        <f aca="false">IF($A126="","",Visitas!D126)</f>
        <v/>
      </c>
      <c r="D126" s="0" t="str">
        <f aca="false">IF($A126="","",Visitas!B126)</f>
        <v/>
      </c>
      <c r="E126" s="0" t="str">
        <f aca="false">IF($A126="","",Visitas!F126)</f>
        <v/>
      </c>
      <c r="F126" s="0" t="str">
        <f aca="false">IF($A126="","",SUMIFS(Avaliacoes!$G$2:$G$6000,Avaliacoes!$A$2:$A$6000,$A126,Avaliacoes!$F$2:$F$6000,"I",Avaliacoes!$H$2:$H$6000,0))</f>
        <v/>
      </c>
      <c r="G126" s="0" t="str">
        <f aca="false">IF($A126="","",SUMIFS(Avaliacoes!$G$2:$G$6000,Avaliacoes!$A$2:$A$6000,$A126,Avaliacoes!$F$2:$F$6000,"II",Avaliacoes!$H$2:$H$6000,0))</f>
        <v/>
      </c>
      <c r="H126" s="0" t="str">
        <f aca="false">IF($A126="","",SUMIFS(Avaliacoes!$G$2:$G$6000,Avaliacoes!$A$2:$A$6000,$A126,Avaliacoes!$F$2:$F$6000,"III",Avaliacoes!$H$2:$H$6000,0))</f>
        <v/>
      </c>
      <c r="I126" s="0" t="str">
        <f aca="false">IF($A126="","",SUMIFS(Avaliacoes!$G$2:$G$6000,Avaliacoes!$A$2:$A$6000,$A126,Avaliacoes!$F$2:$F$6000,"IV",Avaliacoes!$H$2:$H$6000,0))</f>
        <v/>
      </c>
      <c r="J126" s="0" t="str">
        <f aca="false">IF($A126="","",COUNTIFS(Avaliacoes!$A$2:$A$6000,$A126,Avaliacoes!$F$2:$F$6000,"I",Avaliacoes!$H$2:$H$6000,0,Avaliacoes!$G$2:$G$6000,"&lt;&gt;")*Dimensoes!$E$2)</f>
        <v/>
      </c>
      <c r="K126" s="0" t="str">
        <f aca="false">IF($A126="","",COUNTIFS(Avaliacoes!$A$2:$A$6000,$A126,Avaliacoes!$F$2:$F$6000,"II",Avaliacoes!$H$2:$H$6000,0,Avaliacoes!$G$2:$G$6000,"&lt;&gt;")*Dimensoes!$E$3)</f>
        <v/>
      </c>
      <c r="L126" s="0" t="str">
        <f aca="false">IF($A126="","",COUNTIFS(Avaliacoes!$A$2:$A$6000,$A126,Avaliacoes!$F$2:$F$6000,"III",Avaliacoes!$H$2:$H$6000,0,Avaliacoes!$G$2:$G$6000,"&lt;&gt;")*Dimensoes!$E$4)</f>
        <v/>
      </c>
      <c r="M126" s="0" t="str">
        <f aca="false">IF($A126="","",COUNTIFS(Avaliacoes!$A$2:$A$6000,$A126,Avaliacoes!$F$2:$F$6000,"IV",Avaliacoes!$H$2:$H$6000,0,Avaliacoes!$G$2:$G$6000,"&lt;&gt;")*Dimensoes!$E$5)</f>
        <v/>
      </c>
      <c r="N126" s="9" t="str">
        <f aca="false">IF($A126="","",IF(J126&gt;0,F126/J126,""))</f>
        <v/>
      </c>
      <c r="O126" s="9" t="str">
        <f aca="false">IF($A126="","",IF(K126&gt;0,G126/K126,""))</f>
        <v/>
      </c>
      <c r="P126" s="9" t="str">
        <f aca="false">IF($A126="","",IF(L126&gt;0,H126/L126,""))</f>
        <v/>
      </c>
      <c r="Q126" s="9" t="str">
        <f aca="false">IF($A126="","",IF(M126&gt;0,I126/M126,""))</f>
        <v/>
      </c>
      <c r="R126" s="17" t="str">
        <f aca="false">IF($A126="","",IF((IF(N126="",0,Dimensoes!$C$2)+IF(O126="",0,Dimensoes!$C$3)+IF(P126="",0,Dimensoes!$C$4)+IF(Q126="",0,Dimensoes!$C$5))=0,"",(IF(N126="",0,N126*Dimensoes!$C$2)+IF(O126="",0,O126*Dimensoes!$C$3)+IF(P126="",0,P126*Dimensoes!$C$4)+IF(Q126="",0,Q126*Dimensoes!$C$5))/(IF(N126="",0,Dimensoes!$C$2)+IF(O126="",0,Dimensoes!$C$3)+IF(P126="",0,Dimensoes!$C$4)+IF(Q126="",0,Dimensoes!$C$5))))</f>
        <v/>
      </c>
      <c r="S126" s="0" t="str">
        <f aca="false">IF(R126="","",IF(R126&lt;Faixas!$C$3,"vermelho",IF(R126&lt;Faixas!$C$4,"amarelo","verde")))</f>
        <v/>
      </c>
      <c r="T126" s="9" t="str">
        <f aca="false">IF($A126="","",IF(N126="",0,N126*Dimensoes!$C$2)+IF(O126="",0,O126*Dimensoes!$C$3)+IF(P126="",0,P126*Dimensoes!$C$4)+IF(Q126="",0,Q126*Dimensoes!$C$5))</f>
        <v/>
      </c>
      <c r="U126" s="0" t="str">
        <f aca="false">IF($A126="","",IF(OR(E126="concluida",E126="incompleta"),1,0))</f>
        <v/>
      </c>
    </row>
    <row r="127" customFormat="false" ht="15" hidden="false" customHeight="false" outlineLevel="0" collapsed="false">
      <c r="A127" s="0" t="str">
        <f aca="false">IF(Visitas!A127="","",Visitas!A127)</f>
        <v/>
      </c>
      <c r="B127" s="0" t="str">
        <f aca="false">IF($A127="","",Visitas!C127)</f>
        <v/>
      </c>
      <c r="C127" s="7" t="str">
        <f aca="false">IF($A127="","",Visitas!D127)</f>
        <v/>
      </c>
      <c r="D127" s="0" t="str">
        <f aca="false">IF($A127="","",Visitas!B127)</f>
        <v/>
      </c>
      <c r="E127" s="0" t="str">
        <f aca="false">IF($A127="","",Visitas!F127)</f>
        <v/>
      </c>
      <c r="F127" s="0" t="str">
        <f aca="false">IF($A127="","",SUMIFS(Avaliacoes!$G$2:$G$6000,Avaliacoes!$A$2:$A$6000,$A127,Avaliacoes!$F$2:$F$6000,"I",Avaliacoes!$H$2:$H$6000,0))</f>
        <v/>
      </c>
      <c r="G127" s="0" t="str">
        <f aca="false">IF($A127="","",SUMIFS(Avaliacoes!$G$2:$G$6000,Avaliacoes!$A$2:$A$6000,$A127,Avaliacoes!$F$2:$F$6000,"II",Avaliacoes!$H$2:$H$6000,0))</f>
        <v/>
      </c>
      <c r="H127" s="0" t="str">
        <f aca="false">IF($A127="","",SUMIFS(Avaliacoes!$G$2:$G$6000,Avaliacoes!$A$2:$A$6000,$A127,Avaliacoes!$F$2:$F$6000,"III",Avaliacoes!$H$2:$H$6000,0))</f>
        <v/>
      </c>
      <c r="I127" s="0" t="str">
        <f aca="false">IF($A127="","",SUMIFS(Avaliacoes!$G$2:$G$6000,Avaliacoes!$A$2:$A$6000,$A127,Avaliacoes!$F$2:$F$6000,"IV",Avaliacoes!$H$2:$H$6000,0))</f>
        <v/>
      </c>
      <c r="J127" s="0" t="str">
        <f aca="false">IF($A127="","",COUNTIFS(Avaliacoes!$A$2:$A$6000,$A127,Avaliacoes!$F$2:$F$6000,"I",Avaliacoes!$H$2:$H$6000,0,Avaliacoes!$G$2:$G$6000,"&lt;&gt;")*Dimensoes!$E$2)</f>
        <v/>
      </c>
      <c r="K127" s="0" t="str">
        <f aca="false">IF($A127="","",COUNTIFS(Avaliacoes!$A$2:$A$6000,$A127,Avaliacoes!$F$2:$F$6000,"II",Avaliacoes!$H$2:$H$6000,0,Avaliacoes!$G$2:$G$6000,"&lt;&gt;")*Dimensoes!$E$3)</f>
        <v/>
      </c>
      <c r="L127" s="0" t="str">
        <f aca="false">IF($A127="","",COUNTIFS(Avaliacoes!$A$2:$A$6000,$A127,Avaliacoes!$F$2:$F$6000,"III",Avaliacoes!$H$2:$H$6000,0,Avaliacoes!$G$2:$G$6000,"&lt;&gt;")*Dimensoes!$E$4)</f>
        <v/>
      </c>
      <c r="M127" s="0" t="str">
        <f aca="false">IF($A127="","",COUNTIFS(Avaliacoes!$A$2:$A$6000,$A127,Avaliacoes!$F$2:$F$6000,"IV",Avaliacoes!$H$2:$H$6000,0,Avaliacoes!$G$2:$G$6000,"&lt;&gt;")*Dimensoes!$E$5)</f>
        <v/>
      </c>
      <c r="N127" s="9" t="str">
        <f aca="false">IF($A127="","",IF(J127&gt;0,F127/J127,""))</f>
        <v/>
      </c>
      <c r="O127" s="9" t="str">
        <f aca="false">IF($A127="","",IF(K127&gt;0,G127/K127,""))</f>
        <v/>
      </c>
      <c r="P127" s="9" t="str">
        <f aca="false">IF($A127="","",IF(L127&gt;0,H127/L127,""))</f>
        <v/>
      </c>
      <c r="Q127" s="9" t="str">
        <f aca="false">IF($A127="","",IF(M127&gt;0,I127/M127,""))</f>
        <v/>
      </c>
      <c r="R127" s="17" t="str">
        <f aca="false">IF($A127="","",IF((IF(N127="",0,Dimensoes!$C$2)+IF(O127="",0,Dimensoes!$C$3)+IF(P127="",0,Dimensoes!$C$4)+IF(Q127="",0,Dimensoes!$C$5))=0,"",(IF(N127="",0,N127*Dimensoes!$C$2)+IF(O127="",0,O127*Dimensoes!$C$3)+IF(P127="",0,P127*Dimensoes!$C$4)+IF(Q127="",0,Q127*Dimensoes!$C$5))/(IF(N127="",0,Dimensoes!$C$2)+IF(O127="",0,Dimensoes!$C$3)+IF(P127="",0,Dimensoes!$C$4)+IF(Q127="",0,Dimensoes!$C$5))))</f>
        <v/>
      </c>
      <c r="S127" s="0" t="str">
        <f aca="false">IF(R127="","",IF(R127&lt;Faixas!$C$3,"vermelho",IF(R127&lt;Faixas!$C$4,"amarelo","verde")))</f>
        <v/>
      </c>
      <c r="T127" s="9" t="str">
        <f aca="false">IF($A127="","",IF(N127="",0,N127*Dimensoes!$C$2)+IF(O127="",0,O127*Dimensoes!$C$3)+IF(P127="",0,P127*Dimensoes!$C$4)+IF(Q127="",0,Q127*Dimensoes!$C$5))</f>
        <v/>
      </c>
      <c r="U127" s="0" t="str">
        <f aca="false">IF($A127="","",IF(OR(E127="concluida",E127="incompleta"),1,0))</f>
        <v/>
      </c>
    </row>
    <row r="128" customFormat="false" ht="15" hidden="false" customHeight="false" outlineLevel="0" collapsed="false">
      <c r="A128" s="0" t="str">
        <f aca="false">IF(Visitas!A128="","",Visitas!A128)</f>
        <v/>
      </c>
      <c r="B128" s="0" t="str">
        <f aca="false">IF($A128="","",Visitas!C128)</f>
        <v/>
      </c>
      <c r="C128" s="7" t="str">
        <f aca="false">IF($A128="","",Visitas!D128)</f>
        <v/>
      </c>
      <c r="D128" s="0" t="str">
        <f aca="false">IF($A128="","",Visitas!B128)</f>
        <v/>
      </c>
      <c r="E128" s="0" t="str">
        <f aca="false">IF($A128="","",Visitas!F128)</f>
        <v/>
      </c>
      <c r="F128" s="0" t="str">
        <f aca="false">IF($A128="","",SUMIFS(Avaliacoes!$G$2:$G$6000,Avaliacoes!$A$2:$A$6000,$A128,Avaliacoes!$F$2:$F$6000,"I",Avaliacoes!$H$2:$H$6000,0))</f>
        <v/>
      </c>
      <c r="G128" s="0" t="str">
        <f aca="false">IF($A128="","",SUMIFS(Avaliacoes!$G$2:$G$6000,Avaliacoes!$A$2:$A$6000,$A128,Avaliacoes!$F$2:$F$6000,"II",Avaliacoes!$H$2:$H$6000,0))</f>
        <v/>
      </c>
      <c r="H128" s="0" t="str">
        <f aca="false">IF($A128="","",SUMIFS(Avaliacoes!$G$2:$G$6000,Avaliacoes!$A$2:$A$6000,$A128,Avaliacoes!$F$2:$F$6000,"III",Avaliacoes!$H$2:$H$6000,0))</f>
        <v/>
      </c>
      <c r="I128" s="0" t="str">
        <f aca="false">IF($A128="","",SUMIFS(Avaliacoes!$G$2:$G$6000,Avaliacoes!$A$2:$A$6000,$A128,Avaliacoes!$F$2:$F$6000,"IV",Avaliacoes!$H$2:$H$6000,0))</f>
        <v/>
      </c>
      <c r="J128" s="0" t="str">
        <f aca="false">IF($A128="","",COUNTIFS(Avaliacoes!$A$2:$A$6000,$A128,Avaliacoes!$F$2:$F$6000,"I",Avaliacoes!$H$2:$H$6000,0,Avaliacoes!$G$2:$G$6000,"&lt;&gt;")*Dimensoes!$E$2)</f>
        <v/>
      </c>
      <c r="K128" s="0" t="str">
        <f aca="false">IF($A128="","",COUNTIFS(Avaliacoes!$A$2:$A$6000,$A128,Avaliacoes!$F$2:$F$6000,"II",Avaliacoes!$H$2:$H$6000,0,Avaliacoes!$G$2:$G$6000,"&lt;&gt;")*Dimensoes!$E$3)</f>
        <v/>
      </c>
      <c r="L128" s="0" t="str">
        <f aca="false">IF($A128="","",COUNTIFS(Avaliacoes!$A$2:$A$6000,$A128,Avaliacoes!$F$2:$F$6000,"III",Avaliacoes!$H$2:$H$6000,0,Avaliacoes!$G$2:$G$6000,"&lt;&gt;")*Dimensoes!$E$4)</f>
        <v/>
      </c>
      <c r="M128" s="0" t="str">
        <f aca="false">IF($A128="","",COUNTIFS(Avaliacoes!$A$2:$A$6000,$A128,Avaliacoes!$F$2:$F$6000,"IV",Avaliacoes!$H$2:$H$6000,0,Avaliacoes!$G$2:$G$6000,"&lt;&gt;")*Dimensoes!$E$5)</f>
        <v/>
      </c>
      <c r="N128" s="9" t="str">
        <f aca="false">IF($A128="","",IF(J128&gt;0,F128/J128,""))</f>
        <v/>
      </c>
      <c r="O128" s="9" t="str">
        <f aca="false">IF($A128="","",IF(K128&gt;0,G128/K128,""))</f>
        <v/>
      </c>
      <c r="P128" s="9" t="str">
        <f aca="false">IF($A128="","",IF(L128&gt;0,H128/L128,""))</f>
        <v/>
      </c>
      <c r="Q128" s="9" t="str">
        <f aca="false">IF($A128="","",IF(M128&gt;0,I128/M128,""))</f>
        <v/>
      </c>
      <c r="R128" s="17" t="str">
        <f aca="false">IF($A128="","",IF((IF(N128="",0,Dimensoes!$C$2)+IF(O128="",0,Dimensoes!$C$3)+IF(P128="",0,Dimensoes!$C$4)+IF(Q128="",0,Dimensoes!$C$5))=0,"",(IF(N128="",0,N128*Dimensoes!$C$2)+IF(O128="",0,O128*Dimensoes!$C$3)+IF(P128="",0,P128*Dimensoes!$C$4)+IF(Q128="",0,Q128*Dimensoes!$C$5))/(IF(N128="",0,Dimensoes!$C$2)+IF(O128="",0,Dimensoes!$C$3)+IF(P128="",0,Dimensoes!$C$4)+IF(Q128="",0,Dimensoes!$C$5))))</f>
        <v/>
      </c>
      <c r="S128" s="0" t="str">
        <f aca="false">IF(R128="","",IF(R128&lt;Faixas!$C$3,"vermelho",IF(R128&lt;Faixas!$C$4,"amarelo","verde")))</f>
        <v/>
      </c>
      <c r="T128" s="9" t="str">
        <f aca="false">IF($A128="","",IF(N128="",0,N128*Dimensoes!$C$2)+IF(O128="",0,O128*Dimensoes!$C$3)+IF(P128="",0,P128*Dimensoes!$C$4)+IF(Q128="",0,Q128*Dimensoes!$C$5))</f>
        <v/>
      </c>
      <c r="U128" s="0" t="str">
        <f aca="false">IF($A128="","",IF(OR(E128="concluida",E128="incompleta"),1,0))</f>
        <v/>
      </c>
    </row>
    <row r="129" customFormat="false" ht="15" hidden="false" customHeight="false" outlineLevel="0" collapsed="false">
      <c r="A129" s="0" t="str">
        <f aca="false">IF(Visitas!A129="","",Visitas!A129)</f>
        <v/>
      </c>
      <c r="B129" s="0" t="str">
        <f aca="false">IF($A129="","",Visitas!C129)</f>
        <v/>
      </c>
      <c r="C129" s="7" t="str">
        <f aca="false">IF($A129="","",Visitas!D129)</f>
        <v/>
      </c>
      <c r="D129" s="0" t="str">
        <f aca="false">IF($A129="","",Visitas!B129)</f>
        <v/>
      </c>
      <c r="E129" s="0" t="str">
        <f aca="false">IF($A129="","",Visitas!F129)</f>
        <v/>
      </c>
      <c r="F129" s="0" t="str">
        <f aca="false">IF($A129="","",SUMIFS(Avaliacoes!$G$2:$G$6000,Avaliacoes!$A$2:$A$6000,$A129,Avaliacoes!$F$2:$F$6000,"I",Avaliacoes!$H$2:$H$6000,0))</f>
        <v/>
      </c>
      <c r="G129" s="0" t="str">
        <f aca="false">IF($A129="","",SUMIFS(Avaliacoes!$G$2:$G$6000,Avaliacoes!$A$2:$A$6000,$A129,Avaliacoes!$F$2:$F$6000,"II",Avaliacoes!$H$2:$H$6000,0))</f>
        <v/>
      </c>
      <c r="H129" s="0" t="str">
        <f aca="false">IF($A129="","",SUMIFS(Avaliacoes!$G$2:$G$6000,Avaliacoes!$A$2:$A$6000,$A129,Avaliacoes!$F$2:$F$6000,"III",Avaliacoes!$H$2:$H$6000,0))</f>
        <v/>
      </c>
      <c r="I129" s="0" t="str">
        <f aca="false">IF($A129="","",SUMIFS(Avaliacoes!$G$2:$G$6000,Avaliacoes!$A$2:$A$6000,$A129,Avaliacoes!$F$2:$F$6000,"IV",Avaliacoes!$H$2:$H$6000,0))</f>
        <v/>
      </c>
      <c r="J129" s="0" t="str">
        <f aca="false">IF($A129="","",COUNTIFS(Avaliacoes!$A$2:$A$6000,$A129,Avaliacoes!$F$2:$F$6000,"I",Avaliacoes!$H$2:$H$6000,0,Avaliacoes!$G$2:$G$6000,"&lt;&gt;")*Dimensoes!$E$2)</f>
        <v/>
      </c>
      <c r="K129" s="0" t="str">
        <f aca="false">IF($A129="","",COUNTIFS(Avaliacoes!$A$2:$A$6000,$A129,Avaliacoes!$F$2:$F$6000,"II",Avaliacoes!$H$2:$H$6000,0,Avaliacoes!$G$2:$G$6000,"&lt;&gt;")*Dimensoes!$E$3)</f>
        <v/>
      </c>
      <c r="L129" s="0" t="str">
        <f aca="false">IF($A129="","",COUNTIFS(Avaliacoes!$A$2:$A$6000,$A129,Avaliacoes!$F$2:$F$6000,"III",Avaliacoes!$H$2:$H$6000,0,Avaliacoes!$G$2:$G$6000,"&lt;&gt;")*Dimensoes!$E$4)</f>
        <v/>
      </c>
      <c r="M129" s="0" t="str">
        <f aca="false">IF($A129="","",COUNTIFS(Avaliacoes!$A$2:$A$6000,$A129,Avaliacoes!$F$2:$F$6000,"IV",Avaliacoes!$H$2:$H$6000,0,Avaliacoes!$G$2:$G$6000,"&lt;&gt;")*Dimensoes!$E$5)</f>
        <v/>
      </c>
      <c r="N129" s="9" t="str">
        <f aca="false">IF($A129="","",IF(J129&gt;0,F129/J129,""))</f>
        <v/>
      </c>
      <c r="O129" s="9" t="str">
        <f aca="false">IF($A129="","",IF(K129&gt;0,G129/K129,""))</f>
        <v/>
      </c>
      <c r="P129" s="9" t="str">
        <f aca="false">IF($A129="","",IF(L129&gt;0,H129/L129,""))</f>
        <v/>
      </c>
      <c r="Q129" s="9" t="str">
        <f aca="false">IF($A129="","",IF(M129&gt;0,I129/M129,""))</f>
        <v/>
      </c>
      <c r="R129" s="17" t="str">
        <f aca="false">IF($A129="","",IF((IF(N129="",0,Dimensoes!$C$2)+IF(O129="",0,Dimensoes!$C$3)+IF(P129="",0,Dimensoes!$C$4)+IF(Q129="",0,Dimensoes!$C$5))=0,"",(IF(N129="",0,N129*Dimensoes!$C$2)+IF(O129="",0,O129*Dimensoes!$C$3)+IF(P129="",0,P129*Dimensoes!$C$4)+IF(Q129="",0,Q129*Dimensoes!$C$5))/(IF(N129="",0,Dimensoes!$C$2)+IF(O129="",0,Dimensoes!$C$3)+IF(P129="",0,Dimensoes!$C$4)+IF(Q129="",0,Dimensoes!$C$5))))</f>
        <v/>
      </c>
      <c r="S129" s="0" t="str">
        <f aca="false">IF(R129="","",IF(R129&lt;Faixas!$C$3,"vermelho",IF(R129&lt;Faixas!$C$4,"amarelo","verde")))</f>
        <v/>
      </c>
      <c r="T129" s="9" t="str">
        <f aca="false">IF($A129="","",IF(N129="",0,N129*Dimensoes!$C$2)+IF(O129="",0,O129*Dimensoes!$C$3)+IF(P129="",0,P129*Dimensoes!$C$4)+IF(Q129="",0,Q129*Dimensoes!$C$5))</f>
        <v/>
      </c>
      <c r="U129" s="0" t="str">
        <f aca="false">IF($A129="","",IF(OR(E129="concluida",E129="incompleta"),1,0))</f>
        <v/>
      </c>
    </row>
    <row r="130" customFormat="false" ht="15" hidden="false" customHeight="false" outlineLevel="0" collapsed="false">
      <c r="A130" s="0" t="str">
        <f aca="false">IF(Visitas!A130="","",Visitas!A130)</f>
        <v/>
      </c>
      <c r="B130" s="0" t="str">
        <f aca="false">IF($A130="","",Visitas!C130)</f>
        <v/>
      </c>
      <c r="C130" s="7" t="str">
        <f aca="false">IF($A130="","",Visitas!D130)</f>
        <v/>
      </c>
      <c r="D130" s="0" t="str">
        <f aca="false">IF($A130="","",Visitas!B130)</f>
        <v/>
      </c>
      <c r="E130" s="0" t="str">
        <f aca="false">IF($A130="","",Visitas!F130)</f>
        <v/>
      </c>
      <c r="F130" s="0" t="str">
        <f aca="false">IF($A130="","",SUMIFS(Avaliacoes!$G$2:$G$6000,Avaliacoes!$A$2:$A$6000,$A130,Avaliacoes!$F$2:$F$6000,"I",Avaliacoes!$H$2:$H$6000,0))</f>
        <v/>
      </c>
      <c r="G130" s="0" t="str">
        <f aca="false">IF($A130="","",SUMIFS(Avaliacoes!$G$2:$G$6000,Avaliacoes!$A$2:$A$6000,$A130,Avaliacoes!$F$2:$F$6000,"II",Avaliacoes!$H$2:$H$6000,0))</f>
        <v/>
      </c>
      <c r="H130" s="0" t="str">
        <f aca="false">IF($A130="","",SUMIFS(Avaliacoes!$G$2:$G$6000,Avaliacoes!$A$2:$A$6000,$A130,Avaliacoes!$F$2:$F$6000,"III",Avaliacoes!$H$2:$H$6000,0))</f>
        <v/>
      </c>
      <c r="I130" s="0" t="str">
        <f aca="false">IF($A130="","",SUMIFS(Avaliacoes!$G$2:$G$6000,Avaliacoes!$A$2:$A$6000,$A130,Avaliacoes!$F$2:$F$6000,"IV",Avaliacoes!$H$2:$H$6000,0))</f>
        <v/>
      </c>
      <c r="J130" s="0" t="str">
        <f aca="false">IF($A130="","",COUNTIFS(Avaliacoes!$A$2:$A$6000,$A130,Avaliacoes!$F$2:$F$6000,"I",Avaliacoes!$H$2:$H$6000,0,Avaliacoes!$G$2:$G$6000,"&lt;&gt;")*Dimensoes!$E$2)</f>
        <v/>
      </c>
      <c r="K130" s="0" t="str">
        <f aca="false">IF($A130="","",COUNTIFS(Avaliacoes!$A$2:$A$6000,$A130,Avaliacoes!$F$2:$F$6000,"II",Avaliacoes!$H$2:$H$6000,0,Avaliacoes!$G$2:$G$6000,"&lt;&gt;")*Dimensoes!$E$3)</f>
        <v/>
      </c>
      <c r="L130" s="0" t="str">
        <f aca="false">IF($A130="","",COUNTIFS(Avaliacoes!$A$2:$A$6000,$A130,Avaliacoes!$F$2:$F$6000,"III",Avaliacoes!$H$2:$H$6000,0,Avaliacoes!$G$2:$G$6000,"&lt;&gt;")*Dimensoes!$E$4)</f>
        <v/>
      </c>
      <c r="M130" s="0" t="str">
        <f aca="false">IF($A130="","",COUNTIFS(Avaliacoes!$A$2:$A$6000,$A130,Avaliacoes!$F$2:$F$6000,"IV",Avaliacoes!$H$2:$H$6000,0,Avaliacoes!$G$2:$G$6000,"&lt;&gt;")*Dimensoes!$E$5)</f>
        <v/>
      </c>
      <c r="N130" s="9" t="str">
        <f aca="false">IF($A130="","",IF(J130&gt;0,F130/J130,""))</f>
        <v/>
      </c>
      <c r="O130" s="9" t="str">
        <f aca="false">IF($A130="","",IF(K130&gt;0,G130/K130,""))</f>
        <v/>
      </c>
      <c r="P130" s="9" t="str">
        <f aca="false">IF($A130="","",IF(L130&gt;0,H130/L130,""))</f>
        <v/>
      </c>
      <c r="Q130" s="9" t="str">
        <f aca="false">IF($A130="","",IF(M130&gt;0,I130/M130,""))</f>
        <v/>
      </c>
      <c r="R130" s="17" t="str">
        <f aca="false">IF($A130="","",IF((IF(N130="",0,Dimensoes!$C$2)+IF(O130="",0,Dimensoes!$C$3)+IF(P130="",0,Dimensoes!$C$4)+IF(Q130="",0,Dimensoes!$C$5))=0,"",(IF(N130="",0,N130*Dimensoes!$C$2)+IF(O130="",0,O130*Dimensoes!$C$3)+IF(P130="",0,P130*Dimensoes!$C$4)+IF(Q130="",0,Q130*Dimensoes!$C$5))/(IF(N130="",0,Dimensoes!$C$2)+IF(O130="",0,Dimensoes!$C$3)+IF(P130="",0,Dimensoes!$C$4)+IF(Q130="",0,Dimensoes!$C$5))))</f>
        <v/>
      </c>
      <c r="S130" s="0" t="str">
        <f aca="false">IF(R130="","",IF(R130&lt;Faixas!$C$3,"vermelho",IF(R130&lt;Faixas!$C$4,"amarelo","verde")))</f>
        <v/>
      </c>
      <c r="T130" s="9" t="str">
        <f aca="false">IF($A130="","",IF(N130="",0,N130*Dimensoes!$C$2)+IF(O130="",0,O130*Dimensoes!$C$3)+IF(P130="",0,P130*Dimensoes!$C$4)+IF(Q130="",0,Q130*Dimensoes!$C$5))</f>
        <v/>
      </c>
      <c r="U130" s="0" t="str">
        <f aca="false">IF($A130="","",IF(OR(E130="concluida",E130="incompleta"),1,0))</f>
        <v/>
      </c>
    </row>
    <row r="131" customFormat="false" ht="15" hidden="false" customHeight="false" outlineLevel="0" collapsed="false">
      <c r="A131" s="0" t="str">
        <f aca="false">IF(Visitas!A131="","",Visitas!A131)</f>
        <v/>
      </c>
      <c r="B131" s="0" t="str">
        <f aca="false">IF($A131="","",Visitas!C131)</f>
        <v/>
      </c>
      <c r="C131" s="7" t="str">
        <f aca="false">IF($A131="","",Visitas!D131)</f>
        <v/>
      </c>
      <c r="D131" s="0" t="str">
        <f aca="false">IF($A131="","",Visitas!B131)</f>
        <v/>
      </c>
      <c r="E131" s="0" t="str">
        <f aca="false">IF($A131="","",Visitas!F131)</f>
        <v/>
      </c>
      <c r="F131" s="0" t="str">
        <f aca="false">IF($A131="","",SUMIFS(Avaliacoes!$G$2:$G$6000,Avaliacoes!$A$2:$A$6000,$A131,Avaliacoes!$F$2:$F$6000,"I",Avaliacoes!$H$2:$H$6000,0))</f>
        <v/>
      </c>
      <c r="G131" s="0" t="str">
        <f aca="false">IF($A131="","",SUMIFS(Avaliacoes!$G$2:$G$6000,Avaliacoes!$A$2:$A$6000,$A131,Avaliacoes!$F$2:$F$6000,"II",Avaliacoes!$H$2:$H$6000,0))</f>
        <v/>
      </c>
      <c r="H131" s="0" t="str">
        <f aca="false">IF($A131="","",SUMIFS(Avaliacoes!$G$2:$G$6000,Avaliacoes!$A$2:$A$6000,$A131,Avaliacoes!$F$2:$F$6000,"III",Avaliacoes!$H$2:$H$6000,0))</f>
        <v/>
      </c>
      <c r="I131" s="0" t="str">
        <f aca="false">IF($A131="","",SUMIFS(Avaliacoes!$G$2:$G$6000,Avaliacoes!$A$2:$A$6000,$A131,Avaliacoes!$F$2:$F$6000,"IV",Avaliacoes!$H$2:$H$6000,0))</f>
        <v/>
      </c>
      <c r="J131" s="0" t="str">
        <f aca="false">IF($A131="","",COUNTIFS(Avaliacoes!$A$2:$A$6000,$A131,Avaliacoes!$F$2:$F$6000,"I",Avaliacoes!$H$2:$H$6000,0,Avaliacoes!$G$2:$G$6000,"&lt;&gt;")*Dimensoes!$E$2)</f>
        <v/>
      </c>
      <c r="K131" s="0" t="str">
        <f aca="false">IF($A131="","",COUNTIFS(Avaliacoes!$A$2:$A$6000,$A131,Avaliacoes!$F$2:$F$6000,"II",Avaliacoes!$H$2:$H$6000,0,Avaliacoes!$G$2:$G$6000,"&lt;&gt;")*Dimensoes!$E$3)</f>
        <v/>
      </c>
      <c r="L131" s="0" t="str">
        <f aca="false">IF($A131="","",COUNTIFS(Avaliacoes!$A$2:$A$6000,$A131,Avaliacoes!$F$2:$F$6000,"III",Avaliacoes!$H$2:$H$6000,0,Avaliacoes!$G$2:$G$6000,"&lt;&gt;")*Dimensoes!$E$4)</f>
        <v/>
      </c>
      <c r="M131" s="0" t="str">
        <f aca="false">IF($A131="","",COUNTIFS(Avaliacoes!$A$2:$A$6000,$A131,Avaliacoes!$F$2:$F$6000,"IV",Avaliacoes!$H$2:$H$6000,0,Avaliacoes!$G$2:$G$6000,"&lt;&gt;")*Dimensoes!$E$5)</f>
        <v/>
      </c>
      <c r="N131" s="9" t="str">
        <f aca="false">IF($A131="","",IF(J131&gt;0,F131/J131,""))</f>
        <v/>
      </c>
      <c r="O131" s="9" t="str">
        <f aca="false">IF($A131="","",IF(K131&gt;0,G131/K131,""))</f>
        <v/>
      </c>
      <c r="P131" s="9" t="str">
        <f aca="false">IF($A131="","",IF(L131&gt;0,H131/L131,""))</f>
        <v/>
      </c>
      <c r="Q131" s="9" t="str">
        <f aca="false">IF($A131="","",IF(M131&gt;0,I131/M131,""))</f>
        <v/>
      </c>
      <c r="R131" s="17" t="str">
        <f aca="false">IF($A131="","",IF((IF(N131="",0,Dimensoes!$C$2)+IF(O131="",0,Dimensoes!$C$3)+IF(P131="",0,Dimensoes!$C$4)+IF(Q131="",0,Dimensoes!$C$5))=0,"",(IF(N131="",0,N131*Dimensoes!$C$2)+IF(O131="",0,O131*Dimensoes!$C$3)+IF(P131="",0,P131*Dimensoes!$C$4)+IF(Q131="",0,Q131*Dimensoes!$C$5))/(IF(N131="",0,Dimensoes!$C$2)+IF(O131="",0,Dimensoes!$C$3)+IF(P131="",0,Dimensoes!$C$4)+IF(Q131="",0,Dimensoes!$C$5))))</f>
        <v/>
      </c>
      <c r="S131" s="0" t="str">
        <f aca="false">IF(R131="","",IF(R131&lt;Faixas!$C$3,"vermelho",IF(R131&lt;Faixas!$C$4,"amarelo","verde")))</f>
        <v/>
      </c>
      <c r="T131" s="9" t="str">
        <f aca="false">IF($A131="","",IF(N131="",0,N131*Dimensoes!$C$2)+IF(O131="",0,O131*Dimensoes!$C$3)+IF(P131="",0,P131*Dimensoes!$C$4)+IF(Q131="",0,Q131*Dimensoes!$C$5))</f>
        <v/>
      </c>
      <c r="U131" s="0" t="str">
        <f aca="false">IF($A131="","",IF(OR(E131="concluida",E131="incompleta"),1,0))</f>
        <v/>
      </c>
    </row>
    <row r="132" customFormat="false" ht="15" hidden="false" customHeight="false" outlineLevel="0" collapsed="false">
      <c r="A132" s="0" t="str">
        <f aca="false">IF(Visitas!A132="","",Visitas!A132)</f>
        <v/>
      </c>
      <c r="B132" s="0" t="str">
        <f aca="false">IF($A132="","",Visitas!C132)</f>
        <v/>
      </c>
      <c r="C132" s="7" t="str">
        <f aca="false">IF($A132="","",Visitas!D132)</f>
        <v/>
      </c>
      <c r="D132" s="0" t="str">
        <f aca="false">IF($A132="","",Visitas!B132)</f>
        <v/>
      </c>
      <c r="E132" s="0" t="str">
        <f aca="false">IF($A132="","",Visitas!F132)</f>
        <v/>
      </c>
      <c r="F132" s="0" t="str">
        <f aca="false">IF($A132="","",SUMIFS(Avaliacoes!$G$2:$G$6000,Avaliacoes!$A$2:$A$6000,$A132,Avaliacoes!$F$2:$F$6000,"I",Avaliacoes!$H$2:$H$6000,0))</f>
        <v/>
      </c>
      <c r="G132" s="0" t="str">
        <f aca="false">IF($A132="","",SUMIFS(Avaliacoes!$G$2:$G$6000,Avaliacoes!$A$2:$A$6000,$A132,Avaliacoes!$F$2:$F$6000,"II",Avaliacoes!$H$2:$H$6000,0))</f>
        <v/>
      </c>
      <c r="H132" s="0" t="str">
        <f aca="false">IF($A132="","",SUMIFS(Avaliacoes!$G$2:$G$6000,Avaliacoes!$A$2:$A$6000,$A132,Avaliacoes!$F$2:$F$6000,"III",Avaliacoes!$H$2:$H$6000,0))</f>
        <v/>
      </c>
      <c r="I132" s="0" t="str">
        <f aca="false">IF($A132="","",SUMIFS(Avaliacoes!$G$2:$G$6000,Avaliacoes!$A$2:$A$6000,$A132,Avaliacoes!$F$2:$F$6000,"IV",Avaliacoes!$H$2:$H$6000,0))</f>
        <v/>
      </c>
      <c r="J132" s="0" t="str">
        <f aca="false">IF($A132="","",COUNTIFS(Avaliacoes!$A$2:$A$6000,$A132,Avaliacoes!$F$2:$F$6000,"I",Avaliacoes!$H$2:$H$6000,0,Avaliacoes!$G$2:$G$6000,"&lt;&gt;")*Dimensoes!$E$2)</f>
        <v/>
      </c>
      <c r="K132" s="0" t="str">
        <f aca="false">IF($A132="","",COUNTIFS(Avaliacoes!$A$2:$A$6000,$A132,Avaliacoes!$F$2:$F$6000,"II",Avaliacoes!$H$2:$H$6000,0,Avaliacoes!$G$2:$G$6000,"&lt;&gt;")*Dimensoes!$E$3)</f>
        <v/>
      </c>
      <c r="L132" s="0" t="str">
        <f aca="false">IF($A132="","",COUNTIFS(Avaliacoes!$A$2:$A$6000,$A132,Avaliacoes!$F$2:$F$6000,"III",Avaliacoes!$H$2:$H$6000,0,Avaliacoes!$G$2:$G$6000,"&lt;&gt;")*Dimensoes!$E$4)</f>
        <v/>
      </c>
      <c r="M132" s="0" t="str">
        <f aca="false">IF($A132="","",COUNTIFS(Avaliacoes!$A$2:$A$6000,$A132,Avaliacoes!$F$2:$F$6000,"IV",Avaliacoes!$H$2:$H$6000,0,Avaliacoes!$G$2:$G$6000,"&lt;&gt;")*Dimensoes!$E$5)</f>
        <v/>
      </c>
      <c r="N132" s="9" t="str">
        <f aca="false">IF($A132="","",IF(J132&gt;0,F132/J132,""))</f>
        <v/>
      </c>
      <c r="O132" s="9" t="str">
        <f aca="false">IF($A132="","",IF(K132&gt;0,G132/K132,""))</f>
        <v/>
      </c>
      <c r="P132" s="9" t="str">
        <f aca="false">IF($A132="","",IF(L132&gt;0,H132/L132,""))</f>
        <v/>
      </c>
      <c r="Q132" s="9" t="str">
        <f aca="false">IF($A132="","",IF(M132&gt;0,I132/M132,""))</f>
        <v/>
      </c>
      <c r="R132" s="17" t="str">
        <f aca="false">IF($A132="","",IF((IF(N132="",0,Dimensoes!$C$2)+IF(O132="",0,Dimensoes!$C$3)+IF(P132="",0,Dimensoes!$C$4)+IF(Q132="",0,Dimensoes!$C$5))=0,"",(IF(N132="",0,N132*Dimensoes!$C$2)+IF(O132="",0,O132*Dimensoes!$C$3)+IF(P132="",0,P132*Dimensoes!$C$4)+IF(Q132="",0,Q132*Dimensoes!$C$5))/(IF(N132="",0,Dimensoes!$C$2)+IF(O132="",0,Dimensoes!$C$3)+IF(P132="",0,Dimensoes!$C$4)+IF(Q132="",0,Dimensoes!$C$5))))</f>
        <v/>
      </c>
      <c r="S132" s="0" t="str">
        <f aca="false">IF(R132="","",IF(R132&lt;Faixas!$C$3,"vermelho",IF(R132&lt;Faixas!$C$4,"amarelo","verde")))</f>
        <v/>
      </c>
      <c r="T132" s="9" t="str">
        <f aca="false">IF($A132="","",IF(N132="",0,N132*Dimensoes!$C$2)+IF(O132="",0,O132*Dimensoes!$C$3)+IF(P132="",0,P132*Dimensoes!$C$4)+IF(Q132="",0,Q132*Dimensoes!$C$5))</f>
        <v/>
      </c>
      <c r="U132" s="0" t="str">
        <f aca="false">IF($A132="","",IF(OR(E132="concluida",E132="incompleta"),1,0))</f>
        <v/>
      </c>
    </row>
    <row r="133" customFormat="false" ht="15" hidden="false" customHeight="false" outlineLevel="0" collapsed="false">
      <c r="A133" s="0" t="str">
        <f aca="false">IF(Visitas!A133="","",Visitas!A133)</f>
        <v/>
      </c>
      <c r="B133" s="0" t="str">
        <f aca="false">IF($A133="","",Visitas!C133)</f>
        <v/>
      </c>
      <c r="C133" s="7" t="str">
        <f aca="false">IF($A133="","",Visitas!D133)</f>
        <v/>
      </c>
      <c r="D133" s="0" t="str">
        <f aca="false">IF($A133="","",Visitas!B133)</f>
        <v/>
      </c>
      <c r="E133" s="0" t="str">
        <f aca="false">IF($A133="","",Visitas!F133)</f>
        <v/>
      </c>
      <c r="F133" s="0" t="str">
        <f aca="false">IF($A133="","",SUMIFS(Avaliacoes!$G$2:$G$6000,Avaliacoes!$A$2:$A$6000,$A133,Avaliacoes!$F$2:$F$6000,"I",Avaliacoes!$H$2:$H$6000,0))</f>
        <v/>
      </c>
      <c r="G133" s="0" t="str">
        <f aca="false">IF($A133="","",SUMIFS(Avaliacoes!$G$2:$G$6000,Avaliacoes!$A$2:$A$6000,$A133,Avaliacoes!$F$2:$F$6000,"II",Avaliacoes!$H$2:$H$6000,0))</f>
        <v/>
      </c>
      <c r="H133" s="0" t="str">
        <f aca="false">IF($A133="","",SUMIFS(Avaliacoes!$G$2:$G$6000,Avaliacoes!$A$2:$A$6000,$A133,Avaliacoes!$F$2:$F$6000,"III",Avaliacoes!$H$2:$H$6000,0))</f>
        <v/>
      </c>
      <c r="I133" s="0" t="str">
        <f aca="false">IF($A133="","",SUMIFS(Avaliacoes!$G$2:$G$6000,Avaliacoes!$A$2:$A$6000,$A133,Avaliacoes!$F$2:$F$6000,"IV",Avaliacoes!$H$2:$H$6000,0))</f>
        <v/>
      </c>
      <c r="J133" s="0" t="str">
        <f aca="false">IF($A133="","",COUNTIFS(Avaliacoes!$A$2:$A$6000,$A133,Avaliacoes!$F$2:$F$6000,"I",Avaliacoes!$H$2:$H$6000,0,Avaliacoes!$G$2:$G$6000,"&lt;&gt;")*Dimensoes!$E$2)</f>
        <v/>
      </c>
      <c r="K133" s="0" t="str">
        <f aca="false">IF($A133="","",COUNTIFS(Avaliacoes!$A$2:$A$6000,$A133,Avaliacoes!$F$2:$F$6000,"II",Avaliacoes!$H$2:$H$6000,0,Avaliacoes!$G$2:$G$6000,"&lt;&gt;")*Dimensoes!$E$3)</f>
        <v/>
      </c>
      <c r="L133" s="0" t="str">
        <f aca="false">IF($A133="","",COUNTIFS(Avaliacoes!$A$2:$A$6000,$A133,Avaliacoes!$F$2:$F$6000,"III",Avaliacoes!$H$2:$H$6000,0,Avaliacoes!$G$2:$G$6000,"&lt;&gt;")*Dimensoes!$E$4)</f>
        <v/>
      </c>
      <c r="M133" s="0" t="str">
        <f aca="false">IF($A133="","",COUNTIFS(Avaliacoes!$A$2:$A$6000,$A133,Avaliacoes!$F$2:$F$6000,"IV",Avaliacoes!$H$2:$H$6000,0,Avaliacoes!$G$2:$G$6000,"&lt;&gt;")*Dimensoes!$E$5)</f>
        <v/>
      </c>
      <c r="N133" s="9" t="str">
        <f aca="false">IF($A133="","",IF(J133&gt;0,F133/J133,""))</f>
        <v/>
      </c>
      <c r="O133" s="9" t="str">
        <f aca="false">IF($A133="","",IF(K133&gt;0,G133/K133,""))</f>
        <v/>
      </c>
      <c r="P133" s="9" t="str">
        <f aca="false">IF($A133="","",IF(L133&gt;0,H133/L133,""))</f>
        <v/>
      </c>
      <c r="Q133" s="9" t="str">
        <f aca="false">IF($A133="","",IF(M133&gt;0,I133/M133,""))</f>
        <v/>
      </c>
      <c r="R133" s="17" t="str">
        <f aca="false">IF($A133="","",IF((IF(N133="",0,Dimensoes!$C$2)+IF(O133="",0,Dimensoes!$C$3)+IF(P133="",0,Dimensoes!$C$4)+IF(Q133="",0,Dimensoes!$C$5))=0,"",(IF(N133="",0,N133*Dimensoes!$C$2)+IF(O133="",0,O133*Dimensoes!$C$3)+IF(P133="",0,P133*Dimensoes!$C$4)+IF(Q133="",0,Q133*Dimensoes!$C$5))/(IF(N133="",0,Dimensoes!$C$2)+IF(O133="",0,Dimensoes!$C$3)+IF(P133="",0,Dimensoes!$C$4)+IF(Q133="",0,Dimensoes!$C$5))))</f>
        <v/>
      </c>
      <c r="S133" s="0" t="str">
        <f aca="false">IF(R133="","",IF(R133&lt;Faixas!$C$3,"vermelho",IF(R133&lt;Faixas!$C$4,"amarelo","verde")))</f>
        <v/>
      </c>
      <c r="T133" s="9" t="str">
        <f aca="false">IF($A133="","",IF(N133="",0,N133*Dimensoes!$C$2)+IF(O133="",0,O133*Dimensoes!$C$3)+IF(P133="",0,P133*Dimensoes!$C$4)+IF(Q133="",0,Q133*Dimensoes!$C$5))</f>
        <v/>
      </c>
      <c r="U133" s="0" t="str">
        <f aca="false">IF($A133="","",IF(OR(E133="concluida",E133="incompleta"),1,0))</f>
        <v/>
      </c>
    </row>
    <row r="134" customFormat="false" ht="15" hidden="false" customHeight="false" outlineLevel="0" collapsed="false">
      <c r="A134" s="0" t="str">
        <f aca="false">IF(Visitas!A134="","",Visitas!A134)</f>
        <v/>
      </c>
      <c r="B134" s="0" t="str">
        <f aca="false">IF($A134="","",Visitas!C134)</f>
        <v/>
      </c>
      <c r="C134" s="7" t="str">
        <f aca="false">IF($A134="","",Visitas!D134)</f>
        <v/>
      </c>
      <c r="D134" s="0" t="str">
        <f aca="false">IF($A134="","",Visitas!B134)</f>
        <v/>
      </c>
      <c r="E134" s="0" t="str">
        <f aca="false">IF($A134="","",Visitas!F134)</f>
        <v/>
      </c>
      <c r="F134" s="0" t="str">
        <f aca="false">IF($A134="","",SUMIFS(Avaliacoes!$G$2:$G$6000,Avaliacoes!$A$2:$A$6000,$A134,Avaliacoes!$F$2:$F$6000,"I",Avaliacoes!$H$2:$H$6000,0))</f>
        <v/>
      </c>
      <c r="G134" s="0" t="str">
        <f aca="false">IF($A134="","",SUMIFS(Avaliacoes!$G$2:$G$6000,Avaliacoes!$A$2:$A$6000,$A134,Avaliacoes!$F$2:$F$6000,"II",Avaliacoes!$H$2:$H$6000,0))</f>
        <v/>
      </c>
      <c r="H134" s="0" t="str">
        <f aca="false">IF($A134="","",SUMIFS(Avaliacoes!$G$2:$G$6000,Avaliacoes!$A$2:$A$6000,$A134,Avaliacoes!$F$2:$F$6000,"III",Avaliacoes!$H$2:$H$6000,0))</f>
        <v/>
      </c>
      <c r="I134" s="0" t="str">
        <f aca="false">IF($A134="","",SUMIFS(Avaliacoes!$G$2:$G$6000,Avaliacoes!$A$2:$A$6000,$A134,Avaliacoes!$F$2:$F$6000,"IV",Avaliacoes!$H$2:$H$6000,0))</f>
        <v/>
      </c>
      <c r="J134" s="0" t="str">
        <f aca="false">IF($A134="","",COUNTIFS(Avaliacoes!$A$2:$A$6000,$A134,Avaliacoes!$F$2:$F$6000,"I",Avaliacoes!$H$2:$H$6000,0,Avaliacoes!$G$2:$G$6000,"&lt;&gt;")*Dimensoes!$E$2)</f>
        <v/>
      </c>
      <c r="K134" s="0" t="str">
        <f aca="false">IF($A134="","",COUNTIFS(Avaliacoes!$A$2:$A$6000,$A134,Avaliacoes!$F$2:$F$6000,"II",Avaliacoes!$H$2:$H$6000,0,Avaliacoes!$G$2:$G$6000,"&lt;&gt;")*Dimensoes!$E$3)</f>
        <v/>
      </c>
      <c r="L134" s="0" t="str">
        <f aca="false">IF($A134="","",COUNTIFS(Avaliacoes!$A$2:$A$6000,$A134,Avaliacoes!$F$2:$F$6000,"III",Avaliacoes!$H$2:$H$6000,0,Avaliacoes!$G$2:$G$6000,"&lt;&gt;")*Dimensoes!$E$4)</f>
        <v/>
      </c>
      <c r="M134" s="0" t="str">
        <f aca="false">IF($A134="","",COUNTIFS(Avaliacoes!$A$2:$A$6000,$A134,Avaliacoes!$F$2:$F$6000,"IV",Avaliacoes!$H$2:$H$6000,0,Avaliacoes!$G$2:$G$6000,"&lt;&gt;")*Dimensoes!$E$5)</f>
        <v/>
      </c>
      <c r="N134" s="9" t="str">
        <f aca="false">IF($A134="","",IF(J134&gt;0,F134/J134,""))</f>
        <v/>
      </c>
      <c r="O134" s="9" t="str">
        <f aca="false">IF($A134="","",IF(K134&gt;0,G134/K134,""))</f>
        <v/>
      </c>
      <c r="P134" s="9" t="str">
        <f aca="false">IF($A134="","",IF(L134&gt;0,H134/L134,""))</f>
        <v/>
      </c>
      <c r="Q134" s="9" t="str">
        <f aca="false">IF($A134="","",IF(M134&gt;0,I134/M134,""))</f>
        <v/>
      </c>
      <c r="R134" s="17" t="str">
        <f aca="false">IF($A134="","",IF((IF(N134="",0,Dimensoes!$C$2)+IF(O134="",0,Dimensoes!$C$3)+IF(P134="",0,Dimensoes!$C$4)+IF(Q134="",0,Dimensoes!$C$5))=0,"",(IF(N134="",0,N134*Dimensoes!$C$2)+IF(O134="",0,O134*Dimensoes!$C$3)+IF(P134="",0,P134*Dimensoes!$C$4)+IF(Q134="",0,Q134*Dimensoes!$C$5))/(IF(N134="",0,Dimensoes!$C$2)+IF(O134="",0,Dimensoes!$C$3)+IF(P134="",0,Dimensoes!$C$4)+IF(Q134="",0,Dimensoes!$C$5))))</f>
        <v/>
      </c>
      <c r="S134" s="0" t="str">
        <f aca="false">IF(R134="","",IF(R134&lt;Faixas!$C$3,"vermelho",IF(R134&lt;Faixas!$C$4,"amarelo","verde")))</f>
        <v/>
      </c>
      <c r="T134" s="9" t="str">
        <f aca="false">IF($A134="","",IF(N134="",0,N134*Dimensoes!$C$2)+IF(O134="",0,O134*Dimensoes!$C$3)+IF(P134="",0,P134*Dimensoes!$C$4)+IF(Q134="",0,Q134*Dimensoes!$C$5))</f>
        <v/>
      </c>
      <c r="U134" s="0" t="str">
        <f aca="false">IF($A134="","",IF(OR(E134="concluida",E134="incompleta"),1,0))</f>
        <v/>
      </c>
    </row>
    <row r="135" customFormat="false" ht="15" hidden="false" customHeight="false" outlineLevel="0" collapsed="false">
      <c r="A135" s="0" t="str">
        <f aca="false">IF(Visitas!A135="","",Visitas!A135)</f>
        <v/>
      </c>
      <c r="B135" s="0" t="str">
        <f aca="false">IF($A135="","",Visitas!C135)</f>
        <v/>
      </c>
      <c r="C135" s="7" t="str">
        <f aca="false">IF($A135="","",Visitas!D135)</f>
        <v/>
      </c>
      <c r="D135" s="0" t="str">
        <f aca="false">IF($A135="","",Visitas!B135)</f>
        <v/>
      </c>
      <c r="E135" s="0" t="str">
        <f aca="false">IF($A135="","",Visitas!F135)</f>
        <v/>
      </c>
      <c r="F135" s="0" t="str">
        <f aca="false">IF($A135="","",SUMIFS(Avaliacoes!$G$2:$G$6000,Avaliacoes!$A$2:$A$6000,$A135,Avaliacoes!$F$2:$F$6000,"I",Avaliacoes!$H$2:$H$6000,0))</f>
        <v/>
      </c>
      <c r="G135" s="0" t="str">
        <f aca="false">IF($A135="","",SUMIFS(Avaliacoes!$G$2:$G$6000,Avaliacoes!$A$2:$A$6000,$A135,Avaliacoes!$F$2:$F$6000,"II",Avaliacoes!$H$2:$H$6000,0))</f>
        <v/>
      </c>
      <c r="H135" s="0" t="str">
        <f aca="false">IF($A135="","",SUMIFS(Avaliacoes!$G$2:$G$6000,Avaliacoes!$A$2:$A$6000,$A135,Avaliacoes!$F$2:$F$6000,"III",Avaliacoes!$H$2:$H$6000,0))</f>
        <v/>
      </c>
      <c r="I135" s="0" t="str">
        <f aca="false">IF($A135="","",SUMIFS(Avaliacoes!$G$2:$G$6000,Avaliacoes!$A$2:$A$6000,$A135,Avaliacoes!$F$2:$F$6000,"IV",Avaliacoes!$H$2:$H$6000,0))</f>
        <v/>
      </c>
      <c r="J135" s="0" t="str">
        <f aca="false">IF($A135="","",COUNTIFS(Avaliacoes!$A$2:$A$6000,$A135,Avaliacoes!$F$2:$F$6000,"I",Avaliacoes!$H$2:$H$6000,0,Avaliacoes!$G$2:$G$6000,"&lt;&gt;")*Dimensoes!$E$2)</f>
        <v/>
      </c>
      <c r="K135" s="0" t="str">
        <f aca="false">IF($A135="","",COUNTIFS(Avaliacoes!$A$2:$A$6000,$A135,Avaliacoes!$F$2:$F$6000,"II",Avaliacoes!$H$2:$H$6000,0,Avaliacoes!$G$2:$G$6000,"&lt;&gt;")*Dimensoes!$E$3)</f>
        <v/>
      </c>
      <c r="L135" s="0" t="str">
        <f aca="false">IF($A135="","",COUNTIFS(Avaliacoes!$A$2:$A$6000,$A135,Avaliacoes!$F$2:$F$6000,"III",Avaliacoes!$H$2:$H$6000,0,Avaliacoes!$G$2:$G$6000,"&lt;&gt;")*Dimensoes!$E$4)</f>
        <v/>
      </c>
      <c r="M135" s="0" t="str">
        <f aca="false">IF($A135="","",COUNTIFS(Avaliacoes!$A$2:$A$6000,$A135,Avaliacoes!$F$2:$F$6000,"IV",Avaliacoes!$H$2:$H$6000,0,Avaliacoes!$G$2:$G$6000,"&lt;&gt;")*Dimensoes!$E$5)</f>
        <v/>
      </c>
      <c r="N135" s="9" t="str">
        <f aca="false">IF($A135="","",IF(J135&gt;0,F135/J135,""))</f>
        <v/>
      </c>
      <c r="O135" s="9" t="str">
        <f aca="false">IF($A135="","",IF(K135&gt;0,G135/K135,""))</f>
        <v/>
      </c>
      <c r="P135" s="9" t="str">
        <f aca="false">IF($A135="","",IF(L135&gt;0,H135/L135,""))</f>
        <v/>
      </c>
      <c r="Q135" s="9" t="str">
        <f aca="false">IF($A135="","",IF(M135&gt;0,I135/M135,""))</f>
        <v/>
      </c>
      <c r="R135" s="17" t="str">
        <f aca="false">IF($A135="","",IF((IF(N135="",0,Dimensoes!$C$2)+IF(O135="",0,Dimensoes!$C$3)+IF(P135="",0,Dimensoes!$C$4)+IF(Q135="",0,Dimensoes!$C$5))=0,"",(IF(N135="",0,N135*Dimensoes!$C$2)+IF(O135="",0,O135*Dimensoes!$C$3)+IF(P135="",0,P135*Dimensoes!$C$4)+IF(Q135="",0,Q135*Dimensoes!$C$5))/(IF(N135="",0,Dimensoes!$C$2)+IF(O135="",0,Dimensoes!$C$3)+IF(P135="",0,Dimensoes!$C$4)+IF(Q135="",0,Dimensoes!$C$5))))</f>
        <v/>
      </c>
      <c r="S135" s="0" t="str">
        <f aca="false">IF(R135="","",IF(R135&lt;Faixas!$C$3,"vermelho",IF(R135&lt;Faixas!$C$4,"amarelo","verde")))</f>
        <v/>
      </c>
      <c r="T135" s="9" t="str">
        <f aca="false">IF($A135="","",IF(N135="",0,N135*Dimensoes!$C$2)+IF(O135="",0,O135*Dimensoes!$C$3)+IF(P135="",0,P135*Dimensoes!$C$4)+IF(Q135="",0,Q135*Dimensoes!$C$5))</f>
        <v/>
      </c>
      <c r="U135" s="0" t="str">
        <f aca="false">IF($A135="","",IF(OR(E135="concluida",E135="incompleta"),1,0))</f>
        <v/>
      </c>
    </row>
    <row r="136" customFormat="false" ht="15" hidden="false" customHeight="false" outlineLevel="0" collapsed="false">
      <c r="A136" s="0" t="str">
        <f aca="false">IF(Visitas!A136="","",Visitas!A136)</f>
        <v/>
      </c>
      <c r="B136" s="0" t="str">
        <f aca="false">IF($A136="","",Visitas!C136)</f>
        <v/>
      </c>
      <c r="C136" s="7" t="str">
        <f aca="false">IF($A136="","",Visitas!D136)</f>
        <v/>
      </c>
      <c r="D136" s="0" t="str">
        <f aca="false">IF($A136="","",Visitas!B136)</f>
        <v/>
      </c>
      <c r="E136" s="0" t="str">
        <f aca="false">IF($A136="","",Visitas!F136)</f>
        <v/>
      </c>
      <c r="F136" s="0" t="str">
        <f aca="false">IF($A136="","",SUMIFS(Avaliacoes!$G$2:$G$6000,Avaliacoes!$A$2:$A$6000,$A136,Avaliacoes!$F$2:$F$6000,"I",Avaliacoes!$H$2:$H$6000,0))</f>
        <v/>
      </c>
      <c r="G136" s="0" t="str">
        <f aca="false">IF($A136="","",SUMIFS(Avaliacoes!$G$2:$G$6000,Avaliacoes!$A$2:$A$6000,$A136,Avaliacoes!$F$2:$F$6000,"II",Avaliacoes!$H$2:$H$6000,0))</f>
        <v/>
      </c>
      <c r="H136" s="0" t="str">
        <f aca="false">IF($A136="","",SUMIFS(Avaliacoes!$G$2:$G$6000,Avaliacoes!$A$2:$A$6000,$A136,Avaliacoes!$F$2:$F$6000,"III",Avaliacoes!$H$2:$H$6000,0))</f>
        <v/>
      </c>
      <c r="I136" s="0" t="str">
        <f aca="false">IF($A136="","",SUMIFS(Avaliacoes!$G$2:$G$6000,Avaliacoes!$A$2:$A$6000,$A136,Avaliacoes!$F$2:$F$6000,"IV",Avaliacoes!$H$2:$H$6000,0))</f>
        <v/>
      </c>
      <c r="J136" s="0" t="str">
        <f aca="false">IF($A136="","",COUNTIFS(Avaliacoes!$A$2:$A$6000,$A136,Avaliacoes!$F$2:$F$6000,"I",Avaliacoes!$H$2:$H$6000,0,Avaliacoes!$G$2:$G$6000,"&lt;&gt;")*Dimensoes!$E$2)</f>
        <v/>
      </c>
      <c r="K136" s="0" t="str">
        <f aca="false">IF($A136="","",COUNTIFS(Avaliacoes!$A$2:$A$6000,$A136,Avaliacoes!$F$2:$F$6000,"II",Avaliacoes!$H$2:$H$6000,0,Avaliacoes!$G$2:$G$6000,"&lt;&gt;")*Dimensoes!$E$3)</f>
        <v/>
      </c>
      <c r="L136" s="0" t="str">
        <f aca="false">IF($A136="","",COUNTIFS(Avaliacoes!$A$2:$A$6000,$A136,Avaliacoes!$F$2:$F$6000,"III",Avaliacoes!$H$2:$H$6000,0,Avaliacoes!$G$2:$G$6000,"&lt;&gt;")*Dimensoes!$E$4)</f>
        <v/>
      </c>
      <c r="M136" s="0" t="str">
        <f aca="false">IF($A136="","",COUNTIFS(Avaliacoes!$A$2:$A$6000,$A136,Avaliacoes!$F$2:$F$6000,"IV",Avaliacoes!$H$2:$H$6000,0,Avaliacoes!$G$2:$G$6000,"&lt;&gt;")*Dimensoes!$E$5)</f>
        <v/>
      </c>
      <c r="N136" s="9" t="str">
        <f aca="false">IF($A136="","",IF(J136&gt;0,F136/J136,""))</f>
        <v/>
      </c>
      <c r="O136" s="9" t="str">
        <f aca="false">IF($A136="","",IF(K136&gt;0,G136/K136,""))</f>
        <v/>
      </c>
      <c r="P136" s="9" t="str">
        <f aca="false">IF($A136="","",IF(L136&gt;0,H136/L136,""))</f>
        <v/>
      </c>
      <c r="Q136" s="9" t="str">
        <f aca="false">IF($A136="","",IF(M136&gt;0,I136/M136,""))</f>
        <v/>
      </c>
      <c r="R136" s="17" t="str">
        <f aca="false">IF($A136="","",IF((IF(N136="",0,Dimensoes!$C$2)+IF(O136="",0,Dimensoes!$C$3)+IF(P136="",0,Dimensoes!$C$4)+IF(Q136="",0,Dimensoes!$C$5))=0,"",(IF(N136="",0,N136*Dimensoes!$C$2)+IF(O136="",0,O136*Dimensoes!$C$3)+IF(P136="",0,P136*Dimensoes!$C$4)+IF(Q136="",0,Q136*Dimensoes!$C$5))/(IF(N136="",0,Dimensoes!$C$2)+IF(O136="",0,Dimensoes!$C$3)+IF(P136="",0,Dimensoes!$C$4)+IF(Q136="",0,Dimensoes!$C$5))))</f>
        <v/>
      </c>
      <c r="S136" s="0" t="str">
        <f aca="false">IF(R136="","",IF(R136&lt;Faixas!$C$3,"vermelho",IF(R136&lt;Faixas!$C$4,"amarelo","verde")))</f>
        <v/>
      </c>
      <c r="T136" s="9" t="str">
        <f aca="false">IF($A136="","",IF(N136="",0,N136*Dimensoes!$C$2)+IF(O136="",0,O136*Dimensoes!$C$3)+IF(P136="",0,P136*Dimensoes!$C$4)+IF(Q136="",0,Q136*Dimensoes!$C$5))</f>
        <v/>
      </c>
      <c r="U136" s="0" t="str">
        <f aca="false">IF($A136="","",IF(OR(E136="concluida",E136="incompleta"),1,0))</f>
        <v/>
      </c>
    </row>
    <row r="137" customFormat="false" ht="15" hidden="false" customHeight="false" outlineLevel="0" collapsed="false">
      <c r="A137" s="0" t="str">
        <f aca="false">IF(Visitas!A137="","",Visitas!A137)</f>
        <v/>
      </c>
      <c r="B137" s="0" t="str">
        <f aca="false">IF($A137="","",Visitas!C137)</f>
        <v/>
      </c>
      <c r="C137" s="7" t="str">
        <f aca="false">IF($A137="","",Visitas!D137)</f>
        <v/>
      </c>
      <c r="D137" s="0" t="str">
        <f aca="false">IF($A137="","",Visitas!B137)</f>
        <v/>
      </c>
      <c r="E137" s="0" t="str">
        <f aca="false">IF($A137="","",Visitas!F137)</f>
        <v/>
      </c>
      <c r="F137" s="0" t="str">
        <f aca="false">IF($A137="","",SUMIFS(Avaliacoes!$G$2:$G$6000,Avaliacoes!$A$2:$A$6000,$A137,Avaliacoes!$F$2:$F$6000,"I",Avaliacoes!$H$2:$H$6000,0))</f>
        <v/>
      </c>
      <c r="G137" s="0" t="str">
        <f aca="false">IF($A137="","",SUMIFS(Avaliacoes!$G$2:$G$6000,Avaliacoes!$A$2:$A$6000,$A137,Avaliacoes!$F$2:$F$6000,"II",Avaliacoes!$H$2:$H$6000,0))</f>
        <v/>
      </c>
      <c r="H137" s="0" t="str">
        <f aca="false">IF($A137="","",SUMIFS(Avaliacoes!$G$2:$G$6000,Avaliacoes!$A$2:$A$6000,$A137,Avaliacoes!$F$2:$F$6000,"III",Avaliacoes!$H$2:$H$6000,0))</f>
        <v/>
      </c>
      <c r="I137" s="0" t="str">
        <f aca="false">IF($A137="","",SUMIFS(Avaliacoes!$G$2:$G$6000,Avaliacoes!$A$2:$A$6000,$A137,Avaliacoes!$F$2:$F$6000,"IV",Avaliacoes!$H$2:$H$6000,0))</f>
        <v/>
      </c>
      <c r="J137" s="0" t="str">
        <f aca="false">IF($A137="","",COUNTIFS(Avaliacoes!$A$2:$A$6000,$A137,Avaliacoes!$F$2:$F$6000,"I",Avaliacoes!$H$2:$H$6000,0,Avaliacoes!$G$2:$G$6000,"&lt;&gt;")*Dimensoes!$E$2)</f>
        <v/>
      </c>
      <c r="K137" s="0" t="str">
        <f aca="false">IF($A137="","",COUNTIFS(Avaliacoes!$A$2:$A$6000,$A137,Avaliacoes!$F$2:$F$6000,"II",Avaliacoes!$H$2:$H$6000,0,Avaliacoes!$G$2:$G$6000,"&lt;&gt;")*Dimensoes!$E$3)</f>
        <v/>
      </c>
      <c r="L137" s="0" t="str">
        <f aca="false">IF($A137="","",COUNTIFS(Avaliacoes!$A$2:$A$6000,$A137,Avaliacoes!$F$2:$F$6000,"III",Avaliacoes!$H$2:$H$6000,0,Avaliacoes!$G$2:$G$6000,"&lt;&gt;")*Dimensoes!$E$4)</f>
        <v/>
      </c>
      <c r="M137" s="0" t="str">
        <f aca="false">IF($A137="","",COUNTIFS(Avaliacoes!$A$2:$A$6000,$A137,Avaliacoes!$F$2:$F$6000,"IV",Avaliacoes!$H$2:$H$6000,0,Avaliacoes!$G$2:$G$6000,"&lt;&gt;")*Dimensoes!$E$5)</f>
        <v/>
      </c>
      <c r="N137" s="9" t="str">
        <f aca="false">IF($A137="","",IF(J137&gt;0,F137/J137,""))</f>
        <v/>
      </c>
      <c r="O137" s="9" t="str">
        <f aca="false">IF($A137="","",IF(K137&gt;0,G137/K137,""))</f>
        <v/>
      </c>
      <c r="P137" s="9" t="str">
        <f aca="false">IF($A137="","",IF(L137&gt;0,H137/L137,""))</f>
        <v/>
      </c>
      <c r="Q137" s="9" t="str">
        <f aca="false">IF($A137="","",IF(M137&gt;0,I137/M137,""))</f>
        <v/>
      </c>
      <c r="R137" s="17" t="str">
        <f aca="false">IF($A137="","",IF((IF(N137="",0,Dimensoes!$C$2)+IF(O137="",0,Dimensoes!$C$3)+IF(P137="",0,Dimensoes!$C$4)+IF(Q137="",0,Dimensoes!$C$5))=0,"",(IF(N137="",0,N137*Dimensoes!$C$2)+IF(O137="",0,O137*Dimensoes!$C$3)+IF(P137="",0,P137*Dimensoes!$C$4)+IF(Q137="",0,Q137*Dimensoes!$C$5))/(IF(N137="",0,Dimensoes!$C$2)+IF(O137="",0,Dimensoes!$C$3)+IF(P137="",0,Dimensoes!$C$4)+IF(Q137="",0,Dimensoes!$C$5))))</f>
        <v/>
      </c>
      <c r="S137" s="0" t="str">
        <f aca="false">IF(R137="","",IF(R137&lt;Faixas!$C$3,"vermelho",IF(R137&lt;Faixas!$C$4,"amarelo","verde")))</f>
        <v/>
      </c>
      <c r="T137" s="9" t="str">
        <f aca="false">IF($A137="","",IF(N137="",0,N137*Dimensoes!$C$2)+IF(O137="",0,O137*Dimensoes!$C$3)+IF(P137="",0,P137*Dimensoes!$C$4)+IF(Q137="",0,Q137*Dimensoes!$C$5))</f>
        <v/>
      </c>
      <c r="U137" s="0" t="str">
        <f aca="false">IF($A137="","",IF(OR(E137="concluida",E137="incompleta"),1,0))</f>
        <v/>
      </c>
    </row>
    <row r="138" customFormat="false" ht="15" hidden="false" customHeight="false" outlineLevel="0" collapsed="false">
      <c r="A138" s="0" t="str">
        <f aca="false">IF(Visitas!A138="","",Visitas!A138)</f>
        <v/>
      </c>
      <c r="B138" s="0" t="str">
        <f aca="false">IF($A138="","",Visitas!C138)</f>
        <v/>
      </c>
      <c r="C138" s="7" t="str">
        <f aca="false">IF($A138="","",Visitas!D138)</f>
        <v/>
      </c>
      <c r="D138" s="0" t="str">
        <f aca="false">IF($A138="","",Visitas!B138)</f>
        <v/>
      </c>
      <c r="E138" s="0" t="str">
        <f aca="false">IF($A138="","",Visitas!F138)</f>
        <v/>
      </c>
      <c r="F138" s="0" t="str">
        <f aca="false">IF($A138="","",SUMIFS(Avaliacoes!$G$2:$G$6000,Avaliacoes!$A$2:$A$6000,$A138,Avaliacoes!$F$2:$F$6000,"I",Avaliacoes!$H$2:$H$6000,0))</f>
        <v/>
      </c>
      <c r="G138" s="0" t="str">
        <f aca="false">IF($A138="","",SUMIFS(Avaliacoes!$G$2:$G$6000,Avaliacoes!$A$2:$A$6000,$A138,Avaliacoes!$F$2:$F$6000,"II",Avaliacoes!$H$2:$H$6000,0))</f>
        <v/>
      </c>
      <c r="H138" s="0" t="str">
        <f aca="false">IF($A138="","",SUMIFS(Avaliacoes!$G$2:$G$6000,Avaliacoes!$A$2:$A$6000,$A138,Avaliacoes!$F$2:$F$6000,"III",Avaliacoes!$H$2:$H$6000,0))</f>
        <v/>
      </c>
      <c r="I138" s="0" t="str">
        <f aca="false">IF($A138="","",SUMIFS(Avaliacoes!$G$2:$G$6000,Avaliacoes!$A$2:$A$6000,$A138,Avaliacoes!$F$2:$F$6000,"IV",Avaliacoes!$H$2:$H$6000,0))</f>
        <v/>
      </c>
      <c r="J138" s="0" t="str">
        <f aca="false">IF($A138="","",COUNTIFS(Avaliacoes!$A$2:$A$6000,$A138,Avaliacoes!$F$2:$F$6000,"I",Avaliacoes!$H$2:$H$6000,0,Avaliacoes!$G$2:$G$6000,"&lt;&gt;")*Dimensoes!$E$2)</f>
        <v/>
      </c>
      <c r="K138" s="0" t="str">
        <f aca="false">IF($A138="","",COUNTIFS(Avaliacoes!$A$2:$A$6000,$A138,Avaliacoes!$F$2:$F$6000,"II",Avaliacoes!$H$2:$H$6000,0,Avaliacoes!$G$2:$G$6000,"&lt;&gt;")*Dimensoes!$E$3)</f>
        <v/>
      </c>
      <c r="L138" s="0" t="str">
        <f aca="false">IF($A138="","",COUNTIFS(Avaliacoes!$A$2:$A$6000,$A138,Avaliacoes!$F$2:$F$6000,"III",Avaliacoes!$H$2:$H$6000,0,Avaliacoes!$G$2:$G$6000,"&lt;&gt;")*Dimensoes!$E$4)</f>
        <v/>
      </c>
      <c r="M138" s="0" t="str">
        <f aca="false">IF($A138="","",COUNTIFS(Avaliacoes!$A$2:$A$6000,$A138,Avaliacoes!$F$2:$F$6000,"IV",Avaliacoes!$H$2:$H$6000,0,Avaliacoes!$G$2:$G$6000,"&lt;&gt;")*Dimensoes!$E$5)</f>
        <v/>
      </c>
      <c r="N138" s="9" t="str">
        <f aca="false">IF($A138="","",IF(J138&gt;0,F138/J138,""))</f>
        <v/>
      </c>
      <c r="O138" s="9" t="str">
        <f aca="false">IF($A138="","",IF(K138&gt;0,G138/K138,""))</f>
        <v/>
      </c>
      <c r="P138" s="9" t="str">
        <f aca="false">IF($A138="","",IF(L138&gt;0,H138/L138,""))</f>
        <v/>
      </c>
      <c r="Q138" s="9" t="str">
        <f aca="false">IF($A138="","",IF(M138&gt;0,I138/M138,""))</f>
        <v/>
      </c>
      <c r="R138" s="17" t="str">
        <f aca="false">IF($A138="","",IF((IF(N138="",0,Dimensoes!$C$2)+IF(O138="",0,Dimensoes!$C$3)+IF(P138="",0,Dimensoes!$C$4)+IF(Q138="",0,Dimensoes!$C$5))=0,"",(IF(N138="",0,N138*Dimensoes!$C$2)+IF(O138="",0,O138*Dimensoes!$C$3)+IF(P138="",0,P138*Dimensoes!$C$4)+IF(Q138="",0,Q138*Dimensoes!$C$5))/(IF(N138="",0,Dimensoes!$C$2)+IF(O138="",0,Dimensoes!$C$3)+IF(P138="",0,Dimensoes!$C$4)+IF(Q138="",0,Dimensoes!$C$5))))</f>
        <v/>
      </c>
      <c r="S138" s="0" t="str">
        <f aca="false">IF(R138="","",IF(R138&lt;Faixas!$C$3,"vermelho",IF(R138&lt;Faixas!$C$4,"amarelo","verde")))</f>
        <v/>
      </c>
      <c r="T138" s="9" t="str">
        <f aca="false">IF($A138="","",IF(N138="",0,N138*Dimensoes!$C$2)+IF(O138="",0,O138*Dimensoes!$C$3)+IF(P138="",0,P138*Dimensoes!$C$4)+IF(Q138="",0,Q138*Dimensoes!$C$5))</f>
        <v/>
      </c>
      <c r="U138" s="0" t="str">
        <f aca="false">IF($A138="","",IF(OR(E138="concluida",E138="incompleta"),1,0))</f>
        <v/>
      </c>
    </row>
    <row r="139" customFormat="false" ht="15" hidden="false" customHeight="false" outlineLevel="0" collapsed="false">
      <c r="A139" s="0" t="str">
        <f aca="false">IF(Visitas!A139="","",Visitas!A139)</f>
        <v/>
      </c>
      <c r="B139" s="0" t="str">
        <f aca="false">IF($A139="","",Visitas!C139)</f>
        <v/>
      </c>
      <c r="C139" s="7" t="str">
        <f aca="false">IF($A139="","",Visitas!D139)</f>
        <v/>
      </c>
      <c r="D139" s="0" t="str">
        <f aca="false">IF($A139="","",Visitas!B139)</f>
        <v/>
      </c>
      <c r="E139" s="0" t="str">
        <f aca="false">IF($A139="","",Visitas!F139)</f>
        <v/>
      </c>
      <c r="F139" s="0" t="str">
        <f aca="false">IF($A139="","",SUMIFS(Avaliacoes!$G$2:$G$6000,Avaliacoes!$A$2:$A$6000,$A139,Avaliacoes!$F$2:$F$6000,"I",Avaliacoes!$H$2:$H$6000,0))</f>
        <v/>
      </c>
      <c r="G139" s="0" t="str">
        <f aca="false">IF($A139="","",SUMIFS(Avaliacoes!$G$2:$G$6000,Avaliacoes!$A$2:$A$6000,$A139,Avaliacoes!$F$2:$F$6000,"II",Avaliacoes!$H$2:$H$6000,0))</f>
        <v/>
      </c>
      <c r="H139" s="0" t="str">
        <f aca="false">IF($A139="","",SUMIFS(Avaliacoes!$G$2:$G$6000,Avaliacoes!$A$2:$A$6000,$A139,Avaliacoes!$F$2:$F$6000,"III",Avaliacoes!$H$2:$H$6000,0))</f>
        <v/>
      </c>
      <c r="I139" s="0" t="str">
        <f aca="false">IF($A139="","",SUMIFS(Avaliacoes!$G$2:$G$6000,Avaliacoes!$A$2:$A$6000,$A139,Avaliacoes!$F$2:$F$6000,"IV",Avaliacoes!$H$2:$H$6000,0))</f>
        <v/>
      </c>
      <c r="J139" s="0" t="str">
        <f aca="false">IF($A139="","",COUNTIFS(Avaliacoes!$A$2:$A$6000,$A139,Avaliacoes!$F$2:$F$6000,"I",Avaliacoes!$H$2:$H$6000,0,Avaliacoes!$G$2:$G$6000,"&lt;&gt;")*Dimensoes!$E$2)</f>
        <v/>
      </c>
      <c r="K139" s="0" t="str">
        <f aca="false">IF($A139="","",COUNTIFS(Avaliacoes!$A$2:$A$6000,$A139,Avaliacoes!$F$2:$F$6000,"II",Avaliacoes!$H$2:$H$6000,0,Avaliacoes!$G$2:$G$6000,"&lt;&gt;")*Dimensoes!$E$3)</f>
        <v/>
      </c>
      <c r="L139" s="0" t="str">
        <f aca="false">IF($A139="","",COUNTIFS(Avaliacoes!$A$2:$A$6000,$A139,Avaliacoes!$F$2:$F$6000,"III",Avaliacoes!$H$2:$H$6000,0,Avaliacoes!$G$2:$G$6000,"&lt;&gt;")*Dimensoes!$E$4)</f>
        <v/>
      </c>
      <c r="M139" s="0" t="str">
        <f aca="false">IF($A139="","",COUNTIFS(Avaliacoes!$A$2:$A$6000,$A139,Avaliacoes!$F$2:$F$6000,"IV",Avaliacoes!$H$2:$H$6000,0,Avaliacoes!$G$2:$G$6000,"&lt;&gt;")*Dimensoes!$E$5)</f>
        <v/>
      </c>
      <c r="N139" s="9" t="str">
        <f aca="false">IF($A139="","",IF(J139&gt;0,F139/J139,""))</f>
        <v/>
      </c>
      <c r="O139" s="9" t="str">
        <f aca="false">IF($A139="","",IF(K139&gt;0,G139/K139,""))</f>
        <v/>
      </c>
      <c r="P139" s="9" t="str">
        <f aca="false">IF($A139="","",IF(L139&gt;0,H139/L139,""))</f>
        <v/>
      </c>
      <c r="Q139" s="9" t="str">
        <f aca="false">IF($A139="","",IF(M139&gt;0,I139/M139,""))</f>
        <v/>
      </c>
      <c r="R139" s="17" t="str">
        <f aca="false">IF($A139="","",IF((IF(N139="",0,Dimensoes!$C$2)+IF(O139="",0,Dimensoes!$C$3)+IF(P139="",0,Dimensoes!$C$4)+IF(Q139="",0,Dimensoes!$C$5))=0,"",(IF(N139="",0,N139*Dimensoes!$C$2)+IF(O139="",0,O139*Dimensoes!$C$3)+IF(P139="",0,P139*Dimensoes!$C$4)+IF(Q139="",0,Q139*Dimensoes!$C$5))/(IF(N139="",0,Dimensoes!$C$2)+IF(O139="",0,Dimensoes!$C$3)+IF(P139="",0,Dimensoes!$C$4)+IF(Q139="",0,Dimensoes!$C$5))))</f>
        <v/>
      </c>
      <c r="S139" s="0" t="str">
        <f aca="false">IF(R139="","",IF(R139&lt;Faixas!$C$3,"vermelho",IF(R139&lt;Faixas!$C$4,"amarelo","verde")))</f>
        <v/>
      </c>
      <c r="T139" s="9" t="str">
        <f aca="false">IF($A139="","",IF(N139="",0,N139*Dimensoes!$C$2)+IF(O139="",0,O139*Dimensoes!$C$3)+IF(P139="",0,P139*Dimensoes!$C$4)+IF(Q139="",0,Q139*Dimensoes!$C$5))</f>
        <v/>
      </c>
      <c r="U139" s="0" t="str">
        <f aca="false">IF($A139="","",IF(OR(E139="concluida",E139="incompleta"),1,0))</f>
        <v/>
      </c>
    </row>
    <row r="140" customFormat="false" ht="15" hidden="false" customHeight="false" outlineLevel="0" collapsed="false">
      <c r="A140" s="0" t="str">
        <f aca="false">IF(Visitas!A140="","",Visitas!A140)</f>
        <v/>
      </c>
      <c r="B140" s="0" t="str">
        <f aca="false">IF($A140="","",Visitas!C140)</f>
        <v/>
      </c>
      <c r="C140" s="7" t="str">
        <f aca="false">IF($A140="","",Visitas!D140)</f>
        <v/>
      </c>
      <c r="D140" s="0" t="str">
        <f aca="false">IF($A140="","",Visitas!B140)</f>
        <v/>
      </c>
      <c r="E140" s="0" t="str">
        <f aca="false">IF($A140="","",Visitas!F140)</f>
        <v/>
      </c>
      <c r="F140" s="0" t="str">
        <f aca="false">IF($A140="","",SUMIFS(Avaliacoes!$G$2:$G$6000,Avaliacoes!$A$2:$A$6000,$A140,Avaliacoes!$F$2:$F$6000,"I",Avaliacoes!$H$2:$H$6000,0))</f>
        <v/>
      </c>
      <c r="G140" s="0" t="str">
        <f aca="false">IF($A140="","",SUMIFS(Avaliacoes!$G$2:$G$6000,Avaliacoes!$A$2:$A$6000,$A140,Avaliacoes!$F$2:$F$6000,"II",Avaliacoes!$H$2:$H$6000,0))</f>
        <v/>
      </c>
      <c r="H140" s="0" t="str">
        <f aca="false">IF($A140="","",SUMIFS(Avaliacoes!$G$2:$G$6000,Avaliacoes!$A$2:$A$6000,$A140,Avaliacoes!$F$2:$F$6000,"III",Avaliacoes!$H$2:$H$6000,0))</f>
        <v/>
      </c>
      <c r="I140" s="0" t="str">
        <f aca="false">IF($A140="","",SUMIFS(Avaliacoes!$G$2:$G$6000,Avaliacoes!$A$2:$A$6000,$A140,Avaliacoes!$F$2:$F$6000,"IV",Avaliacoes!$H$2:$H$6000,0))</f>
        <v/>
      </c>
      <c r="J140" s="0" t="str">
        <f aca="false">IF($A140="","",COUNTIFS(Avaliacoes!$A$2:$A$6000,$A140,Avaliacoes!$F$2:$F$6000,"I",Avaliacoes!$H$2:$H$6000,0,Avaliacoes!$G$2:$G$6000,"&lt;&gt;")*Dimensoes!$E$2)</f>
        <v/>
      </c>
      <c r="K140" s="0" t="str">
        <f aca="false">IF($A140="","",COUNTIFS(Avaliacoes!$A$2:$A$6000,$A140,Avaliacoes!$F$2:$F$6000,"II",Avaliacoes!$H$2:$H$6000,0,Avaliacoes!$G$2:$G$6000,"&lt;&gt;")*Dimensoes!$E$3)</f>
        <v/>
      </c>
      <c r="L140" s="0" t="str">
        <f aca="false">IF($A140="","",COUNTIFS(Avaliacoes!$A$2:$A$6000,$A140,Avaliacoes!$F$2:$F$6000,"III",Avaliacoes!$H$2:$H$6000,0,Avaliacoes!$G$2:$G$6000,"&lt;&gt;")*Dimensoes!$E$4)</f>
        <v/>
      </c>
      <c r="M140" s="0" t="str">
        <f aca="false">IF($A140="","",COUNTIFS(Avaliacoes!$A$2:$A$6000,$A140,Avaliacoes!$F$2:$F$6000,"IV",Avaliacoes!$H$2:$H$6000,0,Avaliacoes!$G$2:$G$6000,"&lt;&gt;")*Dimensoes!$E$5)</f>
        <v/>
      </c>
      <c r="N140" s="9" t="str">
        <f aca="false">IF($A140="","",IF(J140&gt;0,F140/J140,""))</f>
        <v/>
      </c>
      <c r="O140" s="9" t="str">
        <f aca="false">IF($A140="","",IF(K140&gt;0,G140/K140,""))</f>
        <v/>
      </c>
      <c r="P140" s="9" t="str">
        <f aca="false">IF($A140="","",IF(L140&gt;0,H140/L140,""))</f>
        <v/>
      </c>
      <c r="Q140" s="9" t="str">
        <f aca="false">IF($A140="","",IF(M140&gt;0,I140/M140,""))</f>
        <v/>
      </c>
      <c r="R140" s="17" t="str">
        <f aca="false">IF($A140="","",IF((IF(N140="",0,Dimensoes!$C$2)+IF(O140="",0,Dimensoes!$C$3)+IF(P140="",0,Dimensoes!$C$4)+IF(Q140="",0,Dimensoes!$C$5))=0,"",(IF(N140="",0,N140*Dimensoes!$C$2)+IF(O140="",0,O140*Dimensoes!$C$3)+IF(P140="",0,P140*Dimensoes!$C$4)+IF(Q140="",0,Q140*Dimensoes!$C$5))/(IF(N140="",0,Dimensoes!$C$2)+IF(O140="",0,Dimensoes!$C$3)+IF(P140="",0,Dimensoes!$C$4)+IF(Q140="",0,Dimensoes!$C$5))))</f>
        <v/>
      </c>
      <c r="S140" s="0" t="str">
        <f aca="false">IF(R140="","",IF(R140&lt;Faixas!$C$3,"vermelho",IF(R140&lt;Faixas!$C$4,"amarelo","verde")))</f>
        <v/>
      </c>
      <c r="T140" s="9" t="str">
        <f aca="false">IF($A140="","",IF(N140="",0,N140*Dimensoes!$C$2)+IF(O140="",0,O140*Dimensoes!$C$3)+IF(P140="",0,P140*Dimensoes!$C$4)+IF(Q140="",0,Q140*Dimensoes!$C$5))</f>
        <v/>
      </c>
      <c r="U140" s="0" t="str">
        <f aca="false">IF($A140="","",IF(OR(E140="concluida",E140="incompleta"),1,0))</f>
        <v/>
      </c>
    </row>
    <row r="141" customFormat="false" ht="15" hidden="false" customHeight="false" outlineLevel="0" collapsed="false">
      <c r="A141" s="0" t="str">
        <f aca="false">IF(Visitas!A141="","",Visitas!A141)</f>
        <v/>
      </c>
      <c r="B141" s="0" t="str">
        <f aca="false">IF($A141="","",Visitas!C141)</f>
        <v/>
      </c>
      <c r="C141" s="7" t="str">
        <f aca="false">IF($A141="","",Visitas!D141)</f>
        <v/>
      </c>
      <c r="D141" s="0" t="str">
        <f aca="false">IF($A141="","",Visitas!B141)</f>
        <v/>
      </c>
      <c r="E141" s="0" t="str">
        <f aca="false">IF($A141="","",Visitas!F141)</f>
        <v/>
      </c>
      <c r="F141" s="0" t="str">
        <f aca="false">IF($A141="","",SUMIFS(Avaliacoes!$G$2:$G$6000,Avaliacoes!$A$2:$A$6000,$A141,Avaliacoes!$F$2:$F$6000,"I",Avaliacoes!$H$2:$H$6000,0))</f>
        <v/>
      </c>
      <c r="G141" s="0" t="str">
        <f aca="false">IF($A141="","",SUMIFS(Avaliacoes!$G$2:$G$6000,Avaliacoes!$A$2:$A$6000,$A141,Avaliacoes!$F$2:$F$6000,"II",Avaliacoes!$H$2:$H$6000,0))</f>
        <v/>
      </c>
      <c r="H141" s="0" t="str">
        <f aca="false">IF($A141="","",SUMIFS(Avaliacoes!$G$2:$G$6000,Avaliacoes!$A$2:$A$6000,$A141,Avaliacoes!$F$2:$F$6000,"III",Avaliacoes!$H$2:$H$6000,0))</f>
        <v/>
      </c>
      <c r="I141" s="0" t="str">
        <f aca="false">IF($A141="","",SUMIFS(Avaliacoes!$G$2:$G$6000,Avaliacoes!$A$2:$A$6000,$A141,Avaliacoes!$F$2:$F$6000,"IV",Avaliacoes!$H$2:$H$6000,0))</f>
        <v/>
      </c>
      <c r="J141" s="0" t="str">
        <f aca="false">IF($A141="","",COUNTIFS(Avaliacoes!$A$2:$A$6000,$A141,Avaliacoes!$F$2:$F$6000,"I",Avaliacoes!$H$2:$H$6000,0,Avaliacoes!$G$2:$G$6000,"&lt;&gt;")*Dimensoes!$E$2)</f>
        <v/>
      </c>
      <c r="K141" s="0" t="str">
        <f aca="false">IF($A141="","",COUNTIFS(Avaliacoes!$A$2:$A$6000,$A141,Avaliacoes!$F$2:$F$6000,"II",Avaliacoes!$H$2:$H$6000,0,Avaliacoes!$G$2:$G$6000,"&lt;&gt;")*Dimensoes!$E$3)</f>
        <v/>
      </c>
      <c r="L141" s="0" t="str">
        <f aca="false">IF($A141="","",COUNTIFS(Avaliacoes!$A$2:$A$6000,$A141,Avaliacoes!$F$2:$F$6000,"III",Avaliacoes!$H$2:$H$6000,0,Avaliacoes!$G$2:$G$6000,"&lt;&gt;")*Dimensoes!$E$4)</f>
        <v/>
      </c>
      <c r="M141" s="0" t="str">
        <f aca="false">IF($A141="","",COUNTIFS(Avaliacoes!$A$2:$A$6000,$A141,Avaliacoes!$F$2:$F$6000,"IV",Avaliacoes!$H$2:$H$6000,0,Avaliacoes!$G$2:$G$6000,"&lt;&gt;")*Dimensoes!$E$5)</f>
        <v/>
      </c>
      <c r="N141" s="9" t="str">
        <f aca="false">IF($A141="","",IF(J141&gt;0,F141/J141,""))</f>
        <v/>
      </c>
      <c r="O141" s="9" t="str">
        <f aca="false">IF($A141="","",IF(K141&gt;0,G141/K141,""))</f>
        <v/>
      </c>
      <c r="P141" s="9" t="str">
        <f aca="false">IF($A141="","",IF(L141&gt;0,H141/L141,""))</f>
        <v/>
      </c>
      <c r="Q141" s="9" t="str">
        <f aca="false">IF($A141="","",IF(M141&gt;0,I141/M141,""))</f>
        <v/>
      </c>
      <c r="R141" s="17" t="str">
        <f aca="false">IF($A141="","",IF((IF(N141="",0,Dimensoes!$C$2)+IF(O141="",0,Dimensoes!$C$3)+IF(P141="",0,Dimensoes!$C$4)+IF(Q141="",0,Dimensoes!$C$5))=0,"",(IF(N141="",0,N141*Dimensoes!$C$2)+IF(O141="",0,O141*Dimensoes!$C$3)+IF(P141="",0,P141*Dimensoes!$C$4)+IF(Q141="",0,Q141*Dimensoes!$C$5))/(IF(N141="",0,Dimensoes!$C$2)+IF(O141="",0,Dimensoes!$C$3)+IF(P141="",0,Dimensoes!$C$4)+IF(Q141="",0,Dimensoes!$C$5))))</f>
        <v/>
      </c>
      <c r="S141" s="0" t="str">
        <f aca="false">IF(R141="","",IF(R141&lt;Faixas!$C$3,"vermelho",IF(R141&lt;Faixas!$C$4,"amarelo","verde")))</f>
        <v/>
      </c>
      <c r="T141" s="9" t="str">
        <f aca="false">IF($A141="","",IF(N141="",0,N141*Dimensoes!$C$2)+IF(O141="",0,O141*Dimensoes!$C$3)+IF(P141="",0,P141*Dimensoes!$C$4)+IF(Q141="",0,Q141*Dimensoes!$C$5))</f>
        <v/>
      </c>
      <c r="U141" s="0" t="str">
        <f aca="false">IF($A141="","",IF(OR(E141="concluida",E141="incompleta"),1,0))</f>
        <v/>
      </c>
    </row>
    <row r="142" customFormat="false" ht="15" hidden="false" customHeight="false" outlineLevel="0" collapsed="false">
      <c r="A142" s="0" t="str">
        <f aca="false">IF(Visitas!A142="","",Visitas!A142)</f>
        <v/>
      </c>
      <c r="B142" s="0" t="str">
        <f aca="false">IF($A142="","",Visitas!C142)</f>
        <v/>
      </c>
      <c r="C142" s="7" t="str">
        <f aca="false">IF($A142="","",Visitas!D142)</f>
        <v/>
      </c>
      <c r="D142" s="0" t="str">
        <f aca="false">IF($A142="","",Visitas!B142)</f>
        <v/>
      </c>
      <c r="E142" s="0" t="str">
        <f aca="false">IF($A142="","",Visitas!F142)</f>
        <v/>
      </c>
      <c r="F142" s="0" t="str">
        <f aca="false">IF($A142="","",SUMIFS(Avaliacoes!$G$2:$G$6000,Avaliacoes!$A$2:$A$6000,$A142,Avaliacoes!$F$2:$F$6000,"I",Avaliacoes!$H$2:$H$6000,0))</f>
        <v/>
      </c>
      <c r="G142" s="0" t="str">
        <f aca="false">IF($A142="","",SUMIFS(Avaliacoes!$G$2:$G$6000,Avaliacoes!$A$2:$A$6000,$A142,Avaliacoes!$F$2:$F$6000,"II",Avaliacoes!$H$2:$H$6000,0))</f>
        <v/>
      </c>
      <c r="H142" s="0" t="str">
        <f aca="false">IF($A142="","",SUMIFS(Avaliacoes!$G$2:$G$6000,Avaliacoes!$A$2:$A$6000,$A142,Avaliacoes!$F$2:$F$6000,"III",Avaliacoes!$H$2:$H$6000,0))</f>
        <v/>
      </c>
      <c r="I142" s="0" t="str">
        <f aca="false">IF($A142="","",SUMIFS(Avaliacoes!$G$2:$G$6000,Avaliacoes!$A$2:$A$6000,$A142,Avaliacoes!$F$2:$F$6000,"IV",Avaliacoes!$H$2:$H$6000,0))</f>
        <v/>
      </c>
      <c r="J142" s="0" t="str">
        <f aca="false">IF($A142="","",COUNTIFS(Avaliacoes!$A$2:$A$6000,$A142,Avaliacoes!$F$2:$F$6000,"I",Avaliacoes!$H$2:$H$6000,0,Avaliacoes!$G$2:$G$6000,"&lt;&gt;")*Dimensoes!$E$2)</f>
        <v/>
      </c>
      <c r="K142" s="0" t="str">
        <f aca="false">IF($A142="","",COUNTIFS(Avaliacoes!$A$2:$A$6000,$A142,Avaliacoes!$F$2:$F$6000,"II",Avaliacoes!$H$2:$H$6000,0,Avaliacoes!$G$2:$G$6000,"&lt;&gt;")*Dimensoes!$E$3)</f>
        <v/>
      </c>
      <c r="L142" s="0" t="str">
        <f aca="false">IF($A142="","",COUNTIFS(Avaliacoes!$A$2:$A$6000,$A142,Avaliacoes!$F$2:$F$6000,"III",Avaliacoes!$H$2:$H$6000,0,Avaliacoes!$G$2:$G$6000,"&lt;&gt;")*Dimensoes!$E$4)</f>
        <v/>
      </c>
      <c r="M142" s="0" t="str">
        <f aca="false">IF($A142="","",COUNTIFS(Avaliacoes!$A$2:$A$6000,$A142,Avaliacoes!$F$2:$F$6000,"IV",Avaliacoes!$H$2:$H$6000,0,Avaliacoes!$G$2:$G$6000,"&lt;&gt;")*Dimensoes!$E$5)</f>
        <v/>
      </c>
      <c r="N142" s="9" t="str">
        <f aca="false">IF($A142="","",IF(J142&gt;0,F142/J142,""))</f>
        <v/>
      </c>
      <c r="O142" s="9" t="str">
        <f aca="false">IF($A142="","",IF(K142&gt;0,G142/K142,""))</f>
        <v/>
      </c>
      <c r="P142" s="9" t="str">
        <f aca="false">IF($A142="","",IF(L142&gt;0,H142/L142,""))</f>
        <v/>
      </c>
      <c r="Q142" s="9" t="str">
        <f aca="false">IF($A142="","",IF(M142&gt;0,I142/M142,""))</f>
        <v/>
      </c>
      <c r="R142" s="17" t="str">
        <f aca="false">IF($A142="","",IF((IF(N142="",0,Dimensoes!$C$2)+IF(O142="",0,Dimensoes!$C$3)+IF(P142="",0,Dimensoes!$C$4)+IF(Q142="",0,Dimensoes!$C$5))=0,"",(IF(N142="",0,N142*Dimensoes!$C$2)+IF(O142="",0,O142*Dimensoes!$C$3)+IF(P142="",0,P142*Dimensoes!$C$4)+IF(Q142="",0,Q142*Dimensoes!$C$5))/(IF(N142="",0,Dimensoes!$C$2)+IF(O142="",0,Dimensoes!$C$3)+IF(P142="",0,Dimensoes!$C$4)+IF(Q142="",0,Dimensoes!$C$5))))</f>
        <v/>
      </c>
      <c r="S142" s="0" t="str">
        <f aca="false">IF(R142="","",IF(R142&lt;Faixas!$C$3,"vermelho",IF(R142&lt;Faixas!$C$4,"amarelo","verde")))</f>
        <v/>
      </c>
      <c r="T142" s="9" t="str">
        <f aca="false">IF($A142="","",IF(N142="",0,N142*Dimensoes!$C$2)+IF(O142="",0,O142*Dimensoes!$C$3)+IF(P142="",0,P142*Dimensoes!$C$4)+IF(Q142="",0,Q142*Dimensoes!$C$5))</f>
        <v/>
      </c>
      <c r="U142" s="0" t="str">
        <f aca="false">IF($A142="","",IF(OR(E142="concluida",E142="incompleta"),1,0))</f>
        <v/>
      </c>
    </row>
    <row r="143" customFormat="false" ht="15" hidden="false" customHeight="false" outlineLevel="0" collapsed="false">
      <c r="A143" s="0" t="str">
        <f aca="false">IF(Visitas!A143="","",Visitas!A143)</f>
        <v/>
      </c>
      <c r="B143" s="0" t="str">
        <f aca="false">IF($A143="","",Visitas!C143)</f>
        <v/>
      </c>
      <c r="C143" s="7" t="str">
        <f aca="false">IF($A143="","",Visitas!D143)</f>
        <v/>
      </c>
      <c r="D143" s="0" t="str">
        <f aca="false">IF($A143="","",Visitas!B143)</f>
        <v/>
      </c>
      <c r="E143" s="0" t="str">
        <f aca="false">IF($A143="","",Visitas!F143)</f>
        <v/>
      </c>
      <c r="F143" s="0" t="str">
        <f aca="false">IF($A143="","",SUMIFS(Avaliacoes!$G$2:$G$6000,Avaliacoes!$A$2:$A$6000,$A143,Avaliacoes!$F$2:$F$6000,"I",Avaliacoes!$H$2:$H$6000,0))</f>
        <v/>
      </c>
      <c r="G143" s="0" t="str">
        <f aca="false">IF($A143="","",SUMIFS(Avaliacoes!$G$2:$G$6000,Avaliacoes!$A$2:$A$6000,$A143,Avaliacoes!$F$2:$F$6000,"II",Avaliacoes!$H$2:$H$6000,0))</f>
        <v/>
      </c>
      <c r="H143" s="0" t="str">
        <f aca="false">IF($A143="","",SUMIFS(Avaliacoes!$G$2:$G$6000,Avaliacoes!$A$2:$A$6000,$A143,Avaliacoes!$F$2:$F$6000,"III",Avaliacoes!$H$2:$H$6000,0))</f>
        <v/>
      </c>
      <c r="I143" s="0" t="str">
        <f aca="false">IF($A143="","",SUMIFS(Avaliacoes!$G$2:$G$6000,Avaliacoes!$A$2:$A$6000,$A143,Avaliacoes!$F$2:$F$6000,"IV",Avaliacoes!$H$2:$H$6000,0))</f>
        <v/>
      </c>
      <c r="J143" s="0" t="str">
        <f aca="false">IF($A143="","",COUNTIFS(Avaliacoes!$A$2:$A$6000,$A143,Avaliacoes!$F$2:$F$6000,"I",Avaliacoes!$H$2:$H$6000,0,Avaliacoes!$G$2:$G$6000,"&lt;&gt;")*Dimensoes!$E$2)</f>
        <v/>
      </c>
      <c r="K143" s="0" t="str">
        <f aca="false">IF($A143="","",COUNTIFS(Avaliacoes!$A$2:$A$6000,$A143,Avaliacoes!$F$2:$F$6000,"II",Avaliacoes!$H$2:$H$6000,0,Avaliacoes!$G$2:$G$6000,"&lt;&gt;")*Dimensoes!$E$3)</f>
        <v/>
      </c>
      <c r="L143" s="0" t="str">
        <f aca="false">IF($A143="","",COUNTIFS(Avaliacoes!$A$2:$A$6000,$A143,Avaliacoes!$F$2:$F$6000,"III",Avaliacoes!$H$2:$H$6000,0,Avaliacoes!$G$2:$G$6000,"&lt;&gt;")*Dimensoes!$E$4)</f>
        <v/>
      </c>
      <c r="M143" s="0" t="str">
        <f aca="false">IF($A143="","",COUNTIFS(Avaliacoes!$A$2:$A$6000,$A143,Avaliacoes!$F$2:$F$6000,"IV",Avaliacoes!$H$2:$H$6000,0,Avaliacoes!$G$2:$G$6000,"&lt;&gt;")*Dimensoes!$E$5)</f>
        <v/>
      </c>
      <c r="N143" s="9" t="str">
        <f aca="false">IF($A143="","",IF(J143&gt;0,F143/J143,""))</f>
        <v/>
      </c>
      <c r="O143" s="9" t="str">
        <f aca="false">IF($A143="","",IF(K143&gt;0,G143/K143,""))</f>
        <v/>
      </c>
      <c r="P143" s="9" t="str">
        <f aca="false">IF($A143="","",IF(L143&gt;0,H143/L143,""))</f>
        <v/>
      </c>
      <c r="Q143" s="9" t="str">
        <f aca="false">IF($A143="","",IF(M143&gt;0,I143/M143,""))</f>
        <v/>
      </c>
      <c r="R143" s="17" t="str">
        <f aca="false">IF($A143="","",IF((IF(N143="",0,Dimensoes!$C$2)+IF(O143="",0,Dimensoes!$C$3)+IF(P143="",0,Dimensoes!$C$4)+IF(Q143="",0,Dimensoes!$C$5))=0,"",(IF(N143="",0,N143*Dimensoes!$C$2)+IF(O143="",0,O143*Dimensoes!$C$3)+IF(P143="",0,P143*Dimensoes!$C$4)+IF(Q143="",0,Q143*Dimensoes!$C$5))/(IF(N143="",0,Dimensoes!$C$2)+IF(O143="",0,Dimensoes!$C$3)+IF(P143="",0,Dimensoes!$C$4)+IF(Q143="",0,Dimensoes!$C$5))))</f>
        <v/>
      </c>
      <c r="S143" s="0" t="str">
        <f aca="false">IF(R143="","",IF(R143&lt;Faixas!$C$3,"vermelho",IF(R143&lt;Faixas!$C$4,"amarelo","verde")))</f>
        <v/>
      </c>
      <c r="T143" s="9" t="str">
        <f aca="false">IF($A143="","",IF(N143="",0,N143*Dimensoes!$C$2)+IF(O143="",0,O143*Dimensoes!$C$3)+IF(P143="",0,P143*Dimensoes!$C$4)+IF(Q143="",0,Q143*Dimensoes!$C$5))</f>
        <v/>
      </c>
      <c r="U143" s="0" t="str">
        <f aca="false">IF($A143="","",IF(OR(E143="concluida",E143="incompleta"),1,0))</f>
        <v/>
      </c>
    </row>
    <row r="144" customFormat="false" ht="15" hidden="false" customHeight="false" outlineLevel="0" collapsed="false">
      <c r="A144" s="0" t="str">
        <f aca="false">IF(Visitas!A144="","",Visitas!A144)</f>
        <v/>
      </c>
      <c r="B144" s="0" t="str">
        <f aca="false">IF($A144="","",Visitas!C144)</f>
        <v/>
      </c>
      <c r="C144" s="7" t="str">
        <f aca="false">IF($A144="","",Visitas!D144)</f>
        <v/>
      </c>
      <c r="D144" s="0" t="str">
        <f aca="false">IF($A144="","",Visitas!B144)</f>
        <v/>
      </c>
      <c r="E144" s="0" t="str">
        <f aca="false">IF($A144="","",Visitas!F144)</f>
        <v/>
      </c>
      <c r="F144" s="0" t="str">
        <f aca="false">IF($A144="","",SUMIFS(Avaliacoes!$G$2:$G$6000,Avaliacoes!$A$2:$A$6000,$A144,Avaliacoes!$F$2:$F$6000,"I",Avaliacoes!$H$2:$H$6000,0))</f>
        <v/>
      </c>
      <c r="G144" s="0" t="str">
        <f aca="false">IF($A144="","",SUMIFS(Avaliacoes!$G$2:$G$6000,Avaliacoes!$A$2:$A$6000,$A144,Avaliacoes!$F$2:$F$6000,"II",Avaliacoes!$H$2:$H$6000,0))</f>
        <v/>
      </c>
      <c r="H144" s="0" t="str">
        <f aca="false">IF($A144="","",SUMIFS(Avaliacoes!$G$2:$G$6000,Avaliacoes!$A$2:$A$6000,$A144,Avaliacoes!$F$2:$F$6000,"III",Avaliacoes!$H$2:$H$6000,0))</f>
        <v/>
      </c>
      <c r="I144" s="0" t="str">
        <f aca="false">IF($A144="","",SUMIFS(Avaliacoes!$G$2:$G$6000,Avaliacoes!$A$2:$A$6000,$A144,Avaliacoes!$F$2:$F$6000,"IV",Avaliacoes!$H$2:$H$6000,0))</f>
        <v/>
      </c>
      <c r="J144" s="0" t="str">
        <f aca="false">IF($A144="","",COUNTIFS(Avaliacoes!$A$2:$A$6000,$A144,Avaliacoes!$F$2:$F$6000,"I",Avaliacoes!$H$2:$H$6000,0,Avaliacoes!$G$2:$G$6000,"&lt;&gt;")*Dimensoes!$E$2)</f>
        <v/>
      </c>
      <c r="K144" s="0" t="str">
        <f aca="false">IF($A144="","",COUNTIFS(Avaliacoes!$A$2:$A$6000,$A144,Avaliacoes!$F$2:$F$6000,"II",Avaliacoes!$H$2:$H$6000,0,Avaliacoes!$G$2:$G$6000,"&lt;&gt;")*Dimensoes!$E$3)</f>
        <v/>
      </c>
      <c r="L144" s="0" t="str">
        <f aca="false">IF($A144="","",COUNTIFS(Avaliacoes!$A$2:$A$6000,$A144,Avaliacoes!$F$2:$F$6000,"III",Avaliacoes!$H$2:$H$6000,0,Avaliacoes!$G$2:$G$6000,"&lt;&gt;")*Dimensoes!$E$4)</f>
        <v/>
      </c>
      <c r="M144" s="0" t="str">
        <f aca="false">IF($A144="","",COUNTIFS(Avaliacoes!$A$2:$A$6000,$A144,Avaliacoes!$F$2:$F$6000,"IV",Avaliacoes!$H$2:$H$6000,0,Avaliacoes!$G$2:$G$6000,"&lt;&gt;")*Dimensoes!$E$5)</f>
        <v/>
      </c>
      <c r="N144" s="9" t="str">
        <f aca="false">IF($A144="","",IF(J144&gt;0,F144/J144,""))</f>
        <v/>
      </c>
      <c r="O144" s="9" t="str">
        <f aca="false">IF($A144="","",IF(K144&gt;0,G144/K144,""))</f>
        <v/>
      </c>
      <c r="P144" s="9" t="str">
        <f aca="false">IF($A144="","",IF(L144&gt;0,H144/L144,""))</f>
        <v/>
      </c>
      <c r="Q144" s="9" t="str">
        <f aca="false">IF($A144="","",IF(M144&gt;0,I144/M144,""))</f>
        <v/>
      </c>
      <c r="R144" s="17" t="str">
        <f aca="false">IF($A144="","",IF((IF(N144="",0,Dimensoes!$C$2)+IF(O144="",0,Dimensoes!$C$3)+IF(P144="",0,Dimensoes!$C$4)+IF(Q144="",0,Dimensoes!$C$5))=0,"",(IF(N144="",0,N144*Dimensoes!$C$2)+IF(O144="",0,O144*Dimensoes!$C$3)+IF(P144="",0,P144*Dimensoes!$C$4)+IF(Q144="",0,Q144*Dimensoes!$C$5))/(IF(N144="",0,Dimensoes!$C$2)+IF(O144="",0,Dimensoes!$C$3)+IF(P144="",0,Dimensoes!$C$4)+IF(Q144="",0,Dimensoes!$C$5))))</f>
        <v/>
      </c>
      <c r="S144" s="0" t="str">
        <f aca="false">IF(R144="","",IF(R144&lt;Faixas!$C$3,"vermelho",IF(R144&lt;Faixas!$C$4,"amarelo","verde")))</f>
        <v/>
      </c>
      <c r="T144" s="9" t="str">
        <f aca="false">IF($A144="","",IF(N144="",0,N144*Dimensoes!$C$2)+IF(O144="",0,O144*Dimensoes!$C$3)+IF(P144="",0,P144*Dimensoes!$C$4)+IF(Q144="",0,Q144*Dimensoes!$C$5))</f>
        <v/>
      </c>
      <c r="U144" s="0" t="str">
        <f aca="false">IF($A144="","",IF(OR(E144="concluida",E144="incompleta"),1,0))</f>
        <v/>
      </c>
    </row>
    <row r="145" customFormat="false" ht="15" hidden="false" customHeight="false" outlineLevel="0" collapsed="false">
      <c r="A145" s="0" t="str">
        <f aca="false">IF(Visitas!A145="","",Visitas!A145)</f>
        <v/>
      </c>
      <c r="B145" s="0" t="str">
        <f aca="false">IF($A145="","",Visitas!C145)</f>
        <v/>
      </c>
      <c r="C145" s="7" t="str">
        <f aca="false">IF($A145="","",Visitas!D145)</f>
        <v/>
      </c>
      <c r="D145" s="0" t="str">
        <f aca="false">IF($A145="","",Visitas!B145)</f>
        <v/>
      </c>
      <c r="E145" s="0" t="str">
        <f aca="false">IF($A145="","",Visitas!F145)</f>
        <v/>
      </c>
      <c r="F145" s="0" t="str">
        <f aca="false">IF($A145="","",SUMIFS(Avaliacoes!$G$2:$G$6000,Avaliacoes!$A$2:$A$6000,$A145,Avaliacoes!$F$2:$F$6000,"I",Avaliacoes!$H$2:$H$6000,0))</f>
        <v/>
      </c>
      <c r="G145" s="0" t="str">
        <f aca="false">IF($A145="","",SUMIFS(Avaliacoes!$G$2:$G$6000,Avaliacoes!$A$2:$A$6000,$A145,Avaliacoes!$F$2:$F$6000,"II",Avaliacoes!$H$2:$H$6000,0))</f>
        <v/>
      </c>
      <c r="H145" s="0" t="str">
        <f aca="false">IF($A145="","",SUMIFS(Avaliacoes!$G$2:$G$6000,Avaliacoes!$A$2:$A$6000,$A145,Avaliacoes!$F$2:$F$6000,"III",Avaliacoes!$H$2:$H$6000,0))</f>
        <v/>
      </c>
      <c r="I145" s="0" t="str">
        <f aca="false">IF($A145="","",SUMIFS(Avaliacoes!$G$2:$G$6000,Avaliacoes!$A$2:$A$6000,$A145,Avaliacoes!$F$2:$F$6000,"IV",Avaliacoes!$H$2:$H$6000,0))</f>
        <v/>
      </c>
      <c r="J145" s="0" t="str">
        <f aca="false">IF($A145="","",COUNTIFS(Avaliacoes!$A$2:$A$6000,$A145,Avaliacoes!$F$2:$F$6000,"I",Avaliacoes!$H$2:$H$6000,0,Avaliacoes!$G$2:$G$6000,"&lt;&gt;")*Dimensoes!$E$2)</f>
        <v/>
      </c>
      <c r="K145" s="0" t="str">
        <f aca="false">IF($A145="","",COUNTIFS(Avaliacoes!$A$2:$A$6000,$A145,Avaliacoes!$F$2:$F$6000,"II",Avaliacoes!$H$2:$H$6000,0,Avaliacoes!$G$2:$G$6000,"&lt;&gt;")*Dimensoes!$E$3)</f>
        <v/>
      </c>
      <c r="L145" s="0" t="str">
        <f aca="false">IF($A145="","",COUNTIFS(Avaliacoes!$A$2:$A$6000,$A145,Avaliacoes!$F$2:$F$6000,"III",Avaliacoes!$H$2:$H$6000,0,Avaliacoes!$G$2:$G$6000,"&lt;&gt;")*Dimensoes!$E$4)</f>
        <v/>
      </c>
      <c r="M145" s="0" t="str">
        <f aca="false">IF($A145="","",COUNTIFS(Avaliacoes!$A$2:$A$6000,$A145,Avaliacoes!$F$2:$F$6000,"IV",Avaliacoes!$H$2:$H$6000,0,Avaliacoes!$G$2:$G$6000,"&lt;&gt;")*Dimensoes!$E$5)</f>
        <v/>
      </c>
      <c r="N145" s="9" t="str">
        <f aca="false">IF($A145="","",IF(J145&gt;0,F145/J145,""))</f>
        <v/>
      </c>
      <c r="O145" s="9" t="str">
        <f aca="false">IF($A145="","",IF(K145&gt;0,G145/K145,""))</f>
        <v/>
      </c>
      <c r="P145" s="9" t="str">
        <f aca="false">IF($A145="","",IF(L145&gt;0,H145/L145,""))</f>
        <v/>
      </c>
      <c r="Q145" s="9" t="str">
        <f aca="false">IF($A145="","",IF(M145&gt;0,I145/M145,""))</f>
        <v/>
      </c>
      <c r="R145" s="17" t="str">
        <f aca="false">IF($A145="","",IF((IF(N145="",0,Dimensoes!$C$2)+IF(O145="",0,Dimensoes!$C$3)+IF(P145="",0,Dimensoes!$C$4)+IF(Q145="",0,Dimensoes!$C$5))=0,"",(IF(N145="",0,N145*Dimensoes!$C$2)+IF(O145="",0,O145*Dimensoes!$C$3)+IF(P145="",0,P145*Dimensoes!$C$4)+IF(Q145="",0,Q145*Dimensoes!$C$5))/(IF(N145="",0,Dimensoes!$C$2)+IF(O145="",0,Dimensoes!$C$3)+IF(P145="",0,Dimensoes!$C$4)+IF(Q145="",0,Dimensoes!$C$5))))</f>
        <v/>
      </c>
      <c r="S145" s="0" t="str">
        <f aca="false">IF(R145="","",IF(R145&lt;Faixas!$C$3,"vermelho",IF(R145&lt;Faixas!$C$4,"amarelo","verde")))</f>
        <v/>
      </c>
      <c r="T145" s="9" t="str">
        <f aca="false">IF($A145="","",IF(N145="",0,N145*Dimensoes!$C$2)+IF(O145="",0,O145*Dimensoes!$C$3)+IF(P145="",0,P145*Dimensoes!$C$4)+IF(Q145="",0,Q145*Dimensoes!$C$5))</f>
        <v/>
      </c>
      <c r="U145" s="0" t="str">
        <f aca="false">IF($A145="","",IF(OR(E145="concluida",E145="incompleta"),1,0))</f>
        <v/>
      </c>
    </row>
    <row r="146" customFormat="false" ht="15" hidden="false" customHeight="false" outlineLevel="0" collapsed="false">
      <c r="A146" s="0" t="str">
        <f aca="false">IF(Visitas!A146="","",Visitas!A146)</f>
        <v/>
      </c>
      <c r="B146" s="0" t="str">
        <f aca="false">IF($A146="","",Visitas!C146)</f>
        <v/>
      </c>
      <c r="C146" s="7" t="str">
        <f aca="false">IF($A146="","",Visitas!D146)</f>
        <v/>
      </c>
      <c r="D146" s="0" t="str">
        <f aca="false">IF($A146="","",Visitas!B146)</f>
        <v/>
      </c>
      <c r="E146" s="0" t="str">
        <f aca="false">IF($A146="","",Visitas!F146)</f>
        <v/>
      </c>
      <c r="F146" s="0" t="str">
        <f aca="false">IF($A146="","",SUMIFS(Avaliacoes!$G$2:$G$6000,Avaliacoes!$A$2:$A$6000,$A146,Avaliacoes!$F$2:$F$6000,"I",Avaliacoes!$H$2:$H$6000,0))</f>
        <v/>
      </c>
      <c r="G146" s="0" t="str">
        <f aca="false">IF($A146="","",SUMIFS(Avaliacoes!$G$2:$G$6000,Avaliacoes!$A$2:$A$6000,$A146,Avaliacoes!$F$2:$F$6000,"II",Avaliacoes!$H$2:$H$6000,0))</f>
        <v/>
      </c>
      <c r="H146" s="0" t="str">
        <f aca="false">IF($A146="","",SUMIFS(Avaliacoes!$G$2:$G$6000,Avaliacoes!$A$2:$A$6000,$A146,Avaliacoes!$F$2:$F$6000,"III",Avaliacoes!$H$2:$H$6000,0))</f>
        <v/>
      </c>
      <c r="I146" s="0" t="str">
        <f aca="false">IF($A146="","",SUMIFS(Avaliacoes!$G$2:$G$6000,Avaliacoes!$A$2:$A$6000,$A146,Avaliacoes!$F$2:$F$6000,"IV",Avaliacoes!$H$2:$H$6000,0))</f>
        <v/>
      </c>
      <c r="J146" s="0" t="str">
        <f aca="false">IF($A146="","",COUNTIFS(Avaliacoes!$A$2:$A$6000,$A146,Avaliacoes!$F$2:$F$6000,"I",Avaliacoes!$H$2:$H$6000,0,Avaliacoes!$G$2:$G$6000,"&lt;&gt;")*Dimensoes!$E$2)</f>
        <v/>
      </c>
      <c r="K146" s="0" t="str">
        <f aca="false">IF($A146="","",COUNTIFS(Avaliacoes!$A$2:$A$6000,$A146,Avaliacoes!$F$2:$F$6000,"II",Avaliacoes!$H$2:$H$6000,0,Avaliacoes!$G$2:$G$6000,"&lt;&gt;")*Dimensoes!$E$3)</f>
        <v/>
      </c>
      <c r="L146" s="0" t="str">
        <f aca="false">IF($A146="","",COUNTIFS(Avaliacoes!$A$2:$A$6000,$A146,Avaliacoes!$F$2:$F$6000,"III",Avaliacoes!$H$2:$H$6000,0,Avaliacoes!$G$2:$G$6000,"&lt;&gt;")*Dimensoes!$E$4)</f>
        <v/>
      </c>
      <c r="M146" s="0" t="str">
        <f aca="false">IF($A146="","",COUNTIFS(Avaliacoes!$A$2:$A$6000,$A146,Avaliacoes!$F$2:$F$6000,"IV",Avaliacoes!$H$2:$H$6000,0,Avaliacoes!$G$2:$G$6000,"&lt;&gt;")*Dimensoes!$E$5)</f>
        <v/>
      </c>
      <c r="N146" s="9" t="str">
        <f aca="false">IF($A146="","",IF(J146&gt;0,F146/J146,""))</f>
        <v/>
      </c>
      <c r="O146" s="9" t="str">
        <f aca="false">IF($A146="","",IF(K146&gt;0,G146/K146,""))</f>
        <v/>
      </c>
      <c r="P146" s="9" t="str">
        <f aca="false">IF($A146="","",IF(L146&gt;0,H146/L146,""))</f>
        <v/>
      </c>
      <c r="Q146" s="9" t="str">
        <f aca="false">IF($A146="","",IF(M146&gt;0,I146/M146,""))</f>
        <v/>
      </c>
      <c r="R146" s="17" t="str">
        <f aca="false">IF($A146="","",IF((IF(N146="",0,Dimensoes!$C$2)+IF(O146="",0,Dimensoes!$C$3)+IF(P146="",0,Dimensoes!$C$4)+IF(Q146="",0,Dimensoes!$C$5))=0,"",(IF(N146="",0,N146*Dimensoes!$C$2)+IF(O146="",0,O146*Dimensoes!$C$3)+IF(P146="",0,P146*Dimensoes!$C$4)+IF(Q146="",0,Q146*Dimensoes!$C$5))/(IF(N146="",0,Dimensoes!$C$2)+IF(O146="",0,Dimensoes!$C$3)+IF(P146="",0,Dimensoes!$C$4)+IF(Q146="",0,Dimensoes!$C$5))))</f>
        <v/>
      </c>
      <c r="S146" s="0" t="str">
        <f aca="false">IF(R146="","",IF(R146&lt;Faixas!$C$3,"vermelho",IF(R146&lt;Faixas!$C$4,"amarelo","verde")))</f>
        <v/>
      </c>
      <c r="T146" s="9" t="str">
        <f aca="false">IF($A146="","",IF(N146="",0,N146*Dimensoes!$C$2)+IF(O146="",0,O146*Dimensoes!$C$3)+IF(P146="",0,P146*Dimensoes!$C$4)+IF(Q146="",0,Q146*Dimensoes!$C$5))</f>
        <v/>
      </c>
      <c r="U146" s="0" t="str">
        <f aca="false">IF($A146="","",IF(OR(E146="concluida",E146="incompleta"),1,0))</f>
        <v/>
      </c>
    </row>
    <row r="147" customFormat="false" ht="15" hidden="false" customHeight="false" outlineLevel="0" collapsed="false">
      <c r="A147" s="0" t="str">
        <f aca="false">IF(Visitas!A147="","",Visitas!A147)</f>
        <v/>
      </c>
      <c r="B147" s="0" t="str">
        <f aca="false">IF($A147="","",Visitas!C147)</f>
        <v/>
      </c>
      <c r="C147" s="7" t="str">
        <f aca="false">IF($A147="","",Visitas!D147)</f>
        <v/>
      </c>
      <c r="D147" s="0" t="str">
        <f aca="false">IF($A147="","",Visitas!B147)</f>
        <v/>
      </c>
      <c r="E147" s="0" t="str">
        <f aca="false">IF($A147="","",Visitas!F147)</f>
        <v/>
      </c>
      <c r="F147" s="0" t="str">
        <f aca="false">IF($A147="","",SUMIFS(Avaliacoes!$G$2:$G$6000,Avaliacoes!$A$2:$A$6000,$A147,Avaliacoes!$F$2:$F$6000,"I",Avaliacoes!$H$2:$H$6000,0))</f>
        <v/>
      </c>
      <c r="G147" s="0" t="str">
        <f aca="false">IF($A147="","",SUMIFS(Avaliacoes!$G$2:$G$6000,Avaliacoes!$A$2:$A$6000,$A147,Avaliacoes!$F$2:$F$6000,"II",Avaliacoes!$H$2:$H$6000,0))</f>
        <v/>
      </c>
      <c r="H147" s="0" t="str">
        <f aca="false">IF($A147="","",SUMIFS(Avaliacoes!$G$2:$G$6000,Avaliacoes!$A$2:$A$6000,$A147,Avaliacoes!$F$2:$F$6000,"III",Avaliacoes!$H$2:$H$6000,0))</f>
        <v/>
      </c>
      <c r="I147" s="0" t="str">
        <f aca="false">IF($A147="","",SUMIFS(Avaliacoes!$G$2:$G$6000,Avaliacoes!$A$2:$A$6000,$A147,Avaliacoes!$F$2:$F$6000,"IV",Avaliacoes!$H$2:$H$6000,0))</f>
        <v/>
      </c>
      <c r="J147" s="0" t="str">
        <f aca="false">IF($A147="","",COUNTIFS(Avaliacoes!$A$2:$A$6000,$A147,Avaliacoes!$F$2:$F$6000,"I",Avaliacoes!$H$2:$H$6000,0,Avaliacoes!$G$2:$G$6000,"&lt;&gt;")*Dimensoes!$E$2)</f>
        <v/>
      </c>
      <c r="K147" s="0" t="str">
        <f aca="false">IF($A147="","",COUNTIFS(Avaliacoes!$A$2:$A$6000,$A147,Avaliacoes!$F$2:$F$6000,"II",Avaliacoes!$H$2:$H$6000,0,Avaliacoes!$G$2:$G$6000,"&lt;&gt;")*Dimensoes!$E$3)</f>
        <v/>
      </c>
      <c r="L147" s="0" t="str">
        <f aca="false">IF($A147="","",COUNTIFS(Avaliacoes!$A$2:$A$6000,$A147,Avaliacoes!$F$2:$F$6000,"III",Avaliacoes!$H$2:$H$6000,0,Avaliacoes!$G$2:$G$6000,"&lt;&gt;")*Dimensoes!$E$4)</f>
        <v/>
      </c>
      <c r="M147" s="0" t="str">
        <f aca="false">IF($A147="","",COUNTIFS(Avaliacoes!$A$2:$A$6000,$A147,Avaliacoes!$F$2:$F$6000,"IV",Avaliacoes!$H$2:$H$6000,0,Avaliacoes!$G$2:$G$6000,"&lt;&gt;")*Dimensoes!$E$5)</f>
        <v/>
      </c>
      <c r="N147" s="9" t="str">
        <f aca="false">IF($A147="","",IF(J147&gt;0,F147/J147,""))</f>
        <v/>
      </c>
      <c r="O147" s="9" t="str">
        <f aca="false">IF($A147="","",IF(K147&gt;0,G147/K147,""))</f>
        <v/>
      </c>
      <c r="P147" s="9" t="str">
        <f aca="false">IF($A147="","",IF(L147&gt;0,H147/L147,""))</f>
        <v/>
      </c>
      <c r="Q147" s="9" t="str">
        <f aca="false">IF($A147="","",IF(M147&gt;0,I147/M147,""))</f>
        <v/>
      </c>
      <c r="R147" s="17" t="str">
        <f aca="false">IF($A147="","",IF((IF(N147="",0,Dimensoes!$C$2)+IF(O147="",0,Dimensoes!$C$3)+IF(P147="",0,Dimensoes!$C$4)+IF(Q147="",0,Dimensoes!$C$5))=0,"",(IF(N147="",0,N147*Dimensoes!$C$2)+IF(O147="",0,O147*Dimensoes!$C$3)+IF(P147="",0,P147*Dimensoes!$C$4)+IF(Q147="",0,Q147*Dimensoes!$C$5))/(IF(N147="",0,Dimensoes!$C$2)+IF(O147="",0,Dimensoes!$C$3)+IF(P147="",0,Dimensoes!$C$4)+IF(Q147="",0,Dimensoes!$C$5))))</f>
        <v/>
      </c>
      <c r="S147" s="0" t="str">
        <f aca="false">IF(R147="","",IF(R147&lt;Faixas!$C$3,"vermelho",IF(R147&lt;Faixas!$C$4,"amarelo","verde")))</f>
        <v/>
      </c>
      <c r="T147" s="9" t="str">
        <f aca="false">IF($A147="","",IF(N147="",0,N147*Dimensoes!$C$2)+IF(O147="",0,O147*Dimensoes!$C$3)+IF(P147="",0,P147*Dimensoes!$C$4)+IF(Q147="",0,Q147*Dimensoes!$C$5))</f>
        <v/>
      </c>
      <c r="U147" s="0" t="str">
        <f aca="false">IF($A147="","",IF(OR(E147="concluida",E147="incompleta"),1,0))</f>
        <v/>
      </c>
    </row>
    <row r="148" customFormat="false" ht="15" hidden="false" customHeight="false" outlineLevel="0" collapsed="false">
      <c r="A148" s="0" t="str">
        <f aca="false">IF(Visitas!A148="","",Visitas!A148)</f>
        <v/>
      </c>
      <c r="B148" s="0" t="str">
        <f aca="false">IF($A148="","",Visitas!C148)</f>
        <v/>
      </c>
      <c r="C148" s="7" t="str">
        <f aca="false">IF($A148="","",Visitas!D148)</f>
        <v/>
      </c>
      <c r="D148" s="0" t="str">
        <f aca="false">IF($A148="","",Visitas!B148)</f>
        <v/>
      </c>
      <c r="E148" s="0" t="str">
        <f aca="false">IF($A148="","",Visitas!F148)</f>
        <v/>
      </c>
      <c r="F148" s="0" t="str">
        <f aca="false">IF($A148="","",SUMIFS(Avaliacoes!$G$2:$G$6000,Avaliacoes!$A$2:$A$6000,$A148,Avaliacoes!$F$2:$F$6000,"I",Avaliacoes!$H$2:$H$6000,0))</f>
        <v/>
      </c>
      <c r="G148" s="0" t="str">
        <f aca="false">IF($A148="","",SUMIFS(Avaliacoes!$G$2:$G$6000,Avaliacoes!$A$2:$A$6000,$A148,Avaliacoes!$F$2:$F$6000,"II",Avaliacoes!$H$2:$H$6000,0))</f>
        <v/>
      </c>
      <c r="H148" s="0" t="str">
        <f aca="false">IF($A148="","",SUMIFS(Avaliacoes!$G$2:$G$6000,Avaliacoes!$A$2:$A$6000,$A148,Avaliacoes!$F$2:$F$6000,"III",Avaliacoes!$H$2:$H$6000,0))</f>
        <v/>
      </c>
      <c r="I148" s="0" t="str">
        <f aca="false">IF($A148="","",SUMIFS(Avaliacoes!$G$2:$G$6000,Avaliacoes!$A$2:$A$6000,$A148,Avaliacoes!$F$2:$F$6000,"IV",Avaliacoes!$H$2:$H$6000,0))</f>
        <v/>
      </c>
      <c r="J148" s="0" t="str">
        <f aca="false">IF($A148="","",COUNTIFS(Avaliacoes!$A$2:$A$6000,$A148,Avaliacoes!$F$2:$F$6000,"I",Avaliacoes!$H$2:$H$6000,0,Avaliacoes!$G$2:$G$6000,"&lt;&gt;")*Dimensoes!$E$2)</f>
        <v/>
      </c>
      <c r="K148" s="0" t="str">
        <f aca="false">IF($A148="","",COUNTIFS(Avaliacoes!$A$2:$A$6000,$A148,Avaliacoes!$F$2:$F$6000,"II",Avaliacoes!$H$2:$H$6000,0,Avaliacoes!$G$2:$G$6000,"&lt;&gt;")*Dimensoes!$E$3)</f>
        <v/>
      </c>
      <c r="L148" s="0" t="str">
        <f aca="false">IF($A148="","",COUNTIFS(Avaliacoes!$A$2:$A$6000,$A148,Avaliacoes!$F$2:$F$6000,"III",Avaliacoes!$H$2:$H$6000,0,Avaliacoes!$G$2:$G$6000,"&lt;&gt;")*Dimensoes!$E$4)</f>
        <v/>
      </c>
      <c r="M148" s="0" t="str">
        <f aca="false">IF($A148="","",COUNTIFS(Avaliacoes!$A$2:$A$6000,$A148,Avaliacoes!$F$2:$F$6000,"IV",Avaliacoes!$H$2:$H$6000,0,Avaliacoes!$G$2:$G$6000,"&lt;&gt;")*Dimensoes!$E$5)</f>
        <v/>
      </c>
      <c r="N148" s="9" t="str">
        <f aca="false">IF($A148="","",IF(J148&gt;0,F148/J148,""))</f>
        <v/>
      </c>
      <c r="O148" s="9" t="str">
        <f aca="false">IF($A148="","",IF(K148&gt;0,G148/K148,""))</f>
        <v/>
      </c>
      <c r="P148" s="9" t="str">
        <f aca="false">IF($A148="","",IF(L148&gt;0,H148/L148,""))</f>
        <v/>
      </c>
      <c r="Q148" s="9" t="str">
        <f aca="false">IF($A148="","",IF(M148&gt;0,I148/M148,""))</f>
        <v/>
      </c>
      <c r="R148" s="17" t="str">
        <f aca="false">IF($A148="","",IF((IF(N148="",0,Dimensoes!$C$2)+IF(O148="",0,Dimensoes!$C$3)+IF(P148="",0,Dimensoes!$C$4)+IF(Q148="",0,Dimensoes!$C$5))=0,"",(IF(N148="",0,N148*Dimensoes!$C$2)+IF(O148="",0,O148*Dimensoes!$C$3)+IF(P148="",0,P148*Dimensoes!$C$4)+IF(Q148="",0,Q148*Dimensoes!$C$5))/(IF(N148="",0,Dimensoes!$C$2)+IF(O148="",0,Dimensoes!$C$3)+IF(P148="",0,Dimensoes!$C$4)+IF(Q148="",0,Dimensoes!$C$5))))</f>
        <v/>
      </c>
      <c r="S148" s="0" t="str">
        <f aca="false">IF(R148="","",IF(R148&lt;Faixas!$C$3,"vermelho",IF(R148&lt;Faixas!$C$4,"amarelo","verde")))</f>
        <v/>
      </c>
      <c r="T148" s="9" t="str">
        <f aca="false">IF($A148="","",IF(N148="",0,N148*Dimensoes!$C$2)+IF(O148="",0,O148*Dimensoes!$C$3)+IF(P148="",0,P148*Dimensoes!$C$4)+IF(Q148="",0,Q148*Dimensoes!$C$5))</f>
        <v/>
      </c>
      <c r="U148" s="0" t="str">
        <f aca="false">IF($A148="","",IF(OR(E148="concluida",E148="incompleta"),1,0))</f>
        <v/>
      </c>
    </row>
    <row r="149" customFormat="false" ht="15" hidden="false" customHeight="false" outlineLevel="0" collapsed="false">
      <c r="A149" s="0" t="str">
        <f aca="false">IF(Visitas!A149="","",Visitas!A149)</f>
        <v/>
      </c>
      <c r="B149" s="0" t="str">
        <f aca="false">IF($A149="","",Visitas!C149)</f>
        <v/>
      </c>
      <c r="C149" s="7" t="str">
        <f aca="false">IF($A149="","",Visitas!D149)</f>
        <v/>
      </c>
      <c r="D149" s="0" t="str">
        <f aca="false">IF($A149="","",Visitas!B149)</f>
        <v/>
      </c>
      <c r="E149" s="0" t="str">
        <f aca="false">IF($A149="","",Visitas!F149)</f>
        <v/>
      </c>
      <c r="F149" s="0" t="str">
        <f aca="false">IF($A149="","",SUMIFS(Avaliacoes!$G$2:$G$6000,Avaliacoes!$A$2:$A$6000,$A149,Avaliacoes!$F$2:$F$6000,"I",Avaliacoes!$H$2:$H$6000,0))</f>
        <v/>
      </c>
      <c r="G149" s="0" t="str">
        <f aca="false">IF($A149="","",SUMIFS(Avaliacoes!$G$2:$G$6000,Avaliacoes!$A$2:$A$6000,$A149,Avaliacoes!$F$2:$F$6000,"II",Avaliacoes!$H$2:$H$6000,0))</f>
        <v/>
      </c>
      <c r="H149" s="0" t="str">
        <f aca="false">IF($A149="","",SUMIFS(Avaliacoes!$G$2:$G$6000,Avaliacoes!$A$2:$A$6000,$A149,Avaliacoes!$F$2:$F$6000,"III",Avaliacoes!$H$2:$H$6000,0))</f>
        <v/>
      </c>
      <c r="I149" s="0" t="str">
        <f aca="false">IF($A149="","",SUMIFS(Avaliacoes!$G$2:$G$6000,Avaliacoes!$A$2:$A$6000,$A149,Avaliacoes!$F$2:$F$6000,"IV",Avaliacoes!$H$2:$H$6000,0))</f>
        <v/>
      </c>
      <c r="J149" s="0" t="str">
        <f aca="false">IF($A149="","",COUNTIFS(Avaliacoes!$A$2:$A$6000,$A149,Avaliacoes!$F$2:$F$6000,"I",Avaliacoes!$H$2:$H$6000,0,Avaliacoes!$G$2:$G$6000,"&lt;&gt;")*Dimensoes!$E$2)</f>
        <v/>
      </c>
      <c r="K149" s="0" t="str">
        <f aca="false">IF($A149="","",COUNTIFS(Avaliacoes!$A$2:$A$6000,$A149,Avaliacoes!$F$2:$F$6000,"II",Avaliacoes!$H$2:$H$6000,0,Avaliacoes!$G$2:$G$6000,"&lt;&gt;")*Dimensoes!$E$3)</f>
        <v/>
      </c>
      <c r="L149" s="0" t="str">
        <f aca="false">IF($A149="","",COUNTIFS(Avaliacoes!$A$2:$A$6000,$A149,Avaliacoes!$F$2:$F$6000,"III",Avaliacoes!$H$2:$H$6000,0,Avaliacoes!$G$2:$G$6000,"&lt;&gt;")*Dimensoes!$E$4)</f>
        <v/>
      </c>
      <c r="M149" s="0" t="str">
        <f aca="false">IF($A149="","",COUNTIFS(Avaliacoes!$A$2:$A$6000,$A149,Avaliacoes!$F$2:$F$6000,"IV",Avaliacoes!$H$2:$H$6000,0,Avaliacoes!$G$2:$G$6000,"&lt;&gt;")*Dimensoes!$E$5)</f>
        <v/>
      </c>
      <c r="N149" s="9" t="str">
        <f aca="false">IF($A149="","",IF(J149&gt;0,F149/J149,""))</f>
        <v/>
      </c>
      <c r="O149" s="9" t="str">
        <f aca="false">IF($A149="","",IF(K149&gt;0,G149/K149,""))</f>
        <v/>
      </c>
      <c r="P149" s="9" t="str">
        <f aca="false">IF($A149="","",IF(L149&gt;0,H149/L149,""))</f>
        <v/>
      </c>
      <c r="Q149" s="9" t="str">
        <f aca="false">IF($A149="","",IF(M149&gt;0,I149/M149,""))</f>
        <v/>
      </c>
      <c r="R149" s="17" t="str">
        <f aca="false">IF($A149="","",IF((IF(N149="",0,Dimensoes!$C$2)+IF(O149="",0,Dimensoes!$C$3)+IF(P149="",0,Dimensoes!$C$4)+IF(Q149="",0,Dimensoes!$C$5))=0,"",(IF(N149="",0,N149*Dimensoes!$C$2)+IF(O149="",0,O149*Dimensoes!$C$3)+IF(P149="",0,P149*Dimensoes!$C$4)+IF(Q149="",0,Q149*Dimensoes!$C$5))/(IF(N149="",0,Dimensoes!$C$2)+IF(O149="",0,Dimensoes!$C$3)+IF(P149="",0,Dimensoes!$C$4)+IF(Q149="",0,Dimensoes!$C$5))))</f>
        <v/>
      </c>
      <c r="S149" s="0" t="str">
        <f aca="false">IF(R149="","",IF(R149&lt;Faixas!$C$3,"vermelho",IF(R149&lt;Faixas!$C$4,"amarelo","verde")))</f>
        <v/>
      </c>
      <c r="T149" s="9" t="str">
        <f aca="false">IF($A149="","",IF(N149="",0,N149*Dimensoes!$C$2)+IF(O149="",0,O149*Dimensoes!$C$3)+IF(P149="",0,P149*Dimensoes!$C$4)+IF(Q149="",0,Q149*Dimensoes!$C$5))</f>
        <v/>
      </c>
      <c r="U149" s="0" t="str">
        <f aca="false">IF($A149="","",IF(OR(E149="concluida",E149="incompleta"),1,0))</f>
        <v/>
      </c>
    </row>
    <row r="150" customFormat="false" ht="15" hidden="false" customHeight="false" outlineLevel="0" collapsed="false">
      <c r="A150" s="0" t="str">
        <f aca="false">IF(Visitas!A150="","",Visitas!A150)</f>
        <v/>
      </c>
      <c r="B150" s="0" t="str">
        <f aca="false">IF($A150="","",Visitas!C150)</f>
        <v/>
      </c>
      <c r="C150" s="7" t="str">
        <f aca="false">IF($A150="","",Visitas!D150)</f>
        <v/>
      </c>
      <c r="D150" s="0" t="str">
        <f aca="false">IF($A150="","",Visitas!B150)</f>
        <v/>
      </c>
      <c r="E150" s="0" t="str">
        <f aca="false">IF($A150="","",Visitas!F150)</f>
        <v/>
      </c>
      <c r="F150" s="0" t="str">
        <f aca="false">IF($A150="","",SUMIFS(Avaliacoes!$G$2:$G$6000,Avaliacoes!$A$2:$A$6000,$A150,Avaliacoes!$F$2:$F$6000,"I",Avaliacoes!$H$2:$H$6000,0))</f>
        <v/>
      </c>
      <c r="G150" s="0" t="str">
        <f aca="false">IF($A150="","",SUMIFS(Avaliacoes!$G$2:$G$6000,Avaliacoes!$A$2:$A$6000,$A150,Avaliacoes!$F$2:$F$6000,"II",Avaliacoes!$H$2:$H$6000,0))</f>
        <v/>
      </c>
      <c r="H150" s="0" t="str">
        <f aca="false">IF($A150="","",SUMIFS(Avaliacoes!$G$2:$G$6000,Avaliacoes!$A$2:$A$6000,$A150,Avaliacoes!$F$2:$F$6000,"III",Avaliacoes!$H$2:$H$6000,0))</f>
        <v/>
      </c>
      <c r="I150" s="0" t="str">
        <f aca="false">IF($A150="","",SUMIFS(Avaliacoes!$G$2:$G$6000,Avaliacoes!$A$2:$A$6000,$A150,Avaliacoes!$F$2:$F$6000,"IV",Avaliacoes!$H$2:$H$6000,0))</f>
        <v/>
      </c>
      <c r="J150" s="0" t="str">
        <f aca="false">IF($A150="","",COUNTIFS(Avaliacoes!$A$2:$A$6000,$A150,Avaliacoes!$F$2:$F$6000,"I",Avaliacoes!$H$2:$H$6000,0,Avaliacoes!$G$2:$G$6000,"&lt;&gt;")*Dimensoes!$E$2)</f>
        <v/>
      </c>
      <c r="K150" s="0" t="str">
        <f aca="false">IF($A150="","",COUNTIFS(Avaliacoes!$A$2:$A$6000,$A150,Avaliacoes!$F$2:$F$6000,"II",Avaliacoes!$H$2:$H$6000,0,Avaliacoes!$G$2:$G$6000,"&lt;&gt;")*Dimensoes!$E$3)</f>
        <v/>
      </c>
      <c r="L150" s="0" t="str">
        <f aca="false">IF($A150="","",COUNTIFS(Avaliacoes!$A$2:$A$6000,$A150,Avaliacoes!$F$2:$F$6000,"III",Avaliacoes!$H$2:$H$6000,0,Avaliacoes!$G$2:$G$6000,"&lt;&gt;")*Dimensoes!$E$4)</f>
        <v/>
      </c>
      <c r="M150" s="0" t="str">
        <f aca="false">IF($A150="","",COUNTIFS(Avaliacoes!$A$2:$A$6000,$A150,Avaliacoes!$F$2:$F$6000,"IV",Avaliacoes!$H$2:$H$6000,0,Avaliacoes!$G$2:$G$6000,"&lt;&gt;")*Dimensoes!$E$5)</f>
        <v/>
      </c>
      <c r="N150" s="9" t="str">
        <f aca="false">IF($A150="","",IF(J150&gt;0,F150/J150,""))</f>
        <v/>
      </c>
      <c r="O150" s="9" t="str">
        <f aca="false">IF($A150="","",IF(K150&gt;0,G150/K150,""))</f>
        <v/>
      </c>
      <c r="P150" s="9" t="str">
        <f aca="false">IF($A150="","",IF(L150&gt;0,H150/L150,""))</f>
        <v/>
      </c>
      <c r="Q150" s="9" t="str">
        <f aca="false">IF($A150="","",IF(M150&gt;0,I150/M150,""))</f>
        <v/>
      </c>
      <c r="R150" s="17" t="str">
        <f aca="false">IF($A150="","",IF((IF(N150="",0,Dimensoes!$C$2)+IF(O150="",0,Dimensoes!$C$3)+IF(P150="",0,Dimensoes!$C$4)+IF(Q150="",0,Dimensoes!$C$5))=0,"",(IF(N150="",0,N150*Dimensoes!$C$2)+IF(O150="",0,O150*Dimensoes!$C$3)+IF(P150="",0,P150*Dimensoes!$C$4)+IF(Q150="",0,Q150*Dimensoes!$C$5))/(IF(N150="",0,Dimensoes!$C$2)+IF(O150="",0,Dimensoes!$C$3)+IF(P150="",0,Dimensoes!$C$4)+IF(Q150="",0,Dimensoes!$C$5))))</f>
        <v/>
      </c>
      <c r="S150" s="0" t="str">
        <f aca="false">IF(R150="","",IF(R150&lt;Faixas!$C$3,"vermelho",IF(R150&lt;Faixas!$C$4,"amarelo","verde")))</f>
        <v/>
      </c>
      <c r="T150" s="9" t="str">
        <f aca="false">IF($A150="","",IF(N150="",0,N150*Dimensoes!$C$2)+IF(O150="",0,O150*Dimensoes!$C$3)+IF(P150="",0,P150*Dimensoes!$C$4)+IF(Q150="",0,Q150*Dimensoes!$C$5))</f>
        <v/>
      </c>
      <c r="U150" s="0" t="str">
        <f aca="false">IF($A150="","",IF(OR(E150="concluida",E150="incompleta"),1,0))</f>
        <v/>
      </c>
    </row>
    <row r="151" customFormat="false" ht="15" hidden="false" customHeight="false" outlineLevel="0" collapsed="false">
      <c r="A151" s="0" t="str">
        <f aca="false">IF(Visitas!A151="","",Visitas!A151)</f>
        <v/>
      </c>
      <c r="B151" s="0" t="str">
        <f aca="false">IF($A151="","",Visitas!C151)</f>
        <v/>
      </c>
      <c r="C151" s="7" t="str">
        <f aca="false">IF($A151="","",Visitas!D151)</f>
        <v/>
      </c>
      <c r="D151" s="0" t="str">
        <f aca="false">IF($A151="","",Visitas!B151)</f>
        <v/>
      </c>
      <c r="E151" s="0" t="str">
        <f aca="false">IF($A151="","",Visitas!F151)</f>
        <v/>
      </c>
      <c r="F151" s="0" t="str">
        <f aca="false">IF($A151="","",SUMIFS(Avaliacoes!$G$2:$G$6000,Avaliacoes!$A$2:$A$6000,$A151,Avaliacoes!$F$2:$F$6000,"I",Avaliacoes!$H$2:$H$6000,0))</f>
        <v/>
      </c>
      <c r="G151" s="0" t="str">
        <f aca="false">IF($A151="","",SUMIFS(Avaliacoes!$G$2:$G$6000,Avaliacoes!$A$2:$A$6000,$A151,Avaliacoes!$F$2:$F$6000,"II",Avaliacoes!$H$2:$H$6000,0))</f>
        <v/>
      </c>
      <c r="H151" s="0" t="str">
        <f aca="false">IF($A151="","",SUMIFS(Avaliacoes!$G$2:$G$6000,Avaliacoes!$A$2:$A$6000,$A151,Avaliacoes!$F$2:$F$6000,"III",Avaliacoes!$H$2:$H$6000,0))</f>
        <v/>
      </c>
      <c r="I151" s="0" t="str">
        <f aca="false">IF($A151="","",SUMIFS(Avaliacoes!$G$2:$G$6000,Avaliacoes!$A$2:$A$6000,$A151,Avaliacoes!$F$2:$F$6000,"IV",Avaliacoes!$H$2:$H$6000,0))</f>
        <v/>
      </c>
      <c r="J151" s="0" t="str">
        <f aca="false">IF($A151="","",COUNTIFS(Avaliacoes!$A$2:$A$6000,$A151,Avaliacoes!$F$2:$F$6000,"I",Avaliacoes!$H$2:$H$6000,0,Avaliacoes!$G$2:$G$6000,"&lt;&gt;")*Dimensoes!$E$2)</f>
        <v/>
      </c>
      <c r="K151" s="0" t="str">
        <f aca="false">IF($A151="","",COUNTIFS(Avaliacoes!$A$2:$A$6000,$A151,Avaliacoes!$F$2:$F$6000,"II",Avaliacoes!$H$2:$H$6000,0,Avaliacoes!$G$2:$G$6000,"&lt;&gt;")*Dimensoes!$E$3)</f>
        <v/>
      </c>
      <c r="L151" s="0" t="str">
        <f aca="false">IF($A151="","",COUNTIFS(Avaliacoes!$A$2:$A$6000,$A151,Avaliacoes!$F$2:$F$6000,"III",Avaliacoes!$H$2:$H$6000,0,Avaliacoes!$G$2:$G$6000,"&lt;&gt;")*Dimensoes!$E$4)</f>
        <v/>
      </c>
      <c r="M151" s="0" t="str">
        <f aca="false">IF($A151="","",COUNTIFS(Avaliacoes!$A$2:$A$6000,$A151,Avaliacoes!$F$2:$F$6000,"IV",Avaliacoes!$H$2:$H$6000,0,Avaliacoes!$G$2:$G$6000,"&lt;&gt;")*Dimensoes!$E$5)</f>
        <v/>
      </c>
      <c r="N151" s="9" t="str">
        <f aca="false">IF($A151="","",IF(J151&gt;0,F151/J151,""))</f>
        <v/>
      </c>
      <c r="O151" s="9" t="str">
        <f aca="false">IF($A151="","",IF(K151&gt;0,G151/K151,""))</f>
        <v/>
      </c>
      <c r="P151" s="9" t="str">
        <f aca="false">IF($A151="","",IF(L151&gt;0,H151/L151,""))</f>
        <v/>
      </c>
      <c r="Q151" s="9" t="str">
        <f aca="false">IF($A151="","",IF(M151&gt;0,I151/M151,""))</f>
        <v/>
      </c>
      <c r="R151" s="17" t="str">
        <f aca="false">IF($A151="","",IF((IF(N151="",0,Dimensoes!$C$2)+IF(O151="",0,Dimensoes!$C$3)+IF(P151="",0,Dimensoes!$C$4)+IF(Q151="",0,Dimensoes!$C$5))=0,"",(IF(N151="",0,N151*Dimensoes!$C$2)+IF(O151="",0,O151*Dimensoes!$C$3)+IF(P151="",0,P151*Dimensoes!$C$4)+IF(Q151="",0,Q151*Dimensoes!$C$5))/(IF(N151="",0,Dimensoes!$C$2)+IF(O151="",0,Dimensoes!$C$3)+IF(P151="",0,Dimensoes!$C$4)+IF(Q151="",0,Dimensoes!$C$5))))</f>
        <v/>
      </c>
      <c r="S151" s="0" t="str">
        <f aca="false">IF(R151="","",IF(R151&lt;Faixas!$C$3,"vermelho",IF(R151&lt;Faixas!$C$4,"amarelo","verde")))</f>
        <v/>
      </c>
      <c r="T151" s="9" t="str">
        <f aca="false">IF($A151="","",IF(N151="",0,N151*Dimensoes!$C$2)+IF(O151="",0,O151*Dimensoes!$C$3)+IF(P151="",0,P151*Dimensoes!$C$4)+IF(Q151="",0,Q151*Dimensoes!$C$5))</f>
        <v/>
      </c>
      <c r="U151" s="0" t="str">
        <f aca="false">IF($A151="","",IF(OR(E151="concluida",E151="incompleta"),1,0))</f>
        <v/>
      </c>
    </row>
    <row r="152" customFormat="false" ht="15" hidden="false" customHeight="false" outlineLevel="0" collapsed="false">
      <c r="A152" s="0" t="str">
        <f aca="false">IF(Visitas!A152="","",Visitas!A152)</f>
        <v/>
      </c>
      <c r="B152" s="0" t="str">
        <f aca="false">IF($A152="","",Visitas!C152)</f>
        <v/>
      </c>
      <c r="C152" s="7" t="str">
        <f aca="false">IF($A152="","",Visitas!D152)</f>
        <v/>
      </c>
      <c r="D152" s="0" t="str">
        <f aca="false">IF($A152="","",Visitas!B152)</f>
        <v/>
      </c>
      <c r="E152" s="0" t="str">
        <f aca="false">IF($A152="","",Visitas!F152)</f>
        <v/>
      </c>
      <c r="F152" s="0" t="str">
        <f aca="false">IF($A152="","",SUMIFS(Avaliacoes!$G$2:$G$6000,Avaliacoes!$A$2:$A$6000,$A152,Avaliacoes!$F$2:$F$6000,"I",Avaliacoes!$H$2:$H$6000,0))</f>
        <v/>
      </c>
      <c r="G152" s="0" t="str">
        <f aca="false">IF($A152="","",SUMIFS(Avaliacoes!$G$2:$G$6000,Avaliacoes!$A$2:$A$6000,$A152,Avaliacoes!$F$2:$F$6000,"II",Avaliacoes!$H$2:$H$6000,0))</f>
        <v/>
      </c>
      <c r="H152" s="0" t="str">
        <f aca="false">IF($A152="","",SUMIFS(Avaliacoes!$G$2:$G$6000,Avaliacoes!$A$2:$A$6000,$A152,Avaliacoes!$F$2:$F$6000,"III",Avaliacoes!$H$2:$H$6000,0))</f>
        <v/>
      </c>
      <c r="I152" s="0" t="str">
        <f aca="false">IF($A152="","",SUMIFS(Avaliacoes!$G$2:$G$6000,Avaliacoes!$A$2:$A$6000,$A152,Avaliacoes!$F$2:$F$6000,"IV",Avaliacoes!$H$2:$H$6000,0))</f>
        <v/>
      </c>
      <c r="J152" s="0" t="str">
        <f aca="false">IF($A152="","",COUNTIFS(Avaliacoes!$A$2:$A$6000,$A152,Avaliacoes!$F$2:$F$6000,"I",Avaliacoes!$H$2:$H$6000,0,Avaliacoes!$G$2:$G$6000,"&lt;&gt;")*Dimensoes!$E$2)</f>
        <v/>
      </c>
      <c r="K152" s="0" t="str">
        <f aca="false">IF($A152="","",COUNTIFS(Avaliacoes!$A$2:$A$6000,$A152,Avaliacoes!$F$2:$F$6000,"II",Avaliacoes!$H$2:$H$6000,0,Avaliacoes!$G$2:$G$6000,"&lt;&gt;")*Dimensoes!$E$3)</f>
        <v/>
      </c>
      <c r="L152" s="0" t="str">
        <f aca="false">IF($A152="","",COUNTIFS(Avaliacoes!$A$2:$A$6000,$A152,Avaliacoes!$F$2:$F$6000,"III",Avaliacoes!$H$2:$H$6000,0,Avaliacoes!$G$2:$G$6000,"&lt;&gt;")*Dimensoes!$E$4)</f>
        <v/>
      </c>
      <c r="M152" s="0" t="str">
        <f aca="false">IF($A152="","",COUNTIFS(Avaliacoes!$A$2:$A$6000,$A152,Avaliacoes!$F$2:$F$6000,"IV",Avaliacoes!$H$2:$H$6000,0,Avaliacoes!$G$2:$G$6000,"&lt;&gt;")*Dimensoes!$E$5)</f>
        <v/>
      </c>
      <c r="N152" s="9" t="str">
        <f aca="false">IF($A152="","",IF(J152&gt;0,F152/J152,""))</f>
        <v/>
      </c>
      <c r="O152" s="9" t="str">
        <f aca="false">IF($A152="","",IF(K152&gt;0,G152/K152,""))</f>
        <v/>
      </c>
      <c r="P152" s="9" t="str">
        <f aca="false">IF($A152="","",IF(L152&gt;0,H152/L152,""))</f>
        <v/>
      </c>
      <c r="Q152" s="9" t="str">
        <f aca="false">IF($A152="","",IF(M152&gt;0,I152/M152,""))</f>
        <v/>
      </c>
      <c r="R152" s="17" t="str">
        <f aca="false">IF($A152="","",IF((IF(N152="",0,Dimensoes!$C$2)+IF(O152="",0,Dimensoes!$C$3)+IF(P152="",0,Dimensoes!$C$4)+IF(Q152="",0,Dimensoes!$C$5))=0,"",(IF(N152="",0,N152*Dimensoes!$C$2)+IF(O152="",0,O152*Dimensoes!$C$3)+IF(P152="",0,P152*Dimensoes!$C$4)+IF(Q152="",0,Q152*Dimensoes!$C$5))/(IF(N152="",0,Dimensoes!$C$2)+IF(O152="",0,Dimensoes!$C$3)+IF(P152="",0,Dimensoes!$C$4)+IF(Q152="",0,Dimensoes!$C$5))))</f>
        <v/>
      </c>
      <c r="S152" s="0" t="str">
        <f aca="false">IF(R152="","",IF(R152&lt;Faixas!$C$3,"vermelho",IF(R152&lt;Faixas!$C$4,"amarelo","verde")))</f>
        <v/>
      </c>
      <c r="T152" s="9" t="str">
        <f aca="false">IF($A152="","",IF(N152="",0,N152*Dimensoes!$C$2)+IF(O152="",0,O152*Dimensoes!$C$3)+IF(P152="",0,P152*Dimensoes!$C$4)+IF(Q152="",0,Q152*Dimensoes!$C$5))</f>
        <v/>
      </c>
      <c r="U152" s="0" t="str">
        <f aca="false">IF($A152="","",IF(OR(E152="concluida",E152="incompleta"),1,0))</f>
        <v/>
      </c>
    </row>
    <row r="153" customFormat="false" ht="15" hidden="false" customHeight="false" outlineLevel="0" collapsed="false">
      <c r="A153" s="0" t="str">
        <f aca="false">IF(Visitas!A153="","",Visitas!A153)</f>
        <v/>
      </c>
      <c r="B153" s="0" t="str">
        <f aca="false">IF($A153="","",Visitas!C153)</f>
        <v/>
      </c>
      <c r="C153" s="7" t="str">
        <f aca="false">IF($A153="","",Visitas!D153)</f>
        <v/>
      </c>
      <c r="D153" s="0" t="str">
        <f aca="false">IF($A153="","",Visitas!B153)</f>
        <v/>
      </c>
      <c r="E153" s="0" t="str">
        <f aca="false">IF($A153="","",Visitas!F153)</f>
        <v/>
      </c>
      <c r="F153" s="0" t="str">
        <f aca="false">IF($A153="","",SUMIFS(Avaliacoes!$G$2:$G$6000,Avaliacoes!$A$2:$A$6000,$A153,Avaliacoes!$F$2:$F$6000,"I",Avaliacoes!$H$2:$H$6000,0))</f>
        <v/>
      </c>
      <c r="G153" s="0" t="str">
        <f aca="false">IF($A153="","",SUMIFS(Avaliacoes!$G$2:$G$6000,Avaliacoes!$A$2:$A$6000,$A153,Avaliacoes!$F$2:$F$6000,"II",Avaliacoes!$H$2:$H$6000,0))</f>
        <v/>
      </c>
      <c r="H153" s="0" t="str">
        <f aca="false">IF($A153="","",SUMIFS(Avaliacoes!$G$2:$G$6000,Avaliacoes!$A$2:$A$6000,$A153,Avaliacoes!$F$2:$F$6000,"III",Avaliacoes!$H$2:$H$6000,0))</f>
        <v/>
      </c>
      <c r="I153" s="0" t="str">
        <f aca="false">IF($A153="","",SUMIFS(Avaliacoes!$G$2:$G$6000,Avaliacoes!$A$2:$A$6000,$A153,Avaliacoes!$F$2:$F$6000,"IV",Avaliacoes!$H$2:$H$6000,0))</f>
        <v/>
      </c>
      <c r="J153" s="0" t="str">
        <f aca="false">IF($A153="","",COUNTIFS(Avaliacoes!$A$2:$A$6000,$A153,Avaliacoes!$F$2:$F$6000,"I",Avaliacoes!$H$2:$H$6000,0,Avaliacoes!$G$2:$G$6000,"&lt;&gt;")*Dimensoes!$E$2)</f>
        <v/>
      </c>
      <c r="K153" s="0" t="str">
        <f aca="false">IF($A153="","",COUNTIFS(Avaliacoes!$A$2:$A$6000,$A153,Avaliacoes!$F$2:$F$6000,"II",Avaliacoes!$H$2:$H$6000,0,Avaliacoes!$G$2:$G$6000,"&lt;&gt;")*Dimensoes!$E$3)</f>
        <v/>
      </c>
      <c r="L153" s="0" t="str">
        <f aca="false">IF($A153="","",COUNTIFS(Avaliacoes!$A$2:$A$6000,$A153,Avaliacoes!$F$2:$F$6000,"III",Avaliacoes!$H$2:$H$6000,0,Avaliacoes!$G$2:$G$6000,"&lt;&gt;")*Dimensoes!$E$4)</f>
        <v/>
      </c>
      <c r="M153" s="0" t="str">
        <f aca="false">IF($A153="","",COUNTIFS(Avaliacoes!$A$2:$A$6000,$A153,Avaliacoes!$F$2:$F$6000,"IV",Avaliacoes!$H$2:$H$6000,0,Avaliacoes!$G$2:$G$6000,"&lt;&gt;")*Dimensoes!$E$5)</f>
        <v/>
      </c>
      <c r="N153" s="9" t="str">
        <f aca="false">IF($A153="","",IF(J153&gt;0,F153/J153,""))</f>
        <v/>
      </c>
      <c r="O153" s="9" t="str">
        <f aca="false">IF($A153="","",IF(K153&gt;0,G153/K153,""))</f>
        <v/>
      </c>
      <c r="P153" s="9" t="str">
        <f aca="false">IF($A153="","",IF(L153&gt;0,H153/L153,""))</f>
        <v/>
      </c>
      <c r="Q153" s="9" t="str">
        <f aca="false">IF($A153="","",IF(M153&gt;0,I153/M153,""))</f>
        <v/>
      </c>
      <c r="R153" s="17" t="str">
        <f aca="false">IF($A153="","",IF((IF(N153="",0,Dimensoes!$C$2)+IF(O153="",0,Dimensoes!$C$3)+IF(P153="",0,Dimensoes!$C$4)+IF(Q153="",0,Dimensoes!$C$5))=0,"",(IF(N153="",0,N153*Dimensoes!$C$2)+IF(O153="",0,O153*Dimensoes!$C$3)+IF(P153="",0,P153*Dimensoes!$C$4)+IF(Q153="",0,Q153*Dimensoes!$C$5))/(IF(N153="",0,Dimensoes!$C$2)+IF(O153="",0,Dimensoes!$C$3)+IF(P153="",0,Dimensoes!$C$4)+IF(Q153="",0,Dimensoes!$C$5))))</f>
        <v/>
      </c>
      <c r="S153" s="0" t="str">
        <f aca="false">IF(R153="","",IF(R153&lt;Faixas!$C$3,"vermelho",IF(R153&lt;Faixas!$C$4,"amarelo","verde")))</f>
        <v/>
      </c>
      <c r="T153" s="9" t="str">
        <f aca="false">IF($A153="","",IF(N153="",0,N153*Dimensoes!$C$2)+IF(O153="",0,O153*Dimensoes!$C$3)+IF(P153="",0,P153*Dimensoes!$C$4)+IF(Q153="",0,Q153*Dimensoes!$C$5))</f>
        <v/>
      </c>
      <c r="U153" s="0" t="str">
        <f aca="false">IF($A153="","",IF(OR(E153="concluida",E153="incompleta"),1,0))</f>
        <v/>
      </c>
    </row>
    <row r="154" customFormat="false" ht="15" hidden="false" customHeight="false" outlineLevel="0" collapsed="false">
      <c r="A154" s="0" t="str">
        <f aca="false">IF(Visitas!A154="","",Visitas!A154)</f>
        <v/>
      </c>
      <c r="B154" s="0" t="str">
        <f aca="false">IF($A154="","",Visitas!C154)</f>
        <v/>
      </c>
      <c r="C154" s="7" t="str">
        <f aca="false">IF($A154="","",Visitas!D154)</f>
        <v/>
      </c>
      <c r="D154" s="0" t="str">
        <f aca="false">IF($A154="","",Visitas!B154)</f>
        <v/>
      </c>
      <c r="E154" s="0" t="str">
        <f aca="false">IF($A154="","",Visitas!F154)</f>
        <v/>
      </c>
      <c r="F154" s="0" t="str">
        <f aca="false">IF($A154="","",SUMIFS(Avaliacoes!$G$2:$G$6000,Avaliacoes!$A$2:$A$6000,$A154,Avaliacoes!$F$2:$F$6000,"I",Avaliacoes!$H$2:$H$6000,0))</f>
        <v/>
      </c>
      <c r="G154" s="0" t="str">
        <f aca="false">IF($A154="","",SUMIFS(Avaliacoes!$G$2:$G$6000,Avaliacoes!$A$2:$A$6000,$A154,Avaliacoes!$F$2:$F$6000,"II",Avaliacoes!$H$2:$H$6000,0))</f>
        <v/>
      </c>
      <c r="H154" s="0" t="str">
        <f aca="false">IF($A154="","",SUMIFS(Avaliacoes!$G$2:$G$6000,Avaliacoes!$A$2:$A$6000,$A154,Avaliacoes!$F$2:$F$6000,"III",Avaliacoes!$H$2:$H$6000,0))</f>
        <v/>
      </c>
      <c r="I154" s="0" t="str">
        <f aca="false">IF($A154="","",SUMIFS(Avaliacoes!$G$2:$G$6000,Avaliacoes!$A$2:$A$6000,$A154,Avaliacoes!$F$2:$F$6000,"IV",Avaliacoes!$H$2:$H$6000,0))</f>
        <v/>
      </c>
      <c r="J154" s="0" t="str">
        <f aca="false">IF($A154="","",COUNTIFS(Avaliacoes!$A$2:$A$6000,$A154,Avaliacoes!$F$2:$F$6000,"I",Avaliacoes!$H$2:$H$6000,0,Avaliacoes!$G$2:$G$6000,"&lt;&gt;")*Dimensoes!$E$2)</f>
        <v/>
      </c>
      <c r="K154" s="0" t="str">
        <f aca="false">IF($A154="","",COUNTIFS(Avaliacoes!$A$2:$A$6000,$A154,Avaliacoes!$F$2:$F$6000,"II",Avaliacoes!$H$2:$H$6000,0,Avaliacoes!$G$2:$G$6000,"&lt;&gt;")*Dimensoes!$E$3)</f>
        <v/>
      </c>
      <c r="L154" s="0" t="str">
        <f aca="false">IF($A154="","",COUNTIFS(Avaliacoes!$A$2:$A$6000,$A154,Avaliacoes!$F$2:$F$6000,"III",Avaliacoes!$H$2:$H$6000,0,Avaliacoes!$G$2:$G$6000,"&lt;&gt;")*Dimensoes!$E$4)</f>
        <v/>
      </c>
      <c r="M154" s="0" t="str">
        <f aca="false">IF($A154="","",COUNTIFS(Avaliacoes!$A$2:$A$6000,$A154,Avaliacoes!$F$2:$F$6000,"IV",Avaliacoes!$H$2:$H$6000,0,Avaliacoes!$G$2:$G$6000,"&lt;&gt;")*Dimensoes!$E$5)</f>
        <v/>
      </c>
      <c r="N154" s="9" t="str">
        <f aca="false">IF($A154="","",IF(J154&gt;0,F154/J154,""))</f>
        <v/>
      </c>
      <c r="O154" s="9" t="str">
        <f aca="false">IF($A154="","",IF(K154&gt;0,G154/K154,""))</f>
        <v/>
      </c>
      <c r="P154" s="9" t="str">
        <f aca="false">IF($A154="","",IF(L154&gt;0,H154/L154,""))</f>
        <v/>
      </c>
      <c r="Q154" s="9" t="str">
        <f aca="false">IF($A154="","",IF(M154&gt;0,I154/M154,""))</f>
        <v/>
      </c>
      <c r="R154" s="17" t="str">
        <f aca="false">IF($A154="","",IF((IF(N154="",0,Dimensoes!$C$2)+IF(O154="",0,Dimensoes!$C$3)+IF(P154="",0,Dimensoes!$C$4)+IF(Q154="",0,Dimensoes!$C$5))=0,"",(IF(N154="",0,N154*Dimensoes!$C$2)+IF(O154="",0,O154*Dimensoes!$C$3)+IF(P154="",0,P154*Dimensoes!$C$4)+IF(Q154="",0,Q154*Dimensoes!$C$5))/(IF(N154="",0,Dimensoes!$C$2)+IF(O154="",0,Dimensoes!$C$3)+IF(P154="",0,Dimensoes!$C$4)+IF(Q154="",0,Dimensoes!$C$5))))</f>
        <v/>
      </c>
      <c r="S154" s="0" t="str">
        <f aca="false">IF(R154="","",IF(R154&lt;Faixas!$C$3,"vermelho",IF(R154&lt;Faixas!$C$4,"amarelo","verde")))</f>
        <v/>
      </c>
      <c r="T154" s="9" t="str">
        <f aca="false">IF($A154="","",IF(N154="",0,N154*Dimensoes!$C$2)+IF(O154="",0,O154*Dimensoes!$C$3)+IF(P154="",0,P154*Dimensoes!$C$4)+IF(Q154="",0,Q154*Dimensoes!$C$5))</f>
        <v/>
      </c>
      <c r="U154" s="0" t="str">
        <f aca="false">IF($A154="","",IF(OR(E154="concluida",E154="incompleta"),1,0))</f>
        <v/>
      </c>
    </row>
    <row r="155" customFormat="false" ht="15" hidden="false" customHeight="false" outlineLevel="0" collapsed="false">
      <c r="A155" s="0" t="str">
        <f aca="false">IF(Visitas!A155="","",Visitas!A155)</f>
        <v/>
      </c>
      <c r="B155" s="0" t="str">
        <f aca="false">IF($A155="","",Visitas!C155)</f>
        <v/>
      </c>
      <c r="C155" s="7" t="str">
        <f aca="false">IF($A155="","",Visitas!D155)</f>
        <v/>
      </c>
      <c r="D155" s="0" t="str">
        <f aca="false">IF($A155="","",Visitas!B155)</f>
        <v/>
      </c>
      <c r="E155" s="0" t="str">
        <f aca="false">IF($A155="","",Visitas!F155)</f>
        <v/>
      </c>
      <c r="F155" s="0" t="str">
        <f aca="false">IF($A155="","",SUMIFS(Avaliacoes!$G$2:$G$6000,Avaliacoes!$A$2:$A$6000,$A155,Avaliacoes!$F$2:$F$6000,"I",Avaliacoes!$H$2:$H$6000,0))</f>
        <v/>
      </c>
      <c r="G155" s="0" t="str">
        <f aca="false">IF($A155="","",SUMIFS(Avaliacoes!$G$2:$G$6000,Avaliacoes!$A$2:$A$6000,$A155,Avaliacoes!$F$2:$F$6000,"II",Avaliacoes!$H$2:$H$6000,0))</f>
        <v/>
      </c>
      <c r="H155" s="0" t="str">
        <f aca="false">IF($A155="","",SUMIFS(Avaliacoes!$G$2:$G$6000,Avaliacoes!$A$2:$A$6000,$A155,Avaliacoes!$F$2:$F$6000,"III",Avaliacoes!$H$2:$H$6000,0))</f>
        <v/>
      </c>
      <c r="I155" s="0" t="str">
        <f aca="false">IF($A155="","",SUMIFS(Avaliacoes!$G$2:$G$6000,Avaliacoes!$A$2:$A$6000,$A155,Avaliacoes!$F$2:$F$6000,"IV",Avaliacoes!$H$2:$H$6000,0))</f>
        <v/>
      </c>
      <c r="J155" s="0" t="str">
        <f aca="false">IF($A155="","",COUNTIFS(Avaliacoes!$A$2:$A$6000,$A155,Avaliacoes!$F$2:$F$6000,"I",Avaliacoes!$H$2:$H$6000,0,Avaliacoes!$G$2:$G$6000,"&lt;&gt;")*Dimensoes!$E$2)</f>
        <v/>
      </c>
      <c r="K155" s="0" t="str">
        <f aca="false">IF($A155="","",COUNTIFS(Avaliacoes!$A$2:$A$6000,$A155,Avaliacoes!$F$2:$F$6000,"II",Avaliacoes!$H$2:$H$6000,0,Avaliacoes!$G$2:$G$6000,"&lt;&gt;")*Dimensoes!$E$3)</f>
        <v/>
      </c>
      <c r="L155" s="0" t="str">
        <f aca="false">IF($A155="","",COUNTIFS(Avaliacoes!$A$2:$A$6000,$A155,Avaliacoes!$F$2:$F$6000,"III",Avaliacoes!$H$2:$H$6000,0,Avaliacoes!$G$2:$G$6000,"&lt;&gt;")*Dimensoes!$E$4)</f>
        <v/>
      </c>
      <c r="M155" s="0" t="str">
        <f aca="false">IF($A155="","",COUNTIFS(Avaliacoes!$A$2:$A$6000,$A155,Avaliacoes!$F$2:$F$6000,"IV",Avaliacoes!$H$2:$H$6000,0,Avaliacoes!$G$2:$G$6000,"&lt;&gt;")*Dimensoes!$E$5)</f>
        <v/>
      </c>
      <c r="N155" s="9" t="str">
        <f aca="false">IF($A155="","",IF(J155&gt;0,F155/J155,""))</f>
        <v/>
      </c>
      <c r="O155" s="9" t="str">
        <f aca="false">IF($A155="","",IF(K155&gt;0,G155/K155,""))</f>
        <v/>
      </c>
      <c r="P155" s="9" t="str">
        <f aca="false">IF($A155="","",IF(L155&gt;0,H155/L155,""))</f>
        <v/>
      </c>
      <c r="Q155" s="9" t="str">
        <f aca="false">IF($A155="","",IF(M155&gt;0,I155/M155,""))</f>
        <v/>
      </c>
      <c r="R155" s="17" t="str">
        <f aca="false">IF($A155="","",IF((IF(N155="",0,Dimensoes!$C$2)+IF(O155="",0,Dimensoes!$C$3)+IF(P155="",0,Dimensoes!$C$4)+IF(Q155="",0,Dimensoes!$C$5))=0,"",(IF(N155="",0,N155*Dimensoes!$C$2)+IF(O155="",0,O155*Dimensoes!$C$3)+IF(P155="",0,P155*Dimensoes!$C$4)+IF(Q155="",0,Q155*Dimensoes!$C$5))/(IF(N155="",0,Dimensoes!$C$2)+IF(O155="",0,Dimensoes!$C$3)+IF(P155="",0,Dimensoes!$C$4)+IF(Q155="",0,Dimensoes!$C$5))))</f>
        <v/>
      </c>
      <c r="S155" s="0" t="str">
        <f aca="false">IF(R155="","",IF(R155&lt;Faixas!$C$3,"vermelho",IF(R155&lt;Faixas!$C$4,"amarelo","verde")))</f>
        <v/>
      </c>
      <c r="T155" s="9" t="str">
        <f aca="false">IF($A155="","",IF(N155="",0,N155*Dimensoes!$C$2)+IF(O155="",0,O155*Dimensoes!$C$3)+IF(P155="",0,P155*Dimensoes!$C$4)+IF(Q155="",0,Q155*Dimensoes!$C$5))</f>
        <v/>
      </c>
      <c r="U155" s="0" t="str">
        <f aca="false">IF($A155="","",IF(OR(E155="concluida",E155="incompleta"),1,0))</f>
        <v/>
      </c>
    </row>
    <row r="156" customFormat="false" ht="15" hidden="false" customHeight="false" outlineLevel="0" collapsed="false">
      <c r="A156" s="0" t="str">
        <f aca="false">IF(Visitas!A156="","",Visitas!A156)</f>
        <v/>
      </c>
      <c r="B156" s="0" t="str">
        <f aca="false">IF($A156="","",Visitas!C156)</f>
        <v/>
      </c>
      <c r="C156" s="7" t="str">
        <f aca="false">IF($A156="","",Visitas!D156)</f>
        <v/>
      </c>
      <c r="D156" s="0" t="str">
        <f aca="false">IF($A156="","",Visitas!B156)</f>
        <v/>
      </c>
      <c r="E156" s="0" t="str">
        <f aca="false">IF($A156="","",Visitas!F156)</f>
        <v/>
      </c>
      <c r="F156" s="0" t="str">
        <f aca="false">IF($A156="","",SUMIFS(Avaliacoes!$G$2:$G$6000,Avaliacoes!$A$2:$A$6000,$A156,Avaliacoes!$F$2:$F$6000,"I",Avaliacoes!$H$2:$H$6000,0))</f>
        <v/>
      </c>
      <c r="G156" s="0" t="str">
        <f aca="false">IF($A156="","",SUMIFS(Avaliacoes!$G$2:$G$6000,Avaliacoes!$A$2:$A$6000,$A156,Avaliacoes!$F$2:$F$6000,"II",Avaliacoes!$H$2:$H$6000,0))</f>
        <v/>
      </c>
      <c r="H156" s="0" t="str">
        <f aca="false">IF($A156="","",SUMIFS(Avaliacoes!$G$2:$G$6000,Avaliacoes!$A$2:$A$6000,$A156,Avaliacoes!$F$2:$F$6000,"III",Avaliacoes!$H$2:$H$6000,0))</f>
        <v/>
      </c>
      <c r="I156" s="0" t="str">
        <f aca="false">IF($A156="","",SUMIFS(Avaliacoes!$G$2:$G$6000,Avaliacoes!$A$2:$A$6000,$A156,Avaliacoes!$F$2:$F$6000,"IV",Avaliacoes!$H$2:$H$6000,0))</f>
        <v/>
      </c>
      <c r="J156" s="0" t="str">
        <f aca="false">IF($A156="","",COUNTIFS(Avaliacoes!$A$2:$A$6000,$A156,Avaliacoes!$F$2:$F$6000,"I",Avaliacoes!$H$2:$H$6000,0,Avaliacoes!$G$2:$G$6000,"&lt;&gt;")*Dimensoes!$E$2)</f>
        <v/>
      </c>
      <c r="K156" s="0" t="str">
        <f aca="false">IF($A156="","",COUNTIFS(Avaliacoes!$A$2:$A$6000,$A156,Avaliacoes!$F$2:$F$6000,"II",Avaliacoes!$H$2:$H$6000,0,Avaliacoes!$G$2:$G$6000,"&lt;&gt;")*Dimensoes!$E$3)</f>
        <v/>
      </c>
      <c r="L156" s="0" t="str">
        <f aca="false">IF($A156="","",COUNTIFS(Avaliacoes!$A$2:$A$6000,$A156,Avaliacoes!$F$2:$F$6000,"III",Avaliacoes!$H$2:$H$6000,0,Avaliacoes!$G$2:$G$6000,"&lt;&gt;")*Dimensoes!$E$4)</f>
        <v/>
      </c>
      <c r="M156" s="0" t="str">
        <f aca="false">IF($A156="","",COUNTIFS(Avaliacoes!$A$2:$A$6000,$A156,Avaliacoes!$F$2:$F$6000,"IV",Avaliacoes!$H$2:$H$6000,0,Avaliacoes!$G$2:$G$6000,"&lt;&gt;")*Dimensoes!$E$5)</f>
        <v/>
      </c>
      <c r="N156" s="9" t="str">
        <f aca="false">IF($A156="","",IF(J156&gt;0,F156/J156,""))</f>
        <v/>
      </c>
      <c r="O156" s="9" t="str">
        <f aca="false">IF($A156="","",IF(K156&gt;0,G156/K156,""))</f>
        <v/>
      </c>
      <c r="P156" s="9" t="str">
        <f aca="false">IF($A156="","",IF(L156&gt;0,H156/L156,""))</f>
        <v/>
      </c>
      <c r="Q156" s="9" t="str">
        <f aca="false">IF($A156="","",IF(M156&gt;0,I156/M156,""))</f>
        <v/>
      </c>
      <c r="R156" s="17" t="str">
        <f aca="false">IF($A156="","",IF((IF(N156="",0,Dimensoes!$C$2)+IF(O156="",0,Dimensoes!$C$3)+IF(P156="",0,Dimensoes!$C$4)+IF(Q156="",0,Dimensoes!$C$5))=0,"",(IF(N156="",0,N156*Dimensoes!$C$2)+IF(O156="",0,O156*Dimensoes!$C$3)+IF(P156="",0,P156*Dimensoes!$C$4)+IF(Q156="",0,Q156*Dimensoes!$C$5))/(IF(N156="",0,Dimensoes!$C$2)+IF(O156="",0,Dimensoes!$C$3)+IF(P156="",0,Dimensoes!$C$4)+IF(Q156="",0,Dimensoes!$C$5))))</f>
        <v/>
      </c>
      <c r="S156" s="0" t="str">
        <f aca="false">IF(R156="","",IF(R156&lt;Faixas!$C$3,"vermelho",IF(R156&lt;Faixas!$C$4,"amarelo","verde")))</f>
        <v/>
      </c>
      <c r="T156" s="9" t="str">
        <f aca="false">IF($A156="","",IF(N156="",0,N156*Dimensoes!$C$2)+IF(O156="",0,O156*Dimensoes!$C$3)+IF(P156="",0,P156*Dimensoes!$C$4)+IF(Q156="",0,Q156*Dimensoes!$C$5))</f>
        <v/>
      </c>
      <c r="U156" s="0" t="str">
        <f aca="false">IF($A156="","",IF(OR(E156="concluida",E156="incompleta"),1,0))</f>
        <v/>
      </c>
    </row>
    <row r="157" customFormat="false" ht="15" hidden="false" customHeight="false" outlineLevel="0" collapsed="false">
      <c r="A157" s="0" t="str">
        <f aca="false">IF(Visitas!A157="","",Visitas!A157)</f>
        <v/>
      </c>
      <c r="B157" s="0" t="str">
        <f aca="false">IF($A157="","",Visitas!C157)</f>
        <v/>
      </c>
      <c r="C157" s="7" t="str">
        <f aca="false">IF($A157="","",Visitas!D157)</f>
        <v/>
      </c>
      <c r="D157" s="0" t="str">
        <f aca="false">IF($A157="","",Visitas!B157)</f>
        <v/>
      </c>
      <c r="E157" s="0" t="str">
        <f aca="false">IF($A157="","",Visitas!F157)</f>
        <v/>
      </c>
      <c r="F157" s="0" t="str">
        <f aca="false">IF($A157="","",SUMIFS(Avaliacoes!$G$2:$G$6000,Avaliacoes!$A$2:$A$6000,$A157,Avaliacoes!$F$2:$F$6000,"I",Avaliacoes!$H$2:$H$6000,0))</f>
        <v/>
      </c>
      <c r="G157" s="0" t="str">
        <f aca="false">IF($A157="","",SUMIFS(Avaliacoes!$G$2:$G$6000,Avaliacoes!$A$2:$A$6000,$A157,Avaliacoes!$F$2:$F$6000,"II",Avaliacoes!$H$2:$H$6000,0))</f>
        <v/>
      </c>
      <c r="H157" s="0" t="str">
        <f aca="false">IF($A157="","",SUMIFS(Avaliacoes!$G$2:$G$6000,Avaliacoes!$A$2:$A$6000,$A157,Avaliacoes!$F$2:$F$6000,"III",Avaliacoes!$H$2:$H$6000,0))</f>
        <v/>
      </c>
      <c r="I157" s="0" t="str">
        <f aca="false">IF($A157="","",SUMIFS(Avaliacoes!$G$2:$G$6000,Avaliacoes!$A$2:$A$6000,$A157,Avaliacoes!$F$2:$F$6000,"IV",Avaliacoes!$H$2:$H$6000,0))</f>
        <v/>
      </c>
      <c r="J157" s="0" t="str">
        <f aca="false">IF($A157="","",COUNTIFS(Avaliacoes!$A$2:$A$6000,$A157,Avaliacoes!$F$2:$F$6000,"I",Avaliacoes!$H$2:$H$6000,0,Avaliacoes!$G$2:$G$6000,"&lt;&gt;")*Dimensoes!$E$2)</f>
        <v/>
      </c>
      <c r="K157" s="0" t="str">
        <f aca="false">IF($A157="","",COUNTIFS(Avaliacoes!$A$2:$A$6000,$A157,Avaliacoes!$F$2:$F$6000,"II",Avaliacoes!$H$2:$H$6000,0,Avaliacoes!$G$2:$G$6000,"&lt;&gt;")*Dimensoes!$E$3)</f>
        <v/>
      </c>
      <c r="L157" s="0" t="str">
        <f aca="false">IF($A157="","",COUNTIFS(Avaliacoes!$A$2:$A$6000,$A157,Avaliacoes!$F$2:$F$6000,"III",Avaliacoes!$H$2:$H$6000,0,Avaliacoes!$G$2:$G$6000,"&lt;&gt;")*Dimensoes!$E$4)</f>
        <v/>
      </c>
      <c r="M157" s="0" t="str">
        <f aca="false">IF($A157="","",COUNTIFS(Avaliacoes!$A$2:$A$6000,$A157,Avaliacoes!$F$2:$F$6000,"IV",Avaliacoes!$H$2:$H$6000,0,Avaliacoes!$G$2:$G$6000,"&lt;&gt;")*Dimensoes!$E$5)</f>
        <v/>
      </c>
      <c r="N157" s="9" t="str">
        <f aca="false">IF($A157="","",IF(J157&gt;0,F157/J157,""))</f>
        <v/>
      </c>
      <c r="O157" s="9" t="str">
        <f aca="false">IF($A157="","",IF(K157&gt;0,G157/K157,""))</f>
        <v/>
      </c>
      <c r="P157" s="9" t="str">
        <f aca="false">IF($A157="","",IF(L157&gt;0,H157/L157,""))</f>
        <v/>
      </c>
      <c r="Q157" s="9" t="str">
        <f aca="false">IF($A157="","",IF(M157&gt;0,I157/M157,""))</f>
        <v/>
      </c>
      <c r="R157" s="17" t="str">
        <f aca="false">IF($A157="","",IF((IF(N157="",0,Dimensoes!$C$2)+IF(O157="",0,Dimensoes!$C$3)+IF(P157="",0,Dimensoes!$C$4)+IF(Q157="",0,Dimensoes!$C$5))=0,"",(IF(N157="",0,N157*Dimensoes!$C$2)+IF(O157="",0,O157*Dimensoes!$C$3)+IF(P157="",0,P157*Dimensoes!$C$4)+IF(Q157="",0,Q157*Dimensoes!$C$5))/(IF(N157="",0,Dimensoes!$C$2)+IF(O157="",0,Dimensoes!$C$3)+IF(P157="",0,Dimensoes!$C$4)+IF(Q157="",0,Dimensoes!$C$5))))</f>
        <v/>
      </c>
      <c r="S157" s="0" t="str">
        <f aca="false">IF(R157="","",IF(R157&lt;Faixas!$C$3,"vermelho",IF(R157&lt;Faixas!$C$4,"amarelo","verde")))</f>
        <v/>
      </c>
      <c r="T157" s="9" t="str">
        <f aca="false">IF($A157="","",IF(N157="",0,N157*Dimensoes!$C$2)+IF(O157="",0,O157*Dimensoes!$C$3)+IF(P157="",0,P157*Dimensoes!$C$4)+IF(Q157="",0,Q157*Dimensoes!$C$5))</f>
        <v/>
      </c>
      <c r="U157" s="0" t="str">
        <f aca="false">IF($A157="","",IF(OR(E157="concluida",E157="incompleta"),1,0))</f>
        <v/>
      </c>
    </row>
    <row r="158" customFormat="false" ht="15" hidden="false" customHeight="false" outlineLevel="0" collapsed="false">
      <c r="A158" s="0" t="str">
        <f aca="false">IF(Visitas!A158="","",Visitas!A158)</f>
        <v/>
      </c>
      <c r="B158" s="0" t="str">
        <f aca="false">IF($A158="","",Visitas!C158)</f>
        <v/>
      </c>
      <c r="C158" s="7" t="str">
        <f aca="false">IF($A158="","",Visitas!D158)</f>
        <v/>
      </c>
      <c r="D158" s="0" t="str">
        <f aca="false">IF($A158="","",Visitas!B158)</f>
        <v/>
      </c>
      <c r="E158" s="0" t="str">
        <f aca="false">IF($A158="","",Visitas!F158)</f>
        <v/>
      </c>
      <c r="F158" s="0" t="str">
        <f aca="false">IF($A158="","",SUMIFS(Avaliacoes!$G$2:$G$6000,Avaliacoes!$A$2:$A$6000,$A158,Avaliacoes!$F$2:$F$6000,"I",Avaliacoes!$H$2:$H$6000,0))</f>
        <v/>
      </c>
      <c r="G158" s="0" t="str">
        <f aca="false">IF($A158="","",SUMIFS(Avaliacoes!$G$2:$G$6000,Avaliacoes!$A$2:$A$6000,$A158,Avaliacoes!$F$2:$F$6000,"II",Avaliacoes!$H$2:$H$6000,0))</f>
        <v/>
      </c>
      <c r="H158" s="0" t="str">
        <f aca="false">IF($A158="","",SUMIFS(Avaliacoes!$G$2:$G$6000,Avaliacoes!$A$2:$A$6000,$A158,Avaliacoes!$F$2:$F$6000,"III",Avaliacoes!$H$2:$H$6000,0))</f>
        <v/>
      </c>
      <c r="I158" s="0" t="str">
        <f aca="false">IF($A158="","",SUMIFS(Avaliacoes!$G$2:$G$6000,Avaliacoes!$A$2:$A$6000,$A158,Avaliacoes!$F$2:$F$6000,"IV",Avaliacoes!$H$2:$H$6000,0))</f>
        <v/>
      </c>
      <c r="J158" s="0" t="str">
        <f aca="false">IF($A158="","",COUNTIFS(Avaliacoes!$A$2:$A$6000,$A158,Avaliacoes!$F$2:$F$6000,"I",Avaliacoes!$H$2:$H$6000,0,Avaliacoes!$G$2:$G$6000,"&lt;&gt;")*Dimensoes!$E$2)</f>
        <v/>
      </c>
      <c r="K158" s="0" t="str">
        <f aca="false">IF($A158="","",COUNTIFS(Avaliacoes!$A$2:$A$6000,$A158,Avaliacoes!$F$2:$F$6000,"II",Avaliacoes!$H$2:$H$6000,0,Avaliacoes!$G$2:$G$6000,"&lt;&gt;")*Dimensoes!$E$3)</f>
        <v/>
      </c>
      <c r="L158" s="0" t="str">
        <f aca="false">IF($A158="","",COUNTIFS(Avaliacoes!$A$2:$A$6000,$A158,Avaliacoes!$F$2:$F$6000,"III",Avaliacoes!$H$2:$H$6000,0,Avaliacoes!$G$2:$G$6000,"&lt;&gt;")*Dimensoes!$E$4)</f>
        <v/>
      </c>
      <c r="M158" s="0" t="str">
        <f aca="false">IF($A158="","",COUNTIFS(Avaliacoes!$A$2:$A$6000,$A158,Avaliacoes!$F$2:$F$6000,"IV",Avaliacoes!$H$2:$H$6000,0,Avaliacoes!$G$2:$G$6000,"&lt;&gt;")*Dimensoes!$E$5)</f>
        <v/>
      </c>
      <c r="N158" s="9" t="str">
        <f aca="false">IF($A158="","",IF(J158&gt;0,F158/J158,""))</f>
        <v/>
      </c>
      <c r="O158" s="9" t="str">
        <f aca="false">IF($A158="","",IF(K158&gt;0,G158/K158,""))</f>
        <v/>
      </c>
      <c r="P158" s="9" t="str">
        <f aca="false">IF($A158="","",IF(L158&gt;0,H158/L158,""))</f>
        <v/>
      </c>
      <c r="Q158" s="9" t="str">
        <f aca="false">IF($A158="","",IF(M158&gt;0,I158/M158,""))</f>
        <v/>
      </c>
      <c r="R158" s="17" t="str">
        <f aca="false">IF($A158="","",IF((IF(N158="",0,Dimensoes!$C$2)+IF(O158="",0,Dimensoes!$C$3)+IF(P158="",0,Dimensoes!$C$4)+IF(Q158="",0,Dimensoes!$C$5))=0,"",(IF(N158="",0,N158*Dimensoes!$C$2)+IF(O158="",0,O158*Dimensoes!$C$3)+IF(P158="",0,P158*Dimensoes!$C$4)+IF(Q158="",0,Q158*Dimensoes!$C$5))/(IF(N158="",0,Dimensoes!$C$2)+IF(O158="",0,Dimensoes!$C$3)+IF(P158="",0,Dimensoes!$C$4)+IF(Q158="",0,Dimensoes!$C$5))))</f>
        <v/>
      </c>
      <c r="S158" s="0" t="str">
        <f aca="false">IF(R158="","",IF(R158&lt;Faixas!$C$3,"vermelho",IF(R158&lt;Faixas!$C$4,"amarelo","verde")))</f>
        <v/>
      </c>
      <c r="T158" s="9" t="str">
        <f aca="false">IF($A158="","",IF(N158="",0,N158*Dimensoes!$C$2)+IF(O158="",0,O158*Dimensoes!$C$3)+IF(P158="",0,P158*Dimensoes!$C$4)+IF(Q158="",0,Q158*Dimensoes!$C$5))</f>
        <v/>
      </c>
      <c r="U158" s="0" t="str">
        <f aca="false">IF($A158="","",IF(OR(E158="concluida",E158="incompleta"),1,0))</f>
        <v/>
      </c>
    </row>
    <row r="159" customFormat="false" ht="15" hidden="false" customHeight="false" outlineLevel="0" collapsed="false">
      <c r="A159" s="0" t="str">
        <f aca="false">IF(Visitas!A159="","",Visitas!A159)</f>
        <v/>
      </c>
      <c r="B159" s="0" t="str">
        <f aca="false">IF($A159="","",Visitas!C159)</f>
        <v/>
      </c>
      <c r="C159" s="7" t="str">
        <f aca="false">IF($A159="","",Visitas!D159)</f>
        <v/>
      </c>
      <c r="D159" s="0" t="str">
        <f aca="false">IF($A159="","",Visitas!B159)</f>
        <v/>
      </c>
      <c r="E159" s="0" t="str">
        <f aca="false">IF($A159="","",Visitas!F159)</f>
        <v/>
      </c>
      <c r="F159" s="0" t="str">
        <f aca="false">IF($A159="","",SUMIFS(Avaliacoes!$G$2:$G$6000,Avaliacoes!$A$2:$A$6000,$A159,Avaliacoes!$F$2:$F$6000,"I",Avaliacoes!$H$2:$H$6000,0))</f>
        <v/>
      </c>
      <c r="G159" s="0" t="str">
        <f aca="false">IF($A159="","",SUMIFS(Avaliacoes!$G$2:$G$6000,Avaliacoes!$A$2:$A$6000,$A159,Avaliacoes!$F$2:$F$6000,"II",Avaliacoes!$H$2:$H$6000,0))</f>
        <v/>
      </c>
      <c r="H159" s="0" t="str">
        <f aca="false">IF($A159="","",SUMIFS(Avaliacoes!$G$2:$G$6000,Avaliacoes!$A$2:$A$6000,$A159,Avaliacoes!$F$2:$F$6000,"III",Avaliacoes!$H$2:$H$6000,0))</f>
        <v/>
      </c>
      <c r="I159" s="0" t="str">
        <f aca="false">IF($A159="","",SUMIFS(Avaliacoes!$G$2:$G$6000,Avaliacoes!$A$2:$A$6000,$A159,Avaliacoes!$F$2:$F$6000,"IV",Avaliacoes!$H$2:$H$6000,0))</f>
        <v/>
      </c>
      <c r="J159" s="0" t="str">
        <f aca="false">IF($A159="","",COUNTIFS(Avaliacoes!$A$2:$A$6000,$A159,Avaliacoes!$F$2:$F$6000,"I",Avaliacoes!$H$2:$H$6000,0,Avaliacoes!$G$2:$G$6000,"&lt;&gt;")*Dimensoes!$E$2)</f>
        <v/>
      </c>
      <c r="K159" s="0" t="str">
        <f aca="false">IF($A159="","",COUNTIFS(Avaliacoes!$A$2:$A$6000,$A159,Avaliacoes!$F$2:$F$6000,"II",Avaliacoes!$H$2:$H$6000,0,Avaliacoes!$G$2:$G$6000,"&lt;&gt;")*Dimensoes!$E$3)</f>
        <v/>
      </c>
      <c r="L159" s="0" t="str">
        <f aca="false">IF($A159="","",COUNTIFS(Avaliacoes!$A$2:$A$6000,$A159,Avaliacoes!$F$2:$F$6000,"III",Avaliacoes!$H$2:$H$6000,0,Avaliacoes!$G$2:$G$6000,"&lt;&gt;")*Dimensoes!$E$4)</f>
        <v/>
      </c>
      <c r="M159" s="0" t="str">
        <f aca="false">IF($A159="","",COUNTIFS(Avaliacoes!$A$2:$A$6000,$A159,Avaliacoes!$F$2:$F$6000,"IV",Avaliacoes!$H$2:$H$6000,0,Avaliacoes!$G$2:$G$6000,"&lt;&gt;")*Dimensoes!$E$5)</f>
        <v/>
      </c>
      <c r="N159" s="9" t="str">
        <f aca="false">IF($A159="","",IF(J159&gt;0,F159/J159,""))</f>
        <v/>
      </c>
      <c r="O159" s="9" t="str">
        <f aca="false">IF($A159="","",IF(K159&gt;0,G159/K159,""))</f>
        <v/>
      </c>
      <c r="P159" s="9" t="str">
        <f aca="false">IF($A159="","",IF(L159&gt;0,H159/L159,""))</f>
        <v/>
      </c>
      <c r="Q159" s="9" t="str">
        <f aca="false">IF($A159="","",IF(M159&gt;0,I159/M159,""))</f>
        <v/>
      </c>
      <c r="R159" s="17" t="str">
        <f aca="false">IF($A159="","",IF((IF(N159="",0,Dimensoes!$C$2)+IF(O159="",0,Dimensoes!$C$3)+IF(P159="",0,Dimensoes!$C$4)+IF(Q159="",0,Dimensoes!$C$5))=0,"",(IF(N159="",0,N159*Dimensoes!$C$2)+IF(O159="",0,O159*Dimensoes!$C$3)+IF(P159="",0,P159*Dimensoes!$C$4)+IF(Q159="",0,Q159*Dimensoes!$C$5))/(IF(N159="",0,Dimensoes!$C$2)+IF(O159="",0,Dimensoes!$C$3)+IF(P159="",0,Dimensoes!$C$4)+IF(Q159="",0,Dimensoes!$C$5))))</f>
        <v/>
      </c>
      <c r="S159" s="0" t="str">
        <f aca="false">IF(R159="","",IF(R159&lt;Faixas!$C$3,"vermelho",IF(R159&lt;Faixas!$C$4,"amarelo","verde")))</f>
        <v/>
      </c>
      <c r="T159" s="9" t="str">
        <f aca="false">IF($A159="","",IF(N159="",0,N159*Dimensoes!$C$2)+IF(O159="",0,O159*Dimensoes!$C$3)+IF(P159="",0,P159*Dimensoes!$C$4)+IF(Q159="",0,Q159*Dimensoes!$C$5))</f>
        <v/>
      </c>
      <c r="U159" s="0" t="str">
        <f aca="false">IF($A159="","",IF(OR(E159="concluida",E159="incompleta"),1,0))</f>
        <v/>
      </c>
    </row>
    <row r="160" customFormat="false" ht="15" hidden="false" customHeight="false" outlineLevel="0" collapsed="false">
      <c r="A160" s="0" t="str">
        <f aca="false">IF(Visitas!A160="","",Visitas!A160)</f>
        <v/>
      </c>
      <c r="B160" s="0" t="str">
        <f aca="false">IF($A160="","",Visitas!C160)</f>
        <v/>
      </c>
      <c r="C160" s="7" t="str">
        <f aca="false">IF($A160="","",Visitas!D160)</f>
        <v/>
      </c>
      <c r="D160" s="0" t="str">
        <f aca="false">IF($A160="","",Visitas!B160)</f>
        <v/>
      </c>
      <c r="E160" s="0" t="str">
        <f aca="false">IF($A160="","",Visitas!F160)</f>
        <v/>
      </c>
      <c r="F160" s="0" t="str">
        <f aca="false">IF($A160="","",SUMIFS(Avaliacoes!$G$2:$G$6000,Avaliacoes!$A$2:$A$6000,$A160,Avaliacoes!$F$2:$F$6000,"I",Avaliacoes!$H$2:$H$6000,0))</f>
        <v/>
      </c>
      <c r="G160" s="0" t="str">
        <f aca="false">IF($A160="","",SUMIFS(Avaliacoes!$G$2:$G$6000,Avaliacoes!$A$2:$A$6000,$A160,Avaliacoes!$F$2:$F$6000,"II",Avaliacoes!$H$2:$H$6000,0))</f>
        <v/>
      </c>
      <c r="H160" s="0" t="str">
        <f aca="false">IF($A160="","",SUMIFS(Avaliacoes!$G$2:$G$6000,Avaliacoes!$A$2:$A$6000,$A160,Avaliacoes!$F$2:$F$6000,"III",Avaliacoes!$H$2:$H$6000,0))</f>
        <v/>
      </c>
      <c r="I160" s="0" t="str">
        <f aca="false">IF($A160="","",SUMIFS(Avaliacoes!$G$2:$G$6000,Avaliacoes!$A$2:$A$6000,$A160,Avaliacoes!$F$2:$F$6000,"IV",Avaliacoes!$H$2:$H$6000,0))</f>
        <v/>
      </c>
      <c r="J160" s="0" t="str">
        <f aca="false">IF($A160="","",COUNTIFS(Avaliacoes!$A$2:$A$6000,$A160,Avaliacoes!$F$2:$F$6000,"I",Avaliacoes!$H$2:$H$6000,0,Avaliacoes!$G$2:$G$6000,"&lt;&gt;")*Dimensoes!$E$2)</f>
        <v/>
      </c>
      <c r="K160" s="0" t="str">
        <f aca="false">IF($A160="","",COUNTIFS(Avaliacoes!$A$2:$A$6000,$A160,Avaliacoes!$F$2:$F$6000,"II",Avaliacoes!$H$2:$H$6000,0,Avaliacoes!$G$2:$G$6000,"&lt;&gt;")*Dimensoes!$E$3)</f>
        <v/>
      </c>
      <c r="L160" s="0" t="str">
        <f aca="false">IF($A160="","",COUNTIFS(Avaliacoes!$A$2:$A$6000,$A160,Avaliacoes!$F$2:$F$6000,"III",Avaliacoes!$H$2:$H$6000,0,Avaliacoes!$G$2:$G$6000,"&lt;&gt;")*Dimensoes!$E$4)</f>
        <v/>
      </c>
      <c r="M160" s="0" t="str">
        <f aca="false">IF($A160="","",COUNTIFS(Avaliacoes!$A$2:$A$6000,$A160,Avaliacoes!$F$2:$F$6000,"IV",Avaliacoes!$H$2:$H$6000,0,Avaliacoes!$G$2:$G$6000,"&lt;&gt;")*Dimensoes!$E$5)</f>
        <v/>
      </c>
      <c r="N160" s="9" t="str">
        <f aca="false">IF($A160="","",IF(J160&gt;0,F160/J160,""))</f>
        <v/>
      </c>
      <c r="O160" s="9" t="str">
        <f aca="false">IF($A160="","",IF(K160&gt;0,G160/K160,""))</f>
        <v/>
      </c>
      <c r="P160" s="9" t="str">
        <f aca="false">IF($A160="","",IF(L160&gt;0,H160/L160,""))</f>
        <v/>
      </c>
      <c r="Q160" s="9" t="str">
        <f aca="false">IF($A160="","",IF(M160&gt;0,I160/M160,""))</f>
        <v/>
      </c>
      <c r="R160" s="17" t="str">
        <f aca="false">IF($A160="","",IF((IF(N160="",0,Dimensoes!$C$2)+IF(O160="",0,Dimensoes!$C$3)+IF(P160="",0,Dimensoes!$C$4)+IF(Q160="",0,Dimensoes!$C$5))=0,"",(IF(N160="",0,N160*Dimensoes!$C$2)+IF(O160="",0,O160*Dimensoes!$C$3)+IF(P160="",0,P160*Dimensoes!$C$4)+IF(Q160="",0,Q160*Dimensoes!$C$5))/(IF(N160="",0,Dimensoes!$C$2)+IF(O160="",0,Dimensoes!$C$3)+IF(P160="",0,Dimensoes!$C$4)+IF(Q160="",0,Dimensoes!$C$5))))</f>
        <v/>
      </c>
      <c r="S160" s="0" t="str">
        <f aca="false">IF(R160="","",IF(R160&lt;Faixas!$C$3,"vermelho",IF(R160&lt;Faixas!$C$4,"amarelo","verde")))</f>
        <v/>
      </c>
      <c r="T160" s="9" t="str">
        <f aca="false">IF($A160="","",IF(N160="",0,N160*Dimensoes!$C$2)+IF(O160="",0,O160*Dimensoes!$C$3)+IF(P160="",0,P160*Dimensoes!$C$4)+IF(Q160="",0,Q160*Dimensoes!$C$5))</f>
        <v/>
      </c>
      <c r="U160" s="0" t="str">
        <f aca="false">IF($A160="","",IF(OR(E160="concluida",E160="incompleta"),1,0))</f>
        <v/>
      </c>
    </row>
    <row r="161" customFormat="false" ht="15" hidden="false" customHeight="false" outlineLevel="0" collapsed="false">
      <c r="A161" s="0" t="str">
        <f aca="false">IF(Visitas!A161="","",Visitas!A161)</f>
        <v/>
      </c>
      <c r="B161" s="0" t="str">
        <f aca="false">IF($A161="","",Visitas!C161)</f>
        <v/>
      </c>
      <c r="C161" s="7" t="str">
        <f aca="false">IF($A161="","",Visitas!D161)</f>
        <v/>
      </c>
      <c r="D161" s="0" t="str">
        <f aca="false">IF($A161="","",Visitas!B161)</f>
        <v/>
      </c>
      <c r="E161" s="0" t="str">
        <f aca="false">IF($A161="","",Visitas!F161)</f>
        <v/>
      </c>
      <c r="F161" s="0" t="str">
        <f aca="false">IF($A161="","",SUMIFS(Avaliacoes!$G$2:$G$6000,Avaliacoes!$A$2:$A$6000,$A161,Avaliacoes!$F$2:$F$6000,"I",Avaliacoes!$H$2:$H$6000,0))</f>
        <v/>
      </c>
      <c r="G161" s="0" t="str">
        <f aca="false">IF($A161="","",SUMIFS(Avaliacoes!$G$2:$G$6000,Avaliacoes!$A$2:$A$6000,$A161,Avaliacoes!$F$2:$F$6000,"II",Avaliacoes!$H$2:$H$6000,0))</f>
        <v/>
      </c>
      <c r="H161" s="0" t="str">
        <f aca="false">IF($A161="","",SUMIFS(Avaliacoes!$G$2:$G$6000,Avaliacoes!$A$2:$A$6000,$A161,Avaliacoes!$F$2:$F$6000,"III",Avaliacoes!$H$2:$H$6000,0))</f>
        <v/>
      </c>
      <c r="I161" s="0" t="str">
        <f aca="false">IF($A161="","",SUMIFS(Avaliacoes!$G$2:$G$6000,Avaliacoes!$A$2:$A$6000,$A161,Avaliacoes!$F$2:$F$6000,"IV",Avaliacoes!$H$2:$H$6000,0))</f>
        <v/>
      </c>
      <c r="J161" s="0" t="str">
        <f aca="false">IF($A161="","",COUNTIFS(Avaliacoes!$A$2:$A$6000,$A161,Avaliacoes!$F$2:$F$6000,"I",Avaliacoes!$H$2:$H$6000,0,Avaliacoes!$G$2:$G$6000,"&lt;&gt;")*Dimensoes!$E$2)</f>
        <v/>
      </c>
      <c r="K161" s="0" t="str">
        <f aca="false">IF($A161="","",COUNTIFS(Avaliacoes!$A$2:$A$6000,$A161,Avaliacoes!$F$2:$F$6000,"II",Avaliacoes!$H$2:$H$6000,0,Avaliacoes!$G$2:$G$6000,"&lt;&gt;")*Dimensoes!$E$3)</f>
        <v/>
      </c>
      <c r="L161" s="0" t="str">
        <f aca="false">IF($A161="","",COUNTIFS(Avaliacoes!$A$2:$A$6000,$A161,Avaliacoes!$F$2:$F$6000,"III",Avaliacoes!$H$2:$H$6000,0,Avaliacoes!$G$2:$G$6000,"&lt;&gt;")*Dimensoes!$E$4)</f>
        <v/>
      </c>
      <c r="M161" s="0" t="str">
        <f aca="false">IF($A161="","",COUNTIFS(Avaliacoes!$A$2:$A$6000,$A161,Avaliacoes!$F$2:$F$6000,"IV",Avaliacoes!$H$2:$H$6000,0,Avaliacoes!$G$2:$G$6000,"&lt;&gt;")*Dimensoes!$E$5)</f>
        <v/>
      </c>
      <c r="N161" s="9" t="str">
        <f aca="false">IF($A161="","",IF(J161&gt;0,F161/J161,""))</f>
        <v/>
      </c>
      <c r="O161" s="9" t="str">
        <f aca="false">IF($A161="","",IF(K161&gt;0,G161/K161,""))</f>
        <v/>
      </c>
      <c r="P161" s="9" t="str">
        <f aca="false">IF($A161="","",IF(L161&gt;0,H161/L161,""))</f>
        <v/>
      </c>
      <c r="Q161" s="9" t="str">
        <f aca="false">IF($A161="","",IF(M161&gt;0,I161/M161,""))</f>
        <v/>
      </c>
      <c r="R161" s="17" t="str">
        <f aca="false">IF($A161="","",IF((IF(N161="",0,Dimensoes!$C$2)+IF(O161="",0,Dimensoes!$C$3)+IF(P161="",0,Dimensoes!$C$4)+IF(Q161="",0,Dimensoes!$C$5))=0,"",(IF(N161="",0,N161*Dimensoes!$C$2)+IF(O161="",0,O161*Dimensoes!$C$3)+IF(P161="",0,P161*Dimensoes!$C$4)+IF(Q161="",0,Q161*Dimensoes!$C$5))/(IF(N161="",0,Dimensoes!$C$2)+IF(O161="",0,Dimensoes!$C$3)+IF(P161="",0,Dimensoes!$C$4)+IF(Q161="",0,Dimensoes!$C$5))))</f>
        <v/>
      </c>
      <c r="S161" s="0" t="str">
        <f aca="false">IF(R161="","",IF(R161&lt;Faixas!$C$3,"vermelho",IF(R161&lt;Faixas!$C$4,"amarelo","verde")))</f>
        <v/>
      </c>
      <c r="T161" s="9" t="str">
        <f aca="false">IF($A161="","",IF(N161="",0,N161*Dimensoes!$C$2)+IF(O161="",0,O161*Dimensoes!$C$3)+IF(P161="",0,P161*Dimensoes!$C$4)+IF(Q161="",0,Q161*Dimensoes!$C$5))</f>
        <v/>
      </c>
      <c r="U161" s="0" t="str">
        <f aca="false">IF($A161="","",IF(OR(E161="concluida",E161="incompleta"),1,0))</f>
        <v/>
      </c>
    </row>
    <row r="162" customFormat="false" ht="15" hidden="false" customHeight="false" outlineLevel="0" collapsed="false">
      <c r="A162" s="0" t="str">
        <f aca="false">IF(Visitas!A162="","",Visitas!A162)</f>
        <v/>
      </c>
      <c r="B162" s="0" t="str">
        <f aca="false">IF($A162="","",Visitas!C162)</f>
        <v/>
      </c>
      <c r="C162" s="7" t="str">
        <f aca="false">IF($A162="","",Visitas!D162)</f>
        <v/>
      </c>
      <c r="D162" s="0" t="str">
        <f aca="false">IF($A162="","",Visitas!B162)</f>
        <v/>
      </c>
      <c r="E162" s="0" t="str">
        <f aca="false">IF($A162="","",Visitas!F162)</f>
        <v/>
      </c>
      <c r="F162" s="0" t="str">
        <f aca="false">IF($A162="","",SUMIFS(Avaliacoes!$G$2:$G$6000,Avaliacoes!$A$2:$A$6000,$A162,Avaliacoes!$F$2:$F$6000,"I",Avaliacoes!$H$2:$H$6000,0))</f>
        <v/>
      </c>
      <c r="G162" s="0" t="str">
        <f aca="false">IF($A162="","",SUMIFS(Avaliacoes!$G$2:$G$6000,Avaliacoes!$A$2:$A$6000,$A162,Avaliacoes!$F$2:$F$6000,"II",Avaliacoes!$H$2:$H$6000,0))</f>
        <v/>
      </c>
      <c r="H162" s="0" t="str">
        <f aca="false">IF($A162="","",SUMIFS(Avaliacoes!$G$2:$G$6000,Avaliacoes!$A$2:$A$6000,$A162,Avaliacoes!$F$2:$F$6000,"III",Avaliacoes!$H$2:$H$6000,0))</f>
        <v/>
      </c>
      <c r="I162" s="0" t="str">
        <f aca="false">IF($A162="","",SUMIFS(Avaliacoes!$G$2:$G$6000,Avaliacoes!$A$2:$A$6000,$A162,Avaliacoes!$F$2:$F$6000,"IV",Avaliacoes!$H$2:$H$6000,0))</f>
        <v/>
      </c>
      <c r="J162" s="0" t="str">
        <f aca="false">IF($A162="","",COUNTIFS(Avaliacoes!$A$2:$A$6000,$A162,Avaliacoes!$F$2:$F$6000,"I",Avaliacoes!$H$2:$H$6000,0,Avaliacoes!$G$2:$G$6000,"&lt;&gt;")*Dimensoes!$E$2)</f>
        <v/>
      </c>
      <c r="K162" s="0" t="str">
        <f aca="false">IF($A162="","",COUNTIFS(Avaliacoes!$A$2:$A$6000,$A162,Avaliacoes!$F$2:$F$6000,"II",Avaliacoes!$H$2:$H$6000,0,Avaliacoes!$G$2:$G$6000,"&lt;&gt;")*Dimensoes!$E$3)</f>
        <v/>
      </c>
      <c r="L162" s="0" t="str">
        <f aca="false">IF($A162="","",COUNTIFS(Avaliacoes!$A$2:$A$6000,$A162,Avaliacoes!$F$2:$F$6000,"III",Avaliacoes!$H$2:$H$6000,0,Avaliacoes!$G$2:$G$6000,"&lt;&gt;")*Dimensoes!$E$4)</f>
        <v/>
      </c>
      <c r="M162" s="0" t="str">
        <f aca="false">IF($A162="","",COUNTIFS(Avaliacoes!$A$2:$A$6000,$A162,Avaliacoes!$F$2:$F$6000,"IV",Avaliacoes!$H$2:$H$6000,0,Avaliacoes!$G$2:$G$6000,"&lt;&gt;")*Dimensoes!$E$5)</f>
        <v/>
      </c>
      <c r="N162" s="9" t="str">
        <f aca="false">IF($A162="","",IF(J162&gt;0,F162/J162,""))</f>
        <v/>
      </c>
      <c r="O162" s="9" t="str">
        <f aca="false">IF($A162="","",IF(K162&gt;0,G162/K162,""))</f>
        <v/>
      </c>
      <c r="P162" s="9" t="str">
        <f aca="false">IF($A162="","",IF(L162&gt;0,H162/L162,""))</f>
        <v/>
      </c>
      <c r="Q162" s="9" t="str">
        <f aca="false">IF($A162="","",IF(M162&gt;0,I162/M162,""))</f>
        <v/>
      </c>
      <c r="R162" s="17" t="str">
        <f aca="false">IF($A162="","",IF((IF(N162="",0,Dimensoes!$C$2)+IF(O162="",0,Dimensoes!$C$3)+IF(P162="",0,Dimensoes!$C$4)+IF(Q162="",0,Dimensoes!$C$5))=0,"",(IF(N162="",0,N162*Dimensoes!$C$2)+IF(O162="",0,O162*Dimensoes!$C$3)+IF(P162="",0,P162*Dimensoes!$C$4)+IF(Q162="",0,Q162*Dimensoes!$C$5))/(IF(N162="",0,Dimensoes!$C$2)+IF(O162="",0,Dimensoes!$C$3)+IF(P162="",0,Dimensoes!$C$4)+IF(Q162="",0,Dimensoes!$C$5))))</f>
        <v/>
      </c>
      <c r="S162" s="0" t="str">
        <f aca="false">IF(R162="","",IF(R162&lt;Faixas!$C$3,"vermelho",IF(R162&lt;Faixas!$C$4,"amarelo","verde")))</f>
        <v/>
      </c>
      <c r="T162" s="9" t="str">
        <f aca="false">IF($A162="","",IF(N162="",0,N162*Dimensoes!$C$2)+IF(O162="",0,O162*Dimensoes!$C$3)+IF(P162="",0,P162*Dimensoes!$C$4)+IF(Q162="",0,Q162*Dimensoes!$C$5))</f>
        <v/>
      </c>
      <c r="U162" s="0" t="str">
        <f aca="false">IF($A162="","",IF(OR(E162="concluida",E162="incompleta"),1,0))</f>
        <v/>
      </c>
    </row>
    <row r="163" customFormat="false" ht="15" hidden="false" customHeight="false" outlineLevel="0" collapsed="false">
      <c r="A163" s="0" t="str">
        <f aca="false">IF(Visitas!A163="","",Visitas!A163)</f>
        <v/>
      </c>
      <c r="B163" s="0" t="str">
        <f aca="false">IF($A163="","",Visitas!C163)</f>
        <v/>
      </c>
      <c r="C163" s="7" t="str">
        <f aca="false">IF($A163="","",Visitas!D163)</f>
        <v/>
      </c>
      <c r="D163" s="0" t="str">
        <f aca="false">IF($A163="","",Visitas!B163)</f>
        <v/>
      </c>
      <c r="E163" s="0" t="str">
        <f aca="false">IF($A163="","",Visitas!F163)</f>
        <v/>
      </c>
      <c r="F163" s="0" t="str">
        <f aca="false">IF($A163="","",SUMIFS(Avaliacoes!$G$2:$G$6000,Avaliacoes!$A$2:$A$6000,$A163,Avaliacoes!$F$2:$F$6000,"I",Avaliacoes!$H$2:$H$6000,0))</f>
        <v/>
      </c>
      <c r="G163" s="0" t="str">
        <f aca="false">IF($A163="","",SUMIFS(Avaliacoes!$G$2:$G$6000,Avaliacoes!$A$2:$A$6000,$A163,Avaliacoes!$F$2:$F$6000,"II",Avaliacoes!$H$2:$H$6000,0))</f>
        <v/>
      </c>
      <c r="H163" s="0" t="str">
        <f aca="false">IF($A163="","",SUMIFS(Avaliacoes!$G$2:$G$6000,Avaliacoes!$A$2:$A$6000,$A163,Avaliacoes!$F$2:$F$6000,"III",Avaliacoes!$H$2:$H$6000,0))</f>
        <v/>
      </c>
      <c r="I163" s="0" t="str">
        <f aca="false">IF($A163="","",SUMIFS(Avaliacoes!$G$2:$G$6000,Avaliacoes!$A$2:$A$6000,$A163,Avaliacoes!$F$2:$F$6000,"IV",Avaliacoes!$H$2:$H$6000,0))</f>
        <v/>
      </c>
      <c r="J163" s="0" t="str">
        <f aca="false">IF($A163="","",COUNTIFS(Avaliacoes!$A$2:$A$6000,$A163,Avaliacoes!$F$2:$F$6000,"I",Avaliacoes!$H$2:$H$6000,0,Avaliacoes!$G$2:$G$6000,"&lt;&gt;")*Dimensoes!$E$2)</f>
        <v/>
      </c>
      <c r="K163" s="0" t="str">
        <f aca="false">IF($A163="","",COUNTIFS(Avaliacoes!$A$2:$A$6000,$A163,Avaliacoes!$F$2:$F$6000,"II",Avaliacoes!$H$2:$H$6000,0,Avaliacoes!$G$2:$G$6000,"&lt;&gt;")*Dimensoes!$E$3)</f>
        <v/>
      </c>
      <c r="L163" s="0" t="str">
        <f aca="false">IF($A163="","",COUNTIFS(Avaliacoes!$A$2:$A$6000,$A163,Avaliacoes!$F$2:$F$6000,"III",Avaliacoes!$H$2:$H$6000,0,Avaliacoes!$G$2:$G$6000,"&lt;&gt;")*Dimensoes!$E$4)</f>
        <v/>
      </c>
      <c r="M163" s="0" t="str">
        <f aca="false">IF($A163="","",COUNTIFS(Avaliacoes!$A$2:$A$6000,$A163,Avaliacoes!$F$2:$F$6000,"IV",Avaliacoes!$H$2:$H$6000,0,Avaliacoes!$G$2:$G$6000,"&lt;&gt;")*Dimensoes!$E$5)</f>
        <v/>
      </c>
      <c r="N163" s="9" t="str">
        <f aca="false">IF($A163="","",IF(J163&gt;0,F163/J163,""))</f>
        <v/>
      </c>
      <c r="O163" s="9" t="str">
        <f aca="false">IF($A163="","",IF(K163&gt;0,G163/K163,""))</f>
        <v/>
      </c>
      <c r="P163" s="9" t="str">
        <f aca="false">IF($A163="","",IF(L163&gt;0,H163/L163,""))</f>
        <v/>
      </c>
      <c r="Q163" s="9" t="str">
        <f aca="false">IF($A163="","",IF(M163&gt;0,I163/M163,""))</f>
        <v/>
      </c>
      <c r="R163" s="17" t="str">
        <f aca="false">IF($A163="","",IF((IF(N163="",0,Dimensoes!$C$2)+IF(O163="",0,Dimensoes!$C$3)+IF(P163="",0,Dimensoes!$C$4)+IF(Q163="",0,Dimensoes!$C$5))=0,"",(IF(N163="",0,N163*Dimensoes!$C$2)+IF(O163="",0,O163*Dimensoes!$C$3)+IF(P163="",0,P163*Dimensoes!$C$4)+IF(Q163="",0,Q163*Dimensoes!$C$5))/(IF(N163="",0,Dimensoes!$C$2)+IF(O163="",0,Dimensoes!$C$3)+IF(P163="",0,Dimensoes!$C$4)+IF(Q163="",0,Dimensoes!$C$5))))</f>
        <v/>
      </c>
      <c r="S163" s="0" t="str">
        <f aca="false">IF(R163="","",IF(R163&lt;Faixas!$C$3,"vermelho",IF(R163&lt;Faixas!$C$4,"amarelo","verde")))</f>
        <v/>
      </c>
      <c r="T163" s="9" t="str">
        <f aca="false">IF($A163="","",IF(N163="",0,N163*Dimensoes!$C$2)+IF(O163="",0,O163*Dimensoes!$C$3)+IF(P163="",0,P163*Dimensoes!$C$4)+IF(Q163="",0,Q163*Dimensoes!$C$5))</f>
        <v/>
      </c>
      <c r="U163" s="0" t="str">
        <f aca="false">IF($A163="","",IF(OR(E163="concluida",E163="incompleta"),1,0))</f>
        <v/>
      </c>
    </row>
    <row r="164" customFormat="false" ht="15" hidden="false" customHeight="false" outlineLevel="0" collapsed="false">
      <c r="A164" s="0" t="str">
        <f aca="false">IF(Visitas!A164="","",Visitas!A164)</f>
        <v/>
      </c>
      <c r="B164" s="0" t="str">
        <f aca="false">IF($A164="","",Visitas!C164)</f>
        <v/>
      </c>
      <c r="C164" s="7" t="str">
        <f aca="false">IF($A164="","",Visitas!D164)</f>
        <v/>
      </c>
      <c r="D164" s="0" t="str">
        <f aca="false">IF($A164="","",Visitas!B164)</f>
        <v/>
      </c>
      <c r="E164" s="0" t="str">
        <f aca="false">IF($A164="","",Visitas!F164)</f>
        <v/>
      </c>
      <c r="F164" s="0" t="str">
        <f aca="false">IF($A164="","",SUMIFS(Avaliacoes!$G$2:$G$6000,Avaliacoes!$A$2:$A$6000,$A164,Avaliacoes!$F$2:$F$6000,"I",Avaliacoes!$H$2:$H$6000,0))</f>
        <v/>
      </c>
      <c r="G164" s="0" t="str">
        <f aca="false">IF($A164="","",SUMIFS(Avaliacoes!$G$2:$G$6000,Avaliacoes!$A$2:$A$6000,$A164,Avaliacoes!$F$2:$F$6000,"II",Avaliacoes!$H$2:$H$6000,0))</f>
        <v/>
      </c>
      <c r="H164" s="0" t="str">
        <f aca="false">IF($A164="","",SUMIFS(Avaliacoes!$G$2:$G$6000,Avaliacoes!$A$2:$A$6000,$A164,Avaliacoes!$F$2:$F$6000,"III",Avaliacoes!$H$2:$H$6000,0))</f>
        <v/>
      </c>
      <c r="I164" s="0" t="str">
        <f aca="false">IF($A164="","",SUMIFS(Avaliacoes!$G$2:$G$6000,Avaliacoes!$A$2:$A$6000,$A164,Avaliacoes!$F$2:$F$6000,"IV",Avaliacoes!$H$2:$H$6000,0))</f>
        <v/>
      </c>
      <c r="J164" s="0" t="str">
        <f aca="false">IF($A164="","",COUNTIFS(Avaliacoes!$A$2:$A$6000,$A164,Avaliacoes!$F$2:$F$6000,"I",Avaliacoes!$H$2:$H$6000,0,Avaliacoes!$G$2:$G$6000,"&lt;&gt;")*Dimensoes!$E$2)</f>
        <v/>
      </c>
      <c r="K164" s="0" t="str">
        <f aca="false">IF($A164="","",COUNTIFS(Avaliacoes!$A$2:$A$6000,$A164,Avaliacoes!$F$2:$F$6000,"II",Avaliacoes!$H$2:$H$6000,0,Avaliacoes!$G$2:$G$6000,"&lt;&gt;")*Dimensoes!$E$3)</f>
        <v/>
      </c>
      <c r="L164" s="0" t="str">
        <f aca="false">IF($A164="","",COUNTIFS(Avaliacoes!$A$2:$A$6000,$A164,Avaliacoes!$F$2:$F$6000,"III",Avaliacoes!$H$2:$H$6000,0,Avaliacoes!$G$2:$G$6000,"&lt;&gt;")*Dimensoes!$E$4)</f>
        <v/>
      </c>
      <c r="M164" s="0" t="str">
        <f aca="false">IF($A164="","",COUNTIFS(Avaliacoes!$A$2:$A$6000,$A164,Avaliacoes!$F$2:$F$6000,"IV",Avaliacoes!$H$2:$H$6000,0,Avaliacoes!$G$2:$G$6000,"&lt;&gt;")*Dimensoes!$E$5)</f>
        <v/>
      </c>
      <c r="N164" s="9" t="str">
        <f aca="false">IF($A164="","",IF(J164&gt;0,F164/J164,""))</f>
        <v/>
      </c>
      <c r="O164" s="9" t="str">
        <f aca="false">IF($A164="","",IF(K164&gt;0,G164/K164,""))</f>
        <v/>
      </c>
      <c r="P164" s="9" t="str">
        <f aca="false">IF($A164="","",IF(L164&gt;0,H164/L164,""))</f>
        <v/>
      </c>
      <c r="Q164" s="9" t="str">
        <f aca="false">IF($A164="","",IF(M164&gt;0,I164/M164,""))</f>
        <v/>
      </c>
      <c r="R164" s="17" t="str">
        <f aca="false">IF($A164="","",IF((IF(N164="",0,Dimensoes!$C$2)+IF(O164="",0,Dimensoes!$C$3)+IF(P164="",0,Dimensoes!$C$4)+IF(Q164="",0,Dimensoes!$C$5))=0,"",(IF(N164="",0,N164*Dimensoes!$C$2)+IF(O164="",0,O164*Dimensoes!$C$3)+IF(P164="",0,P164*Dimensoes!$C$4)+IF(Q164="",0,Q164*Dimensoes!$C$5))/(IF(N164="",0,Dimensoes!$C$2)+IF(O164="",0,Dimensoes!$C$3)+IF(P164="",0,Dimensoes!$C$4)+IF(Q164="",0,Dimensoes!$C$5))))</f>
        <v/>
      </c>
      <c r="S164" s="0" t="str">
        <f aca="false">IF(R164="","",IF(R164&lt;Faixas!$C$3,"vermelho",IF(R164&lt;Faixas!$C$4,"amarelo","verde")))</f>
        <v/>
      </c>
      <c r="T164" s="9" t="str">
        <f aca="false">IF($A164="","",IF(N164="",0,N164*Dimensoes!$C$2)+IF(O164="",0,O164*Dimensoes!$C$3)+IF(P164="",0,P164*Dimensoes!$C$4)+IF(Q164="",0,Q164*Dimensoes!$C$5))</f>
        <v/>
      </c>
      <c r="U164" s="0" t="str">
        <f aca="false">IF($A164="","",IF(OR(E164="concluida",E164="incompleta"),1,0))</f>
        <v/>
      </c>
    </row>
    <row r="165" customFormat="false" ht="15" hidden="false" customHeight="false" outlineLevel="0" collapsed="false">
      <c r="A165" s="0" t="str">
        <f aca="false">IF(Visitas!A165="","",Visitas!A165)</f>
        <v/>
      </c>
      <c r="B165" s="0" t="str">
        <f aca="false">IF($A165="","",Visitas!C165)</f>
        <v/>
      </c>
      <c r="C165" s="7" t="str">
        <f aca="false">IF($A165="","",Visitas!D165)</f>
        <v/>
      </c>
      <c r="D165" s="0" t="str">
        <f aca="false">IF($A165="","",Visitas!B165)</f>
        <v/>
      </c>
      <c r="E165" s="0" t="str">
        <f aca="false">IF($A165="","",Visitas!F165)</f>
        <v/>
      </c>
      <c r="F165" s="0" t="str">
        <f aca="false">IF($A165="","",SUMIFS(Avaliacoes!$G$2:$G$6000,Avaliacoes!$A$2:$A$6000,$A165,Avaliacoes!$F$2:$F$6000,"I",Avaliacoes!$H$2:$H$6000,0))</f>
        <v/>
      </c>
      <c r="G165" s="0" t="str">
        <f aca="false">IF($A165="","",SUMIFS(Avaliacoes!$G$2:$G$6000,Avaliacoes!$A$2:$A$6000,$A165,Avaliacoes!$F$2:$F$6000,"II",Avaliacoes!$H$2:$H$6000,0))</f>
        <v/>
      </c>
      <c r="H165" s="0" t="str">
        <f aca="false">IF($A165="","",SUMIFS(Avaliacoes!$G$2:$G$6000,Avaliacoes!$A$2:$A$6000,$A165,Avaliacoes!$F$2:$F$6000,"III",Avaliacoes!$H$2:$H$6000,0))</f>
        <v/>
      </c>
      <c r="I165" s="0" t="str">
        <f aca="false">IF($A165="","",SUMIFS(Avaliacoes!$G$2:$G$6000,Avaliacoes!$A$2:$A$6000,$A165,Avaliacoes!$F$2:$F$6000,"IV",Avaliacoes!$H$2:$H$6000,0))</f>
        <v/>
      </c>
      <c r="J165" s="0" t="str">
        <f aca="false">IF($A165="","",COUNTIFS(Avaliacoes!$A$2:$A$6000,$A165,Avaliacoes!$F$2:$F$6000,"I",Avaliacoes!$H$2:$H$6000,0,Avaliacoes!$G$2:$G$6000,"&lt;&gt;")*Dimensoes!$E$2)</f>
        <v/>
      </c>
      <c r="K165" s="0" t="str">
        <f aca="false">IF($A165="","",COUNTIFS(Avaliacoes!$A$2:$A$6000,$A165,Avaliacoes!$F$2:$F$6000,"II",Avaliacoes!$H$2:$H$6000,0,Avaliacoes!$G$2:$G$6000,"&lt;&gt;")*Dimensoes!$E$3)</f>
        <v/>
      </c>
      <c r="L165" s="0" t="str">
        <f aca="false">IF($A165="","",COUNTIFS(Avaliacoes!$A$2:$A$6000,$A165,Avaliacoes!$F$2:$F$6000,"III",Avaliacoes!$H$2:$H$6000,0,Avaliacoes!$G$2:$G$6000,"&lt;&gt;")*Dimensoes!$E$4)</f>
        <v/>
      </c>
      <c r="M165" s="0" t="str">
        <f aca="false">IF($A165="","",COUNTIFS(Avaliacoes!$A$2:$A$6000,$A165,Avaliacoes!$F$2:$F$6000,"IV",Avaliacoes!$H$2:$H$6000,0,Avaliacoes!$G$2:$G$6000,"&lt;&gt;")*Dimensoes!$E$5)</f>
        <v/>
      </c>
      <c r="N165" s="9" t="str">
        <f aca="false">IF($A165="","",IF(J165&gt;0,F165/J165,""))</f>
        <v/>
      </c>
      <c r="O165" s="9" t="str">
        <f aca="false">IF($A165="","",IF(K165&gt;0,G165/K165,""))</f>
        <v/>
      </c>
      <c r="P165" s="9" t="str">
        <f aca="false">IF($A165="","",IF(L165&gt;0,H165/L165,""))</f>
        <v/>
      </c>
      <c r="Q165" s="9" t="str">
        <f aca="false">IF($A165="","",IF(M165&gt;0,I165/M165,""))</f>
        <v/>
      </c>
      <c r="R165" s="17" t="str">
        <f aca="false">IF($A165="","",IF((IF(N165="",0,Dimensoes!$C$2)+IF(O165="",0,Dimensoes!$C$3)+IF(P165="",0,Dimensoes!$C$4)+IF(Q165="",0,Dimensoes!$C$5))=0,"",(IF(N165="",0,N165*Dimensoes!$C$2)+IF(O165="",0,O165*Dimensoes!$C$3)+IF(P165="",0,P165*Dimensoes!$C$4)+IF(Q165="",0,Q165*Dimensoes!$C$5))/(IF(N165="",0,Dimensoes!$C$2)+IF(O165="",0,Dimensoes!$C$3)+IF(P165="",0,Dimensoes!$C$4)+IF(Q165="",0,Dimensoes!$C$5))))</f>
        <v/>
      </c>
      <c r="S165" s="0" t="str">
        <f aca="false">IF(R165="","",IF(R165&lt;Faixas!$C$3,"vermelho",IF(R165&lt;Faixas!$C$4,"amarelo","verde")))</f>
        <v/>
      </c>
      <c r="T165" s="9" t="str">
        <f aca="false">IF($A165="","",IF(N165="",0,N165*Dimensoes!$C$2)+IF(O165="",0,O165*Dimensoes!$C$3)+IF(P165="",0,P165*Dimensoes!$C$4)+IF(Q165="",0,Q165*Dimensoes!$C$5))</f>
        <v/>
      </c>
      <c r="U165" s="0" t="str">
        <f aca="false">IF($A165="","",IF(OR(E165="concluida",E165="incompleta"),1,0))</f>
        <v/>
      </c>
    </row>
    <row r="166" customFormat="false" ht="15" hidden="false" customHeight="false" outlineLevel="0" collapsed="false">
      <c r="A166" s="0" t="str">
        <f aca="false">IF(Visitas!A166="","",Visitas!A166)</f>
        <v/>
      </c>
      <c r="B166" s="0" t="str">
        <f aca="false">IF($A166="","",Visitas!C166)</f>
        <v/>
      </c>
      <c r="C166" s="7" t="str">
        <f aca="false">IF($A166="","",Visitas!D166)</f>
        <v/>
      </c>
      <c r="D166" s="0" t="str">
        <f aca="false">IF($A166="","",Visitas!B166)</f>
        <v/>
      </c>
      <c r="E166" s="0" t="str">
        <f aca="false">IF($A166="","",Visitas!F166)</f>
        <v/>
      </c>
      <c r="F166" s="0" t="str">
        <f aca="false">IF($A166="","",SUMIFS(Avaliacoes!$G$2:$G$6000,Avaliacoes!$A$2:$A$6000,$A166,Avaliacoes!$F$2:$F$6000,"I",Avaliacoes!$H$2:$H$6000,0))</f>
        <v/>
      </c>
      <c r="G166" s="0" t="str">
        <f aca="false">IF($A166="","",SUMIFS(Avaliacoes!$G$2:$G$6000,Avaliacoes!$A$2:$A$6000,$A166,Avaliacoes!$F$2:$F$6000,"II",Avaliacoes!$H$2:$H$6000,0))</f>
        <v/>
      </c>
      <c r="H166" s="0" t="str">
        <f aca="false">IF($A166="","",SUMIFS(Avaliacoes!$G$2:$G$6000,Avaliacoes!$A$2:$A$6000,$A166,Avaliacoes!$F$2:$F$6000,"III",Avaliacoes!$H$2:$H$6000,0))</f>
        <v/>
      </c>
      <c r="I166" s="0" t="str">
        <f aca="false">IF($A166="","",SUMIFS(Avaliacoes!$G$2:$G$6000,Avaliacoes!$A$2:$A$6000,$A166,Avaliacoes!$F$2:$F$6000,"IV",Avaliacoes!$H$2:$H$6000,0))</f>
        <v/>
      </c>
      <c r="J166" s="0" t="str">
        <f aca="false">IF($A166="","",COUNTIFS(Avaliacoes!$A$2:$A$6000,$A166,Avaliacoes!$F$2:$F$6000,"I",Avaliacoes!$H$2:$H$6000,0,Avaliacoes!$G$2:$G$6000,"&lt;&gt;")*Dimensoes!$E$2)</f>
        <v/>
      </c>
      <c r="K166" s="0" t="str">
        <f aca="false">IF($A166="","",COUNTIFS(Avaliacoes!$A$2:$A$6000,$A166,Avaliacoes!$F$2:$F$6000,"II",Avaliacoes!$H$2:$H$6000,0,Avaliacoes!$G$2:$G$6000,"&lt;&gt;")*Dimensoes!$E$3)</f>
        <v/>
      </c>
      <c r="L166" s="0" t="str">
        <f aca="false">IF($A166="","",COUNTIFS(Avaliacoes!$A$2:$A$6000,$A166,Avaliacoes!$F$2:$F$6000,"III",Avaliacoes!$H$2:$H$6000,0,Avaliacoes!$G$2:$G$6000,"&lt;&gt;")*Dimensoes!$E$4)</f>
        <v/>
      </c>
      <c r="M166" s="0" t="str">
        <f aca="false">IF($A166="","",COUNTIFS(Avaliacoes!$A$2:$A$6000,$A166,Avaliacoes!$F$2:$F$6000,"IV",Avaliacoes!$H$2:$H$6000,0,Avaliacoes!$G$2:$G$6000,"&lt;&gt;")*Dimensoes!$E$5)</f>
        <v/>
      </c>
      <c r="N166" s="9" t="str">
        <f aca="false">IF($A166="","",IF(J166&gt;0,F166/J166,""))</f>
        <v/>
      </c>
      <c r="O166" s="9" t="str">
        <f aca="false">IF($A166="","",IF(K166&gt;0,G166/K166,""))</f>
        <v/>
      </c>
      <c r="P166" s="9" t="str">
        <f aca="false">IF($A166="","",IF(L166&gt;0,H166/L166,""))</f>
        <v/>
      </c>
      <c r="Q166" s="9" t="str">
        <f aca="false">IF($A166="","",IF(M166&gt;0,I166/M166,""))</f>
        <v/>
      </c>
      <c r="R166" s="17" t="str">
        <f aca="false">IF($A166="","",IF((IF(N166="",0,Dimensoes!$C$2)+IF(O166="",0,Dimensoes!$C$3)+IF(P166="",0,Dimensoes!$C$4)+IF(Q166="",0,Dimensoes!$C$5))=0,"",(IF(N166="",0,N166*Dimensoes!$C$2)+IF(O166="",0,O166*Dimensoes!$C$3)+IF(P166="",0,P166*Dimensoes!$C$4)+IF(Q166="",0,Q166*Dimensoes!$C$5))/(IF(N166="",0,Dimensoes!$C$2)+IF(O166="",0,Dimensoes!$C$3)+IF(P166="",0,Dimensoes!$C$4)+IF(Q166="",0,Dimensoes!$C$5))))</f>
        <v/>
      </c>
      <c r="S166" s="0" t="str">
        <f aca="false">IF(R166="","",IF(R166&lt;Faixas!$C$3,"vermelho",IF(R166&lt;Faixas!$C$4,"amarelo","verde")))</f>
        <v/>
      </c>
      <c r="T166" s="9" t="str">
        <f aca="false">IF($A166="","",IF(N166="",0,N166*Dimensoes!$C$2)+IF(O166="",0,O166*Dimensoes!$C$3)+IF(P166="",0,P166*Dimensoes!$C$4)+IF(Q166="",0,Q166*Dimensoes!$C$5))</f>
        <v/>
      </c>
      <c r="U166" s="0" t="str">
        <f aca="false">IF($A166="","",IF(OR(E166="concluida",E166="incompleta"),1,0))</f>
        <v/>
      </c>
    </row>
    <row r="167" customFormat="false" ht="15" hidden="false" customHeight="false" outlineLevel="0" collapsed="false">
      <c r="A167" s="0" t="str">
        <f aca="false">IF(Visitas!A167="","",Visitas!A167)</f>
        <v/>
      </c>
      <c r="B167" s="0" t="str">
        <f aca="false">IF($A167="","",Visitas!C167)</f>
        <v/>
      </c>
      <c r="C167" s="7" t="str">
        <f aca="false">IF($A167="","",Visitas!D167)</f>
        <v/>
      </c>
      <c r="D167" s="0" t="str">
        <f aca="false">IF($A167="","",Visitas!B167)</f>
        <v/>
      </c>
      <c r="E167" s="0" t="str">
        <f aca="false">IF($A167="","",Visitas!F167)</f>
        <v/>
      </c>
      <c r="F167" s="0" t="str">
        <f aca="false">IF($A167="","",SUMIFS(Avaliacoes!$G$2:$G$6000,Avaliacoes!$A$2:$A$6000,$A167,Avaliacoes!$F$2:$F$6000,"I",Avaliacoes!$H$2:$H$6000,0))</f>
        <v/>
      </c>
      <c r="G167" s="0" t="str">
        <f aca="false">IF($A167="","",SUMIFS(Avaliacoes!$G$2:$G$6000,Avaliacoes!$A$2:$A$6000,$A167,Avaliacoes!$F$2:$F$6000,"II",Avaliacoes!$H$2:$H$6000,0))</f>
        <v/>
      </c>
      <c r="H167" s="0" t="str">
        <f aca="false">IF($A167="","",SUMIFS(Avaliacoes!$G$2:$G$6000,Avaliacoes!$A$2:$A$6000,$A167,Avaliacoes!$F$2:$F$6000,"III",Avaliacoes!$H$2:$H$6000,0))</f>
        <v/>
      </c>
      <c r="I167" s="0" t="str">
        <f aca="false">IF($A167="","",SUMIFS(Avaliacoes!$G$2:$G$6000,Avaliacoes!$A$2:$A$6000,$A167,Avaliacoes!$F$2:$F$6000,"IV",Avaliacoes!$H$2:$H$6000,0))</f>
        <v/>
      </c>
      <c r="J167" s="0" t="str">
        <f aca="false">IF($A167="","",COUNTIFS(Avaliacoes!$A$2:$A$6000,$A167,Avaliacoes!$F$2:$F$6000,"I",Avaliacoes!$H$2:$H$6000,0,Avaliacoes!$G$2:$G$6000,"&lt;&gt;")*Dimensoes!$E$2)</f>
        <v/>
      </c>
      <c r="K167" s="0" t="str">
        <f aca="false">IF($A167="","",COUNTIFS(Avaliacoes!$A$2:$A$6000,$A167,Avaliacoes!$F$2:$F$6000,"II",Avaliacoes!$H$2:$H$6000,0,Avaliacoes!$G$2:$G$6000,"&lt;&gt;")*Dimensoes!$E$3)</f>
        <v/>
      </c>
      <c r="L167" s="0" t="str">
        <f aca="false">IF($A167="","",COUNTIFS(Avaliacoes!$A$2:$A$6000,$A167,Avaliacoes!$F$2:$F$6000,"III",Avaliacoes!$H$2:$H$6000,0,Avaliacoes!$G$2:$G$6000,"&lt;&gt;")*Dimensoes!$E$4)</f>
        <v/>
      </c>
      <c r="M167" s="0" t="str">
        <f aca="false">IF($A167="","",COUNTIFS(Avaliacoes!$A$2:$A$6000,$A167,Avaliacoes!$F$2:$F$6000,"IV",Avaliacoes!$H$2:$H$6000,0,Avaliacoes!$G$2:$G$6000,"&lt;&gt;")*Dimensoes!$E$5)</f>
        <v/>
      </c>
      <c r="N167" s="9" t="str">
        <f aca="false">IF($A167="","",IF(J167&gt;0,F167/J167,""))</f>
        <v/>
      </c>
      <c r="O167" s="9" t="str">
        <f aca="false">IF($A167="","",IF(K167&gt;0,G167/K167,""))</f>
        <v/>
      </c>
      <c r="P167" s="9" t="str">
        <f aca="false">IF($A167="","",IF(L167&gt;0,H167/L167,""))</f>
        <v/>
      </c>
      <c r="Q167" s="9" t="str">
        <f aca="false">IF($A167="","",IF(M167&gt;0,I167/M167,""))</f>
        <v/>
      </c>
      <c r="R167" s="17" t="str">
        <f aca="false">IF($A167="","",IF((IF(N167="",0,Dimensoes!$C$2)+IF(O167="",0,Dimensoes!$C$3)+IF(P167="",0,Dimensoes!$C$4)+IF(Q167="",0,Dimensoes!$C$5))=0,"",(IF(N167="",0,N167*Dimensoes!$C$2)+IF(O167="",0,O167*Dimensoes!$C$3)+IF(P167="",0,P167*Dimensoes!$C$4)+IF(Q167="",0,Q167*Dimensoes!$C$5))/(IF(N167="",0,Dimensoes!$C$2)+IF(O167="",0,Dimensoes!$C$3)+IF(P167="",0,Dimensoes!$C$4)+IF(Q167="",0,Dimensoes!$C$5))))</f>
        <v/>
      </c>
      <c r="S167" s="0" t="str">
        <f aca="false">IF(R167="","",IF(R167&lt;Faixas!$C$3,"vermelho",IF(R167&lt;Faixas!$C$4,"amarelo","verde")))</f>
        <v/>
      </c>
      <c r="T167" s="9" t="str">
        <f aca="false">IF($A167="","",IF(N167="",0,N167*Dimensoes!$C$2)+IF(O167="",0,O167*Dimensoes!$C$3)+IF(P167="",0,P167*Dimensoes!$C$4)+IF(Q167="",0,Q167*Dimensoes!$C$5))</f>
        <v/>
      </c>
      <c r="U167" s="0" t="str">
        <f aca="false">IF($A167="","",IF(OR(E167="concluida",E167="incompleta"),1,0))</f>
        <v/>
      </c>
    </row>
    <row r="168" customFormat="false" ht="15" hidden="false" customHeight="false" outlineLevel="0" collapsed="false">
      <c r="A168" s="0" t="str">
        <f aca="false">IF(Visitas!A168="","",Visitas!A168)</f>
        <v/>
      </c>
      <c r="B168" s="0" t="str">
        <f aca="false">IF($A168="","",Visitas!C168)</f>
        <v/>
      </c>
      <c r="C168" s="7" t="str">
        <f aca="false">IF($A168="","",Visitas!D168)</f>
        <v/>
      </c>
      <c r="D168" s="0" t="str">
        <f aca="false">IF($A168="","",Visitas!B168)</f>
        <v/>
      </c>
      <c r="E168" s="0" t="str">
        <f aca="false">IF($A168="","",Visitas!F168)</f>
        <v/>
      </c>
      <c r="F168" s="0" t="str">
        <f aca="false">IF($A168="","",SUMIFS(Avaliacoes!$G$2:$G$6000,Avaliacoes!$A$2:$A$6000,$A168,Avaliacoes!$F$2:$F$6000,"I",Avaliacoes!$H$2:$H$6000,0))</f>
        <v/>
      </c>
      <c r="G168" s="0" t="str">
        <f aca="false">IF($A168="","",SUMIFS(Avaliacoes!$G$2:$G$6000,Avaliacoes!$A$2:$A$6000,$A168,Avaliacoes!$F$2:$F$6000,"II",Avaliacoes!$H$2:$H$6000,0))</f>
        <v/>
      </c>
      <c r="H168" s="0" t="str">
        <f aca="false">IF($A168="","",SUMIFS(Avaliacoes!$G$2:$G$6000,Avaliacoes!$A$2:$A$6000,$A168,Avaliacoes!$F$2:$F$6000,"III",Avaliacoes!$H$2:$H$6000,0))</f>
        <v/>
      </c>
      <c r="I168" s="0" t="str">
        <f aca="false">IF($A168="","",SUMIFS(Avaliacoes!$G$2:$G$6000,Avaliacoes!$A$2:$A$6000,$A168,Avaliacoes!$F$2:$F$6000,"IV",Avaliacoes!$H$2:$H$6000,0))</f>
        <v/>
      </c>
      <c r="J168" s="0" t="str">
        <f aca="false">IF($A168="","",COUNTIFS(Avaliacoes!$A$2:$A$6000,$A168,Avaliacoes!$F$2:$F$6000,"I",Avaliacoes!$H$2:$H$6000,0,Avaliacoes!$G$2:$G$6000,"&lt;&gt;")*Dimensoes!$E$2)</f>
        <v/>
      </c>
      <c r="K168" s="0" t="str">
        <f aca="false">IF($A168="","",COUNTIFS(Avaliacoes!$A$2:$A$6000,$A168,Avaliacoes!$F$2:$F$6000,"II",Avaliacoes!$H$2:$H$6000,0,Avaliacoes!$G$2:$G$6000,"&lt;&gt;")*Dimensoes!$E$3)</f>
        <v/>
      </c>
      <c r="L168" s="0" t="str">
        <f aca="false">IF($A168="","",COUNTIFS(Avaliacoes!$A$2:$A$6000,$A168,Avaliacoes!$F$2:$F$6000,"III",Avaliacoes!$H$2:$H$6000,0,Avaliacoes!$G$2:$G$6000,"&lt;&gt;")*Dimensoes!$E$4)</f>
        <v/>
      </c>
      <c r="M168" s="0" t="str">
        <f aca="false">IF($A168="","",COUNTIFS(Avaliacoes!$A$2:$A$6000,$A168,Avaliacoes!$F$2:$F$6000,"IV",Avaliacoes!$H$2:$H$6000,0,Avaliacoes!$G$2:$G$6000,"&lt;&gt;")*Dimensoes!$E$5)</f>
        <v/>
      </c>
      <c r="N168" s="9" t="str">
        <f aca="false">IF($A168="","",IF(J168&gt;0,F168/J168,""))</f>
        <v/>
      </c>
      <c r="O168" s="9" t="str">
        <f aca="false">IF($A168="","",IF(K168&gt;0,G168/K168,""))</f>
        <v/>
      </c>
      <c r="P168" s="9" t="str">
        <f aca="false">IF($A168="","",IF(L168&gt;0,H168/L168,""))</f>
        <v/>
      </c>
      <c r="Q168" s="9" t="str">
        <f aca="false">IF($A168="","",IF(M168&gt;0,I168/M168,""))</f>
        <v/>
      </c>
      <c r="R168" s="17" t="str">
        <f aca="false">IF($A168="","",IF((IF(N168="",0,Dimensoes!$C$2)+IF(O168="",0,Dimensoes!$C$3)+IF(P168="",0,Dimensoes!$C$4)+IF(Q168="",0,Dimensoes!$C$5))=0,"",(IF(N168="",0,N168*Dimensoes!$C$2)+IF(O168="",0,O168*Dimensoes!$C$3)+IF(P168="",0,P168*Dimensoes!$C$4)+IF(Q168="",0,Q168*Dimensoes!$C$5))/(IF(N168="",0,Dimensoes!$C$2)+IF(O168="",0,Dimensoes!$C$3)+IF(P168="",0,Dimensoes!$C$4)+IF(Q168="",0,Dimensoes!$C$5))))</f>
        <v/>
      </c>
      <c r="S168" s="0" t="str">
        <f aca="false">IF(R168="","",IF(R168&lt;Faixas!$C$3,"vermelho",IF(R168&lt;Faixas!$C$4,"amarelo","verde")))</f>
        <v/>
      </c>
      <c r="T168" s="9" t="str">
        <f aca="false">IF($A168="","",IF(N168="",0,N168*Dimensoes!$C$2)+IF(O168="",0,O168*Dimensoes!$C$3)+IF(P168="",0,P168*Dimensoes!$C$4)+IF(Q168="",0,Q168*Dimensoes!$C$5))</f>
        <v/>
      </c>
      <c r="U168" s="0" t="str">
        <f aca="false">IF($A168="","",IF(OR(E168="concluida",E168="incompleta"),1,0))</f>
        <v/>
      </c>
    </row>
    <row r="169" customFormat="false" ht="15" hidden="false" customHeight="false" outlineLevel="0" collapsed="false">
      <c r="A169" s="0" t="str">
        <f aca="false">IF(Visitas!A169="","",Visitas!A169)</f>
        <v/>
      </c>
      <c r="B169" s="0" t="str">
        <f aca="false">IF($A169="","",Visitas!C169)</f>
        <v/>
      </c>
      <c r="C169" s="7" t="str">
        <f aca="false">IF($A169="","",Visitas!D169)</f>
        <v/>
      </c>
      <c r="D169" s="0" t="str">
        <f aca="false">IF($A169="","",Visitas!B169)</f>
        <v/>
      </c>
      <c r="E169" s="0" t="str">
        <f aca="false">IF($A169="","",Visitas!F169)</f>
        <v/>
      </c>
      <c r="F169" s="0" t="str">
        <f aca="false">IF($A169="","",SUMIFS(Avaliacoes!$G$2:$G$6000,Avaliacoes!$A$2:$A$6000,$A169,Avaliacoes!$F$2:$F$6000,"I",Avaliacoes!$H$2:$H$6000,0))</f>
        <v/>
      </c>
      <c r="G169" s="0" t="str">
        <f aca="false">IF($A169="","",SUMIFS(Avaliacoes!$G$2:$G$6000,Avaliacoes!$A$2:$A$6000,$A169,Avaliacoes!$F$2:$F$6000,"II",Avaliacoes!$H$2:$H$6000,0))</f>
        <v/>
      </c>
      <c r="H169" s="0" t="str">
        <f aca="false">IF($A169="","",SUMIFS(Avaliacoes!$G$2:$G$6000,Avaliacoes!$A$2:$A$6000,$A169,Avaliacoes!$F$2:$F$6000,"III",Avaliacoes!$H$2:$H$6000,0))</f>
        <v/>
      </c>
      <c r="I169" s="0" t="str">
        <f aca="false">IF($A169="","",SUMIFS(Avaliacoes!$G$2:$G$6000,Avaliacoes!$A$2:$A$6000,$A169,Avaliacoes!$F$2:$F$6000,"IV",Avaliacoes!$H$2:$H$6000,0))</f>
        <v/>
      </c>
      <c r="J169" s="0" t="str">
        <f aca="false">IF($A169="","",COUNTIFS(Avaliacoes!$A$2:$A$6000,$A169,Avaliacoes!$F$2:$F$6000,"I",Avaliacoes!$H$2:$H$6000,0,Avaliacoes!$G$2:$G$6000,"&lt;&gt;")*Dimensoes!$E$2)</f>
        <v/>
      </c>
      <c r="K169" s="0" t="str">
        <f aca="false">IF($A169="","",COUNTIFS(Avaliacoes!$A$2:$A$6000,$A169,Avaliacoes!$F$2:$F$6000,"II",Avaliacoes!$H$2:$H$6000,0,Avaliacoes!$G$2:$G$6000,"&lt;&gt;")*Dimensoes!$E$3)</f>
        <v/>
      </c>
      <c r="L169" s="0" t="str">
        <f aca="false">IF($A169="","",COUNTIFS(Avaliacoes!$A$2:$A$6000,$A169,Avaliacoes!$F$2:$F$6000,"III",Avaliacoes!$H$2:$H$6000,0,Avaliacoes!$G$2:$G$6000,"&lt;&gt;")*Dimensoes!$E$4)</f>
        <v/>
      </c>
      <c r="M169" s="0" t="str">
        <f aca="false">IF($A169="","",COUNTIFS(Avaliacoes!$A$2:$A$6000,$A169,Avaliacoes!$F$2:$F$6000,"IV",Avaliacoes!$H$2:$H$6000,0,Avaliacoes!$G$2:$G$6000,"&lt;&gt;")*Dimensoes!$E$5)</f>
        <v/>
      </c>
      <c r="N169" s="9" t="str">
        <f aca="false">IF($A169="","",IF(J169&gt;0,F169/J169,""))</f>
        <v/>
      </c>
      <c r="O169" s="9" t="str">
        <f aca="false">IF($A169="","",IF(K169&gt;0,G169/K169,""))</f>
        <v/>
      </c>
      <c r="P169" s="9" t="str">
        <f aca="false">IF($A169="","",IF(L169&gt;0,H169/L169,""))</f>
        <v/>
      </c>
      <c r="Q169" s="9" t="str">
        <f aca="false">IF($A169="","",IF(M169&gt;0,I169/M169,""))</f>
        <v/>
      </c>
      <c r="R169" s="17" t="str">
        <f aca="false">IF($A169="","",IF((IF(N169="",0,Dimensoes!$C$2)+IF(O169="",0,Dimensoes!$C$3)+IF(P169="",0,Dimensoes!$C$4)+IF(Q169="",0,Dimensoes!$C$5))=0,"",(IF(N169="",0,N169*Dimensoes!$C$2)+IF(O169="",0,O169*Dimensoes!$C$3)+IF(P169="",0,P169*Dimensoes!$C$4)+IF(Q169="",0,Q169*Dimensoes!$C$5))/(IF(N169="",0,Dimensoes!$C$2)+IF(O169="",0,Dimensoes!$C$3)+IF(P169="",0,Dimensoes!$C$4)+IF(Q169="",0,Dimensoes!$C$5))))</f>
        <v/>
      </c>
      <c r="S169" s="0" t="str">
        <f aca="false">IF(R169="","",IF(R169&lt;Faixas!$C$3,"vermelho",IF(R169&lt;Faixas!$C$4,"amarelo","verde")))</f>
        <v/>
      </c>
      <c r="T169" s="9" t="str">
        <f aca="false">IF($A169="","",IF(N169="",0,N169*Dimensoes!$C$2)+IF(O169="",0,O169*Dimensoes!$C$3)+IF(P169="",0,P169*Dimensoes!$C$4)+IF(Q169="",0,Q169*Dimensoes!$C$5))</f>
        <v/>
      </c>
      <c r="U169" s="0" t="str">
        <f aca="false">IF($A169="","",IF(OR(E169="concluida",E169="incompleta"),1,0))</f>
        <v/>
      </c>
    </row>
    <row r="170" customFormat="false" ht="15" hidden="false" customHeight="false" outlineLevel="0" collapsed="false">
      <c r="A170" s="0" t="str">
        <f aca="false">IF(Visitas!A170="","",Visitas!A170)</f>
        <v/>
      </c>
      <c r="B170" s="0" t="str">
        <f aca="false">IF($A170="","",Visitas!C170)</f>
        <v/>
      </c>
      <c r="C170" s="7" t="str">
        <f aca="false">IF($A170="","",Visitas!D170)</f>
        <v/>
      </c>
      <c r="D170" s="0" t="str">
        <f aca="false">IF($A170="","",Visitas!B170)</f>
        <v/>
      </c>
      <c r="E170" s="0" t="str">
        <f aca="false">IF($A170="","",Visitas!F170)</f>
        <v/>
      </c>
      <c r="F170" s="0" t="str">
        <f aca="false">IF($A170="","",SUMIFS(Avaliacoes!$G$2:$G$6000,Avaliacoes!$A$2:$A$6000,$A170,Avaliacoes!$F$2:$F$6000,"I",Avaliacoes!$H$2:$H$6000,0))</f>
        <v/>
      </c>
      <c r="G170" s="0" t="str">
        <f aca="false">IF($A170="","",SUMIFS(Avaliacoes!$G$2:$G$6000,Avaliacoes!$A$2:$A$6000,$A170,Avaliacoes!$F$2:$F$6000,"II",Avaliacoes!$H$2:$H$6000,0))</f>
        <v/>
      </c>
      <c r="H170" s="0" t="str">
        <f aca="false">IF($A170="","",SUMIFS(Avaliacoes!$G$2:$G$6000,Avaliacoes!$A$2:$A$6000,$A170,Avaliacoes!$F$2:$F$6000,"III",Avaliacoes!$H$2:$H$6000,0))</f>
        <v/>
      </c>
      <c r="I170" s="0" t="str">
        <f aca="false">IF($A170="","",SUMIFS(Avaliacoes!$G$2:$G$6000,Avaliacoes!$A$2:$A$6000,$A170,Avaliacoes!$F$2:$F$6000,"IV",Avaliacoes!$H$2:$H$6000,0))</f>
        <v/>
      </c>
      <c r="J170" s="0" t="str">
        <f aca="false">IF($A170="","",COUNTIFS(Avaliacoes!$A$2:$A$6000,$A170,Avaliacoes!$F$2:$F$6000,"I",Avaliacoes!$H$2:$H$6000,0,Avaliacoes!$G$2:$G$6000,"&lt;&gt;")*Dimensoes!$E$2)</f>
        <v/>
      </c>
      <c r="K170" s="0" t="str">
        <f aca="false">IF($A170="","",COUNTIFS(Avaliacoes!$A$2:$A$6000,$A170,Avaliacoes!$F$2:$F$6000,"II",Avaliacoes!$H$2:$H$6000,0,Avaliacoes!$G$2:$G$6000,"&lt;&gt;")*Dimensoes!$E$3)</f>
        <v/>
      </c>
      <c r="L170" s="0" t="str">
        <f aca="false">IF($A170="","",COUNTIFS(Avaliacoes!$A$2:$A$6000,$A170,Avaliacoes!$F$2:$F$6000,"III",Avaliacoes!$H$2:$H$6000,0,Avaliacoes!$G$2:$G$6000,"&lt;&gt;")*Dimensoes!$E$4)</f>
        <v/>
      </c>
      <c r="M170" s="0" t="str">
        <f aca="false">IF($A170="","",COUNTIFS(Avaliacoes!$A$2:$A$6000,$A170,Avaliacoes!$F$2:$F$6000,"IV",Avaliacoes!$H$2:$H$6000,0,Avaliacoes!$G$2:$G$6000,"&lt;&gt;")*Dimensoes!$E$5)</f>
        <v/>
      </c>
      <c r="N170" s="9" t="str">
        <f aca="false">IF($A170="","",IF(J170&gt;0,F170/J170,""))</f>
        <v/>
      </c>
      <c r="O170" s="9" t="str">
        <f aca="false">IF($A170="","",IF(K170&gt;0,G170/K170,""))</f>
        <v/>
      </c>
      <c r="P170" s="9" t="str">
        <f aca="false">IF($A170="","",IF(L170&gt;0,H170/L170,""))</f>
        <v/>
      </c>
      <c r="Q170" s="9" t="str">
        <f aca="false">IF($A170="","",IF(M170&gt;0,I170/M170,""))</f>
        <v/>
      </c>
      <c r="R170" s="17" t="str">
        <f aca="false">IF($A170="","",IF((IF(N170="",0,Dimensoes!$C$2)+IF(O170="",0,Dimensoes!$C$3)+IF(P170="",0,Dimensoes!$C$4)+IF(Q170="",0,Dimensoes!$C$5))=0,"",(IF(N170="",0,N170*Dimensoes!$C$2)+IF(O170="",0,O170*Dimensoes!$C$3)+IF(P170="",0,P170*Dimensoes!$C$4)+IF(Q170="",0,Q170*Dimensoes!$C$5))/(IF(N170="",0,Dimensoes!$C$2)+IF(O170="",0,Dimensoes!$C$3)+IF(P170="",0,Dimensoes!$C$4)+IF(Q170="",0,Dimensoes!$C$5))))</f>
        <v/>
      </c>
      <c r="S170" s="0" t="str">
        <f aca="false">IF(R170="","",IF(R170&lt;Faixas!$C$3,"vermelho",IF(R170&lt;Faixas!$C$4,"amarelo","verde")))</f>
        <v/>
      </c>
      <c r="T170" s="9" t="str">
        <f aca="false">IF($A170="","",IF(N170="",0,N170*Dimensoes!$C$2)+IF(O170="",0,O170*Dimensoes!$C$3)+IF(P170="",0,P170*Dimensoes!$C$4)+IF(Q170="",0,Q170*Dimensoes!$C$5))</f>
        <v/>
      </c>
      <c r="U170" s="0" t="str">
        <f aca="false">IF($A170="","",IF(OR(E170="concluida",E170="incompleta"),1,0))</f>
        <v/>
      </c>
    </row>
    <row r="171" customFormat="false" ht="15" hidden="false" customHeight="false" outlineLevel="0" collapsed="false">
      <c r="A171" s="0" t="str">
        <f aca="false">IF(Visitas!A171="","",Visitas!A171)</f>
        <v/>
      </c>
      <c r="B171" s="0" t="str">
        <f aca="false">IF($A171="","",Visitas!C171)</f>
        <v/>
      </c>
      <c r="C171" s="7" t="str">
        <f aca="false">IF($A171="","",Visitas!D171)</f>
        <v/>
      </c>
      <c r="D171" s="0" t="str">
        <f aca="false">IF($A171="","",Visitas!B171)</f>
        <v/>
      </c>
      <c r="E171" s="0" t="str">
        <f aca="false">IF($A171="","",Visitas!F171)</f>
        <v/>
      </c>
      <c r="F171" s="0" t="str">
        <f aca="false">IF($A171="","",SUMIFS(Avaliacoes!$G$2:$G$6000,Avaliacoes!$A$2:$A$6000,$A171,Avaliacoes!$F$2:$F$6000,"I",Avaliacoes!$H$2:$H$6000,0))</f>
        <v/>
      </c>
      <c r="G171" s="0" t="str">
        <f aca="false">IF($A171="","",SUMIFS(Avaliacoes!$G$2:$G$6000,Avaliacoes!$A$2:$A$6000,$A171,Avaliacoes!$F$2:$F$6000,"II",Avaliacoes!$H$2:$H$6000,0))</f>
        <v/>
      </c>
      <c r="H171" s="0" t="str">
        <f aca="false">IF($A171="","",SUMIFS(Avaliacoes!$G$2:$G$6000,Avaliacoes!$A$2:$A$6000,$A171,Avaliacoes!$F$2:$F$6000,"III",Avaliacoes!$H$2:$H$6000,0))</f>
        <v/>
      </c>
      <c r="I171" s="0" t="str">
        <f aca="false">IF($A171="","",SUMIFS(Avaliacoes!$G$2:$G$6000,Avaliacoes!$A$2:$A$6000,$A171,Avaliacoes!$F$2:$F$6000,"IV",Avaliacoes!$H$2:$H$6000,0))</f>
        <v/>
      </c>
      <c r="J171" s="0" t="str">
        <f aca="false">IF($A171="","",COUNTIFS(Avaliacoes!$A$2:$A$6000,$A171,Avaliacoes!$F$2:$F$6000,"I",Avaliacoes!$H$2:$H$6000,0,Avaliacoes!$G$2:$G$6000,"&lt;&gt;")*Dimensoes!$E$2)</f>
        <v/>
      </c>
      <c r="K171" s="0" t="str">
        <f aca="false">IF($A171="","",COUNTIFS(Avaliacoes!$A$2:$A$6000,$A171,Avaliacoes!$F$2:$F$6000,"II",Avaliacoes!$H$2:$H$6000,0,Avaliacoes!$G$2:$G$6000,"&lt;&gt;")*Dimensoes!$E$3)</f>
        <v/>
      </c>
      <c r="L171" s="0" t="str">
        <f aca="false">IF($A171="","",COUNTIFS(Avaliacoes!$A$2:$A$6000,$A171,Avaliacoes!$F$2:$F$6000,"III",Avaliacoes!$H$2:$H$6000,0,Avaliacoes!$G$2:$G$6000,"&lt;&gt;")*Dimensoes!$E$4)</f>
        <v/>
      </c>
      <c r="M171" s="0" t="str">
        <f aca="false">IF($A171="","",COUNTIFS(Avaliacoes!$A$2:$A$6000,$A171,Avaliacoes!$F$2:$F$6000,"IV",Avaliacoes!$H$2:$H$6000,0,Avaliacoes!$G$2:$G$6000,"&lt;&gt;")*Dimensoes!$E$5)</f>
        <v/>
      </c>
      <c r="N171" s="9" t="str">
        <f aca="false">IF($A171="","",IF(J171&gt;0,F171/J171,""))</f>
        <v/>
      </c>
      <c r="O171" s="9" t="str">
        <f aca="false">IF($A171="","",IF(K171&gt;0,G171/K171,""))</f>
        <v/>
      </c>
      <c r="P171" s="9" t="str">
        <f aca="false">IF($A171="","",IF(L171&gt;0,H171/L171,""))</f>
        <v/>
      </c>
      <c r="Q171" s="9" t="str">
        <f aca="false">IF($A171="","",IF(M171&gt;0,I171/M171,""))</f>
        <v/>
      </c>
      <c r="R171" s="17" t="str">
        <f aca="false">IF($A171="","",IF((IF(N171="",0,Dimensoes!$C$2)+IF(O171="",0,Dimensoes!$C$3)+IF(P171="",0,Dimensoes!$C$4)+IF(Q171="",0,Dimensoes!$C$5))=0,"",(IF(N171="",0,N171*Dimensoes!$C$2)+IF(O171="",0,O171*Dimensoes!$C$3)+IF(P171="",0,P171*Dimensoes!$C$4)+IF(Q171="",0,Q171*Dimensoes!$C$5))/(IF(N171="",0,Dimensoes!$C$2)+IF(O171="",0,Dimensoes!$C$3)+IF(P171="",0,Dimensoes!$C$4)+IF(Q171="",0,Dimensoes!$C$5))))</f>
        <v/>
      </c>
      <c r="S171" s="0" t="str">
        <f aca="false">IF(R171="","",IF(R171&lt;Faixas!$C$3,"vermelho",IF(R171&lt;Faixas!$C$4,"amarelo","verde")))</f>
        <v/>
      </c>
      <c r="T171" s="9" t="str">
        <f aca="false">IF($A171="","",IF(N171="",0,N171*Dimensoes!$C$2)+IF(O171="",0,O171*Dimensoes!$C$3)+IF(P171="",0,P171*Dimensoes!$C$4)+IF(Q171="",0,Q171*Dimensoes!$C$5))</f>
        <v/>
      </c>
      <c r="U171" s="0" t="str">
        <f aca="false">IF($A171="","",IF(OR(E171="concluida",E171="incompleta"),1,0))</f>
        <v/>
      </c>
    </row>
    <row r="172" customFormat="false" ht="15" hidden="false" customHeight="false" outlineLevel="0" collapsed="false">
      <c r="A172" s="0" t="str">
        <f aca="false">IF(Visitas!A172="","",Visitas!A172)</f>
        <v/>
      </c>
      <c r="B172" s="0" t="str">
        <f aca="false">IF($A172="","",Visitas!C172)</f>
        <v/>
      </c>
      <c r="C172" s="7" t="str">
        <f aca="false">IF($A172="","",Visitas!D172)</f>
        <v/>
      </c>
      <c r="D172" s="0" t="str">
        <f aca="false">IF($A172="","",Visitas!B172)</f>
        <v/>
      </c>
      <c r="E172" s="0" t="str">
        <f aca="false">IF($A172="","",Visitas!F172)</f>
        <v/>
      </c>
      <c r="F172" s="0" t="str">
        <f aca="false">IF($A172="","",SUMIFS(Avaliacoes!$G$2:$G$6000,Avaliacoes!$A$2:$A$6000,$A172,Avaliacoes!$F$2:$F$6000,"I",Avaliacoes!$H$2:$H$6000,0))</f>
        <v/>
      </c>
      <c r="G172" s="0" t="str">
        <f aca="false">IF($A172="","",SUMIFS(Avaliacoes!$G$2:$G$6000,Avaliacoes!$A$2:$A$6000,$A172,Avaliacoes!$F$2:$F$6000,"II",Avaliacoes!$H$2:$H$6000,0))</f>
        <v/>
      </c>
      <c r="H172" s="0" t="str">
        <f aca="false">IF($A172="","",SUMIFS(Avaliacoes!$G$2:$G$6000,Avaliacoes!$A$2:$A$6000,$A172,Avaliacoes!$F$2:$F$6000,"III",Avaliacoes!$H$2:$H$6000,0))</f>
        <v/>
      </c>
      <c r="I172" s="0" t="str">
        <f aca="false">IF($A172="","",SUMIFS(Avaliacoes!$G$2:$G$6000,Avaliacoes!$A$2:$A$6000,$A172,Avaliacoes!$F$2:$F$6000,"IV",Avaliacoes!$H$2:$H$6000,0))</f>
        <v/>
      </c>
      <c r="J172" s="0" t="str">
        <f aca="false">IF($A172="","",COUNTIFS(Avaliacoes!$A$2:$A$6000,$A172,Avaliacoes!$F$2:$F$6000,"I",Avaliacoes!$H$2:$H$6000,0,Avaliacoes!$G$2:$G$6000,"&lt;&gt;")*Dimensoes!$E$2)</f>
        <v/>
      </c>
      <c r="K172" s="0" t="str">
        <f aca="false">IF($A172="","",COUNTIFS(Avaliacoes!$A$2:$A$6000,$A172,Avaliacoes!$F$2:$F$6000,"II",Avaliacoes!$H$2:$H$6000,0,Avaliacoes!$G$2:$G$6000,"&lt;&gt;")*Dimensoes!$E$3)</f>
        <v/>
      </c>
      <c r="L172" s="0" t="str">
        <f aca="false">IF($A172="","",COUNTIFS(Avaliacoes!$A$2:$A$6000,$A172,Avaliacoes!$F$2:$F$6000,"III",Avaliacoes!$H$2:$H$6000,0,Avaliacoes!$G$2:$G$6000,"&lt;&gt;")*Dimensoes!$E$4)</f>
        <v/>
      </c>
      <c r="M172" s="0" t="str">
        <f aca="false">IF($A172="","",COUNTIFS(Avaliacoes!$A$2:$A$6000,$A172,Avaliacoes!$F$2:$F$6000,"IV",Avaliacoes!$H$2:$H$6000,0,Avaliacoes!$G$2:$G$6000,"&lt;&gt;")*Dimensoes!$E$5)</f>
        <v/>
      </c>
      <c r="N172" s="9" t="str">
        <f aca="false">IF($A172="","",IF(J172&gt;0,F172/J172,""))</f>
        <v/>
      </c>
      <c r="O172" s="9" t="str">
        <f aca="false">IF($A172="","",IF(K172&gt;0,G172/K172,""))</f>
        <v/>
      </c>
      <c r="P172" s="9" t="str">
        <f aca="false">IF($A172="","",IF(L172&gt;0,H172/L172,""))</f>
        <v/>
      </c>
      <c r="Q172" s="9" t="str">
        <f aca="false">IF($A172="","",IF(M172&gt;0,I172/M172,""))</f>
        <v/>
      </c>
      <c r="R172" s="17" t="str">
        <f aca="false">IF($A172="","",IF((IF(N172="",0,Dimensoes!$C$2)+IF(O172="",0,Dimensoes!$C$3)+IF(P172="",0,Dimensoes!$C$4)+IF(Q172="",0,Dimensoes!$C$5))=0,"",(IF(N172="",0,N172*Dimensoes!$C$2)+IF(O172="",0,O172*Dimensoes!$C$3)+IF(P172="",0,P172*Dimensoes!$C$4)+IF(Q172="",0,Q172*Dimensoes!$C$5))/(IF(N172="",0,Dimensoes!$C$2)+IF(O172="",0,Dimensoes!$C$3)+IF(P172="",0,Dimensoes!$C$4)+IF(Q172="",0,Dimensoes!$C$5))))</f>
        <v/>
      </c>
      <c r="S172" s="0" t="str">
        <f aca="false">IF(R172="","",IF(R172&lt;Faixas!$C$3,"vermelho",IF(R172&lt;Faixas!$C$4,"amarelo","verde")))</f>
        <v/>
      </c>
      <c r="T172" s="9" t="str">
        <f aca="false">IF($A172="","",IF(N172="",0,N172*Dimensoes!$C$2)+IF(O172="",0,O172*Dimensoes!$C$3)+IF(P172="",0,P172*Dimensoes!$C$4)+IF(Q172="",0,Q172*Dimensoes!$C$5))</f>
        <v/>
      </c>
      <c r="U172" s="0" t="str">
        <f aca="false">IF($A172="","",IF(OR(E172="concluida",E172="incompleta"),1,0))</f>
        <v/>
      </c>
    </row>
    <row r="173" customFormat="false" ht="15" hidden="false" customHeight="false" outlineLevel="0" collapsed="false">
      <c r="A173" s="0" t="str">
        <f aca="false">IF(Visitas!A173="","",Visitas!A173)</f>
        <v/>
      </c>
      <c r="B173" s="0" t="str">
        <f aca="false">IF($A173="","",Visitas!C173)</f>
        <v/>
      </c>
      <c r="C173" s="7" t="str">
        <f aca="false">IF($A173="","",Visitas!D173)</f>
        <v/>
      </c>
      <c r="D173" s="0" t="str">
        <f aca="false">IF($A173="","",Visitas!B173)</f>
        <v/>
      </c>
      <c r="E173" s="0" t="str">
        <f aca="false">IF($A173="","",Visitas!F173)</f>
        <v/>
      </c>
      <c r="F173" s="0" t="str">
        <f aca="false">IF($A173="","",SUMIFS(Avaliacoes!$G$2:$G$6000,Avaliacoes!$A$2:$A$6000,$A173,Avaliacoes!$F$2:$F$6000,"I",Avaliacoes!$H$2:$H$6000,0))</f>
        <v/>
      </c>
      <c r="G173" s="0" t="str">
        <f aca="false">IF($A173="","",SUMIFS(Avaliacoes!$G$2:$G$6000,Avaliacoes!$A$2:$A$6000,$A173,Avaliacoes!$F$2:$F$6000,"II",Avaliacoes!$H$2:$H$6000,0))</f>
        <v/>
      </c>
      <c r="H173" s="0" t="str">
        <f aca="false">IF($A173="","",SUMIFS(Avaliacoes!$G$2:$G$6000,Avaliacoes!$A$2:$A$6000,$A173,Avaliacoes!$F$2:$F$6000,"III",Avaliacoes!$H$2:$H$6000,0))</f>
        <v/>
      </c>
      <c r="I173" s="0" t="str">
        <f aca="false">IF($A173="","",SUMIFS(Avaliacoes!$G$2:$G$6000,Avaliacoes!$A$2:$A$6000,$A173,Avaliacoes!$F$2:$F$6000,"IV",Avaliacoes!$H$2:$H$6000,0))</f>
        <v/>
      </c>
      <c r="J173" s="0" t="str">
        <f aca="false">IF($A173="","",COUNTIFS(Avaliacoes!$A$2:$A$6000,$A173,Avaliacoes!$F$2:$F$6000,"I",Avaliacoes!$H$2:$H$6000,0,Avaliacoes!$G$2:$G$6000,"&lt;&gt;")*Dimensoes!$E$2)</f>
        <v/>
      </c>
      <c r="K173" s="0" t="str">
        <f aca="false">IF($A173="","",COUNTIFS(Avaliacoes!$A$2:$A$6000,$A173,Avaliacoes!$F$2:$F$6000,"II",Avaliacoes!$H$2:$H$6000,0,Avaliacoes!$G$2:$G$6000,"&lt;&gt;")*Dimensoes!$E$3)</f>
        <v/>
      </c>
      <c r="L173" s="0" t="str">
        <f aca="false">IF($A173="","",COUNTIFS(Avaliacoes!$A$2:$A$6000,$A173,Avaliacoes!$F$2:$F$6000,"III",Avaliacoes!$H$2:$H$6000,0,Avaliacoes!$G$2:$G$6000,"&lt;&gt;")*Dimensoes!$E$4)</f>
        <v/>
      </c>
      <c r="M173" s="0" t="str">
        <f aca="false">IF($A173="","",COUNTIFS(Avaliacoes!$A$2:$A$6000,$A173,Avaliacoes!$F$2:$F$6000,"IV",Avaliacoes!$H$2:$H$6000,0,Avaliacoes!$G$2:$G$6000,"&lt;&gt;")*Dimensoes!$E$5)</f>
        <v/>
      </c>
      <c r="N173" s="9" t="str">
        <f aca="false">IF($A173="","",IF(J173&gt;0,F173/J173,""))</f>
        <v/>
      </c>
      <c r="O173" s="9" t="str">
        <f aca="false">IF($A173="","",IF(K173&gt;0,G173/K173,""))</f>
        <v/>
      </c>
      <c r="P173" s="9" t="str">
        <f aca="false">IF($A173="","",IF(L173&gt;0,H173/L173,""))</f>
        <v/>
      </c>
      <c r="Q173" s="9" t="str">
        <f aca="false">IF($A173="","",IF(M173&gt;0,I173/M173,""))</f>
        <v/>
      </c>
      <c r="R173" s="17" t="str">
        <f aca="false">IF($A173="","",IF((IF(N173="",0,Dimensoes!$C$2)+IF(O173="",0,Dimensoes!$C$3)+IF(P173="",0,Dimensoes!$C$4)+IF(Q173="",0,Dimensoes!$C$5))=0,"",(IF(N173="",0,N173*Dimensoes!$C$2)+IF(O173="",0,O173*Dimensoes!$C$3)+IF(P173="",0,P173*Dimensoes!$C$4)+IF(Q173="",0,Q173*Dimensoes!$C$5))/(IF(N173="",0,Dimensoes!$C$2)+IF(O173="",0,Dimensoes!$C$3)+IF(P173="",0,Dimensoes!$C$4)+IF(Q173="",0,Dimensoes!$C$5))))</f>
        <v/>
      </c>
      <c r="S173" s="0" t="str">
        <f aca="false">IF(R173="","",IF(R173&lt;Faixas!$C$3,"vermelho",IF(R173&lt;Faixas!$C$4,"amarelo","verde")))</f>
        <v/>
      </c>
      <c r="T173" s="9" t="str">
        <f aca="false">IF($A173="","",IF(N173="",0,N173*Dimensoes!$C$2)+IF(O173="",0,O173*Dimensoes!$C$3)+IF(P173="",0,P173*Dimensoes!$C$4)+IF(Q173="",0,Q173*Dimensoes!$C$5))</f>
        <v/>
      </c>
      <c r="U173" s="0" t="str">
        <f aca="false">IF($A173="","",IF(OR(E173="concluida",E173="incompleta"),1,0))</f>
        <v/>
      </c>
    </row>
    <row r="174" customFormat="false" ht="15" hidden="false" customHeight="false" outlineLevel="0" collapsed="false">
      <c r="A174" s="0" t="str">
        <f aca="false">IF(Visitas!A174="","",Visitas!A174)</f>
        <v/>
      </c>
      <c r="B174" s="0" t="str">
        <f aca="false">IF($A174="","",Visitas!C174)</f>
        <v/>
      </c>
      <c r="C174" s="7" t="str">
        <f aca="false">IF($A174="","",Visitas!D174)</f>
        <v/>
      </c>
      <c r="D174" s="0" t="str">
        <f aca="false">IF($A174="","",Visitas!B174)</f>
        <v/>
      </c>
      <c r="E174" s="0" t="str">
        <f aca="false">IF($A174="","",Visitas!F174)</f>
        <v/>
      </c>
      <c r="F174" s="0" t="str">
        <f aca="false">IF($A174="","",SUMIFS(Avaliacoes!$G$2:$G$6000,Avaliacoes!$A$2:$A$6000,$A174,Avaliacoes!$F$2:$F$6000,"I",Avaliacoes!$H$2:$H$6000,0))</f>
        <v/>
      </c>
      <c r="G174" s="0" t="str">
        <f aca="false">IF($A174="","",SUMIFS(Avaliacoes!$G$2:$G$6000,Avaliacoes!$A$2:$A$6000,$A174,Avaliacoes!$F$2:$F$6000,"II",Avaliacoes!$H$2:$H$6000,0))</f>
        <v/>
      </c>
      <c r="H174" s="0" t="str">
        <f aca="false">IF($A174="","",SUMIFS(Avaliacoes!$G$2:$G$6000,Avaliacoes!$A$2:$A$6000,$A174,Avaliacoes!$F$2:$F$6000,"III",Avaliacoes!$H$2:$H$6000,0))</f>
        <v/>
      </c>
      <c r="I174" s="0" t="str">
        <f aca="false">IF($A174="","",SUMIFS(Avaliacoes!$G$2:$G$6000,Avaliacoes!$A$2:$A$6000,$A174,Avaliacoes!$F$2:$F$6000,"IV",Avaliacoes!$H$2:$H$6000,0))</f>
        <v/>
      </c>
      <c r="J174" s="0" t="str">
        <f aca="false">IF($A174="","",COUNTIFS(Avaliacoes!$A$2:$A$6000,$A174,Avaliacoes!$F$2:$F$6000,"I",Avaliacoes!$H$2:$H$6000,0,Avaliacoes!$G$2:$G$6000,"&lt;&gt;")*Dimensoes!$E$2)</f>
        <v/>
      </c>
      <c r="K174" s="0" t="str">
        <f aca="false">IF($A174="","",COUNTIFS(Avaliacoes!$A$2:$A$6000,$A174,Avaliacoes!$F$2:$F$6000,"II",Avaliacoes!$H$2:$H$6000,0,Avaliacoes!$G$2:$G$6000,"&lt;&gt;")*Dimensoes!$E$3)</f>
        <v/>
      </c>
      <c r="L174" s="0" t="str">
        <f aca="false">IF($A174="","",COUNTIFS(Avaliacoes!$A$2:$A$6000,$A174,Avaliacoes!$F$2:$F$6000,"III",Avaliacoes!$H$2:$H$6000,0,Avaliacoes!$G$2:$G$6000,"&lt;&gt;")*Dimensoes!$E$4)</f>
        <v/>
      </c>
      <c r="M174" s="0" t="str">
        <f aca="false">IF($A174="","",COUNTIFS(Avaliacoes!$A$2:$A$6000,$A174,Avaliacoes!$F$2:$F$6000,"IV",Avaliacoes!$H$2:$H$6000,0,Avaliacoes!$G$2:$G$6000,"&lt;&gt;")*Dimensoes!$E$5)</f>
        <v/>
      </c>
      <c r="N174" s="9" t="str">
        <f aca="false">IF($A174="","",IF(J174&gt;0,F174/J174,""))</f>
        <v/>
      </c>
      <c r="O174" s="9" t="str">
        <f aca="false">IF($A174="","",IF(K174&gt;0,G174/K174,""))</f>
        <v/>
      </c>
      <c r="P174" s="9" t="str">
        <f aca="false">IF($A174="","",IF(L174&gt;0,H174/L174,""))</f>
        <v/>
      </c>
      <c r="Q174" s="9" t="str">
        <f aca="false">IF($A174="","",IF(M174&gt;0,I174/M174,""))</f>
        <v/>
      </c>
      <c r="R174" s="17" t="str">
        <f aca="false">IF($A174="","",IF((IF(N174="",0,Dimensoes!$C$2)+IF(O174="",0,Dimensoes!$C$3)+IF(P174="",0,Dimensoes!$C$4)+IF(Q174="",0,Dimensoes!$C$5))=0,"",(IF(N174="",0,N174*Dimensoes!$C$2)+IF(O174="",0,O174*Dimensoes!$C$3)+IF(P174="",0,P174*Dimensoes!$C$4)+IF(Q174="",0,Q174*Dimensoes!$C$5))/(IF(N174="",0,Dimensoes!$C$2)+IF(O174="",0,Dimensoes!$C$3)+IF(P174="",0,Dimensoes!$C$4)+IF(Q174="",0,Dimensoes!$C$5))))</f>
        <v/>
      </c>
      <c r="S174" s="0" t="str">
        <f aca="false">IF(R174="","",IF(R174&lt;Faixas!$C$3,"vermelho",IF(R174&lt;Faixas!$C$4,"amarelo","verde")))</f>
        <v/>
      </c>
      <c r="T174" s="9" t="str">
        <f aca="false">IF($A174="","",IF(N174="",0,N174*Dimensoes!$C$2)+IF(O174="",0,O174*Dimensoes!$C$3)+IF(P174="",0,P174*Dimensoes!$C$4)+IF(Q174="",0,Q174*Dimensoes!$C$5))</f>
        <v/>
      </c>
      <c r="U174" s="0" t="str">
        <f aca="false">IF($A174="","",IF(OR(E174="concluida",E174="incompleta"),1,0))</f>
        <v/>
      </c>
    </row>
    <row r="175" customFormat="false" ht="15" hidden="false" customHeight="false" outlineLevel="0" collapsed="false">
      <c r="A175" s="0" t="str">
        <f aca="false">IF(Visitas!A175="","",Visitas!A175)</f>
        <v/>
      </c>
      <c r="B175" s="0" t="str">
        <f aca="false">IF($A175="","",Visitas!C175)</f>
        <v/>
      </c>
      <c r="C175" s="7" t="str">
        <f aca="false">IF($A175="","",Visitas!D175)</f>
        <v/>
      </c>
      <c r="D175" s="0" t="str">
        <f aca="false">IF($A175="","",Visitas!B175)</f>
        <v/>
      </c>
      <c r="E175" s="0" t="str">
        <f aca="false">IF($A175="","",Visitas!F175)</f>
        <v/>
      </c>
      <c r="F175" s="0" t="str">
        <f aca="false">IF($A175="","",SUMIFS(Avaliacoes!$G$2:$G$6000,Avaliacoes!$A$2:$A$6000,$A175,Avaliacoes!$F$2:$F$6000,"I",Avaliacoes!$H$2:$H$6000,0))</f>
        <v/>
      </c>
      <c r="G175" s="0" t="str">
        <f aca="false">IF($A175="","",SUMIFS(Avaliacoes!$G$2:$G$6000,Avaliacoes!$A$2:$A$6000,$A175,Avaliacoes!$F$2:$F$6000,"II",Avaliacoes!$H$2:$H$6000,0))</f>
        <v/>
      </c>
      <c r="H175" s="0" t="str">
        <f aca="false">IF($A175="","",SUMIFS(Avaliacoes!$G$2:$G$6000,Avaliacoes!$A$2:$A$6000,$A175,Avaliacoes!$F$2:$F$6000,"III",Avaliacoes!$H$2:$H$6000,0))</f>
        <v/>
      </c>
      <c r="I175" s="0" t="str">
        <f aca="false">IF($A175="","",SUMIFS(Avaliacoes!$G$2:$G$6000,Avaliacoes!$A$2:$A$6000,$A175,Avaliacoes!$F$2:$F$6000,"IV",Avaliacoes!$H$2:$H$6000,0))</f>
        <v/>
      </c>
      <c r="J175" s="0" t="str">
        <f aca="false">IF($A175="","",COUNTIFS(Avaliacoes!$A$2:$A$6000,$A175,Avaliacoes!$F$2:$F$6000,"I",Avaliacoes!$H$2:$H$6000,0,Avaliacoes!$G$2:$G$6000,"&lt;&gt;")*Dimensoes!$E$2)</f>
        <v/>
      </c>
      <c r="K175" s="0" t="str">
        <f aca="false">IF($A175="","",COUNTIFS(Avaliacoes!$A$2:$A$6000,$A175,Avaliacoes!$F$2:$F$6000,"II",Avaliacoes!$H$2:$H$6000,0,Avaliacoes!$G$2:$G$6000,"&lt;&gt;")*Dimensoes!$E$3)</f>
        <v/>
      </c>
      <c r="L175" s="0" t="str">
        <f aca="false">IF($A175="","",COUNTIFS(Avaliacoes!$A$2:$A$6000,$A175,Avaliacoes!$F$2:$F$6000,"III",Avaliacoes!$H$2:$H$6000,0,Avaliacoes!$G$2:$G$6000,"&lt;&gt;")*Dimensoes!$E$4)</f>
        <v/>
      </c>
      <c r="M175" s="0" t="str">
        <f aca="false">IF($A175="","",COUNTIFS(Avaliacoes!$A$2:$A$6000,$A175,Avaliacoes!$F$2:$F$6000,"IV",Avaliacoes!$H$2:$H$6000,0,Avaliacoes!$G$2:$G$6000,"&lt;&gt;")*Dimensoes!$E$5)</f>
        <v/>
      </c>
      <c r="N175" s="9" t="str">
        <f aca="false">IF($A175="","",IF(J175&gt;0,F175/J175,""))</f>
        <v/>
      </c>
      <c r="O175" s="9" t="str">
        <f aca="false">IF($A175="","",IF(K175&gt;0,G175/K175,""))</f>
        <v/>
      </c>
      <c r="P175" s="9" t="str">
        <f aca="false">IF($A175="","",IF(L175&gt;0,H175/L175,""))</f>
        <v/>
      </c>
      <c r="Q175" s="9" t="str">
        <f aca="false">IF($A175="","",IF(M175&gt;0,I175/M175,""))</f>
        <v/>
      </c>
      <c r="R175" s="17" t="str">
        <f aca="false">IF($A175="","",IF((IF(N175="",0,Dimensoes!$C$2)+IF(O175="",0,Dimensoes!$C$3)+IF(P175="",0,Dimensoes!$C$4)+IF(Q175="",0,Dimensoes!$C$5))=0,"",(IF(N175="",0,N175*Dimensoes!$C$2)+IF(O175="",0,O175*Dimensoes!$C$3)+IF(P175="",0,P175*Dimensoes!$C$4)+IF(Q175="",0,Q175*Dimensoes!$C$5))/(IF(N175="",0,Dimensoes!$C$2)+IF(O175="",0,Dimensoes!$C$3)+IF(P175="",0,Dimensoes!$C$4)+IF(Q175="",0,Dimensoes!$C$5))))</f>
        <v/>
      </c>
      <c r="S175" s="0" t="str">
        <f aca="false">IF(R175="","",IF(R175&lt;Faixas!$C$3,"vermelho",IF(R175&lt;Faixas!$C$4,"amarelo","verde")))</f>
        <v/>
      </c>
      <c r="T175" s="9" t="str">
        <f aca="false">IF($A175="","",IF(N175="",0,N175*Dimensoes!$C$2)+IF(O175="",0,O175*Dimensoes!$C$3)+IF(P175="",0,P175*Dimensoes!$C$4)+IF(Q175="",0,Q175*Dimensoes!$C$5))</f>
        <v/>
      </c>
      <c r="U175" s="0" t="str">
        <f aca="false">IF($A175="","",IF(OR(E175="concluida",E175="incompleta"),1,0))</f>
        <v/>
      </c>
    </row>
    <row r="176" customFormat="false" ht="15" hidden="false" customHeight="false" outlineLevel="0" collapsed="false">
      <c r="A176" s="0" t="str">
        <f aca="false">IF(Visitas!A176="","",Visitas!A176)</f>
        <v/>
      </c>
      <c r="B176" s="0" t="str">
        <f aca="false">IF($A176="","",Visitas!C176)</f>
        <v/>
      </c>
      <c r="C176" s="7" t="str">
        <f aca="false">IF($A176="","",Visitas!D176)</f>
        <v/>
      </c>
      <c r="D176" s="0" t="str">
        <f aca="false">IF($A176="","",Visitas!B176)</f>
        <v/>
      </c>
      <c r="E176" s="0" t="str">
        <f aca="false">IF($A176="","",Visitas!F176)</f>
        <v/>
      </c>
      <c r="F176" s="0" t="str">
        <f aca="false">IF($A176="","",SUMIFS(Avaliacoes!$G$2:$G$6000,Avaliacoes!$A$2:$A$6000,$A176,Avaliacoes!$F$2:$F$6000,"I",Avaliacoes!$H$2:$H$6000,0))</f>
        <v/>
      </c>
      <c r="G176" s="0" t="str">
        <f aca="false">IF($A176="","",SUMIFS(Avaliacoes!$G$2:$G$6000,Avaliacoes!$A$2:$A$6000,$A176,Avaliacoes!$F$2:$F$6000,"II",Avaliacoes!$H$2:$H$6000,0))</f>
        <v/>
      </c>
      <c r="H176" s="0" t="str">
        <f aca="false">IF($A176="","",SUMIFS(Avaliacoes!$G$2:$G$6000,Avaliacoes!$A$2:$A$6000,$A176,Avaliacoes!$F$2:$F$6000,"III",Avaliacoes!$H$2:$H$6000,0))</f>
        <v/>
      </c>
      <c r="I176" s="0" t="str">
        <f aca="false">IF($A176="","",SUMIFS(Avaliacoes!$G$2:$G$6000,Avaliacoes!$A$2:$A$6000,$A176,Avaliacoes!$F$2:$F$6000,"IV",Avaliacoes!$H$2:$H$6000,0))</f>
        <v/>
      </c>
      <c r="J176" s="0" t="str">
        <f aca="false">IF($A176="","",COUNTIFS(Avaliacoes!$A$2:$A$6000,$A176,Avaliacoes!$F$2:$F$6000,"I",Avaliacoes!$H$2:$H$6000,0,Avaliacoes!$G$2:$G$6000,"&lt;&gt;")*Dimensoes!$E$2)</f>
        <v/>
      </c>
      <c r="K176" s="0" t="str">
        <f aca="false">IF($A176="","",COUNTIFS(Avaliacoes!$A$2:$A$6000,$A176,Avaliacoes!$F$2:$F$6000,"II",Avaliacoes!$H$2:$H$6000,0,Avaliacoes!$G$2:$G$6000,"&lt;&gt;")*Dimensoes!$E$3)</f>
        <v/>
      </c>
      <c r="L176" s="0" t="str">
        <f aca="false">IF($A176="","",COUNTIFS(Avaliacoes!$A$2:$A$6000,$A176,Avaliacoes!$F$2:$F$6000,"III",Avaliacoes!$H$2:$H$6000,0,Avaliacoes!$G$2:$G$6000,"&lt;&gt;")*Dimensoes!$E$4)</f>
        <v/>
      </c>
      <c r="M176" s="0" t="str">
        <f aca="false">IF($A176="","",COUNTIFS(Avaliacoes!$A$2:$A$6000,$A176,Avaliacoes!$F$2:$F$6000,"IV",Avaliacoes!$H$2:$H$6000,0,Avaliacoes!$G$2:$G$6000,"&lt;&gt;")*Dimensoes!$E$5)</f>
        <v/>
      </c>
      <c r="N176" s="9" t="str">
        <f aca="false">IF($A176="","",IF(J176&gt;0,F176/J176,""))</f>
        <v/>
      </c>
      <c r="O176" s="9" t="str">
        <f aca="false">IF($A176="","",IF(K176&gt;0,G176/K176,""))</f>
        <v/>
      </c>
      <c r="P176" s="9" t="str">
        <f aca="false">IF($A176="","",IF(L176&gt;0,H176/L176,""))</f>
        <v/>
      </c>
      <c r="Q176" s="9" t="str">
        <f aca="false">IF($A176="","",IF(M176&gt;0,I176/M176,""))</f>
        <v/>
      </c>
      <c r="R176" s="17" t="str">
        <f aca="false">IF($A176="","",IF((IF(N176="",0,Dimensoes!$C$2)+IF(O176="",0,Dimensoes!$C$3)+IF(P176="",0,Dimensoes!$C$4)+IF(Q176="",0,Dimensoes!$C$5))=0,"",(IF(N176="",0,N176*Dimensoes!$C$2)+IF(O176="",0,O176*Dimensoes!$C$3)+IF(P176="",0,P176*Dimensoes!$C$4)+IF(Q176="",0,Q176*Dimensoes!$C$5))/(IF(N176="",0,Dimensoes!$C$2)+IF(O176="",0,Dimensoes!$C$3)+IF(P176="",0,Dimensoes!$C$4)+IF(Q176="",0,Dimensoes!$C$5))))</f>
        <v/>
      </c>
      <c r="S176" s="0" t="str">
        <f aca="false">IF(R176="","",IF(R176&lt;Faixas!$C$3,"vermelho",IF(R176&lt;Faixas!$C$4,"amarelo","verde")))</f>
        <v/>
      </c>
      <c r="T176" s="9" t="str">
        <f aca="false">IF($A176="","",IF(N176="",0,N176*Dimensoes!$C$2)+IF(O176="",0,O176*Dimensoes!$C$3)+IF(P176="",0,P176*Dimensoes!$C$4)+IF(Q176="",0,Q176*Dimensoes!$C$5))</f>
        <v/>
      </c>
      <c r="U176" s="0" t="str">
        <f aca="false">IF($A176="","",IF(OR(E176="concluida",E176="incompleta"),1,0))</f>
        <v/>
      </c>
    </row>
    <row r="177" customFormat="false" ht="15" hidden="false" customHeight="false" outlineLevel="0" collapsed="false">
      <c r="A177" s="0" t="str">
        <f aca="false">IF(Visitas!A177="","",Visitas!A177)</f>
        <v/>
      </c>
      <c r="B177" s="0" t="str">
        <f aca="false">IF($A177="","",Visitas!C177)</f>
        <v/>
      </c>
      <c r="C177" s="7" t="str">
        <f aca="false">IF($A177="","",Visitas!D177)</f>
        <v/>
      </c>
      <c r="D177" s="0" t="str">
        <f aca="false">IF($A177="","",Visitas!B177)</f>
        <v/>
      </c>
      <c r="E177" s="0" t="str">
        <f aca="false">IF($A177="","",Visitas!F177)</f>
        <v/>
      </c>
      <c r="F177" s="0" t="str">
        <f aca="false">IF($A177="","",SUMIFS(Avaliacoes!$G$2:$G$6000,Avaliacoes!$A$2:$A$6000,$A177,Avaliacoes!$F$2:$F$6000,"I",Avaliacoes!$H$2:$H$6000,0))</f>
        <v/>
      </c>
      <c r="G177" s="0" t="str">
        <f aca="false">IF($A177="","",SUMIFS(Avaliacoes!$G$2:$G$6000,Avaliacoes!$A$2:$A$6000,$A177,Avaliacoes!$F$2:$F$6000,"II",Avaliacoes!$H$2:$H$6000,0))</f>
        <v/>
      </c>
      <c r="H177" s="0" t="str">
        <f aca="false">IF($A177="","",SUMIFS(Avaliacoes!$G$2:$G$6000,Avaliacoes!$A$2:$A$6000,$A177,Avaliacoes!$F$2:$F$6000,"III",Avaliacoes!$H$2:$H$6000,0))</f>
        <v/>
      </c>
      <c r="I177" s="0" t="str">
        <f aca="false">IF($A177="","",SUMIFS(Avaliacoes!$G$2:$G$6000,Avaliacoes!$A$2:$A$6000,$A177,Avaliacoes!$F$2:$F$6000,"IV",Avaliacoes!$H$2:$H$6000,0))</f>
        <v/>
      </c>
      <c r="J177" s="0" t="str">
        <f aca="false">IF($A177="","",COUNTIFS(Avaliacoes!$A$2:$A$6000,$A177,Avaliacoes!$F$2:$F$6000,"I",Avaliacoes!$H$2:$H$6000,0,Avaliacoes!$G$2:$G$6000,"&lt;&gt;")*Dimensoes!$E$2)</f>
        <v/>
      </c>
      <c r="K177" s="0" t="str">
        <f aca="false">IF($A177="","",COUNTIFS(Avaliacoes!$A$2:$A$6000,$A177,Avaliacoes!$F$2:$F$6000,"II",Avaliacoes!$H$2:$H$6000,0,Avaliacoes!$G$2:$G$6000,"&lt;&gt;")*Dimensoes!$E$3)</f>
        <v/>
      </c>
      <c r="L177" s="0" t="str">
        <f aca="false">IF($A177="","",COUNTIFS(Avaliacoes!$A$2:$A$6000,$A177,Avaliacoes!$F$2:$F$6000,"III",Avaliacoes!$H$2:$H$6000,0,Avaliacoes!$G$2:$G$6000,"&lt;&gt;")*Dimensoes!$E$4)</f>
        <v/>
      </c>
      <c r="M177" s="0" t="str">
        <f aca="false">IF($A177="","",COUNTIFS(Avaliacoes!$A$2:$A$6000,$A177,Avaliacoes!$F$2:$F$6000,"IV",Avaliacoes!$H$2:$H$6000,0,Avaliacoes!$G$2:$G$6000,"&lt;&gt;")*Dimensoes!$E$5)</f>
        <v/>
      </c>
      <c r="N177" s="9" t="str">
        <f aca="false">IF($A177="","",IF(J177&gt;0,F177/J177,""))</f>
        <v/>
      </c>
      <c r="O177" s="9" t="str">
        <f aca="false">IF($A177="","",IF(K177&gt;0,G177/K177,""))</f>
        <v/>
      </c>
      <c r="P177" s="9" t="str">
        <f aca="false">IF($A177="","",IF(L177&gt;0,H177/L177,""))</f>
        <v/>
      </c>
      <c r="Q177" s="9" t="str">
        <f aca="false">IF($A177="","",IF(M177&gt;0,I177/M177,""))</f>
        <v/>
      </c>
      <c r="R177" s="17" t="str">
        <f aca="false">IF($A177="","",IF((IF(N177="",0,Dimensoes!$C$2)+IF(O177="",0,Dimensoes!$C$3)+IF(P177="",0,Dimensoes!$C$4)+IF(Q177="",0,Dimensoes!$C$5))=0,"",(IF(N177="",0,N177*Dimensoes!$C$2)+IF(O177="",0,O177*Dimensoes!$C$3)+IF(P177="",0,P177*Dimensoes!$C$4)+IF(Q177="",0,Q177*Dimensoes!$C$5))/(IF(N177="",0,Dimensoes!$C$2)+IF(O177="",0,Dimensoes!$C$3)+IF(P177="",0,Dimensoes!$C$4)+IF(Q177="",0,Dimensoes!$C$5))))</f>
        <v/>
      </c>
      <c r="S177" s="0" t="str">
        <f aca="false">IF(R177="","",IF(R177&lt;Faixas!$C$3,"vermelho",IF(R177&lt;Faixas!$C$4,"amarelo","verde")))</f>
        <v/>
      </c>
      <c r="T177" s="9" t="str">
        <f aca="false">IF($A177="","",IF(N177="",0,N177*Dimensoes!$C$2)+IF(O177="",0,O177*Dimensoes!$C$3)+IF(P177="",0,P177*Dimensoes!$C$4)+IF(Q177="",0,Q177*Dimensoes!$C$5))</f>
        <v/>
      </c>
      <c r="U177" s="0" t="str">
        <f aca="false">IF($A177="","",IF(OR(E177="concluida",E177="incompleta"),1,0))</f>
        <v/>
      </c>
    </row>
    <row r="178" customFormat="false" ht="15" hidden="false" customHeight="false" outlineLevel="0" collapsed="false">
      <c r="A178" s="0" t="str">
        <f aca="false">IF(Visitas!A178="","",Visitas!A178)</f>
        <v/>
      </c>
      <c r="B178" s="0" t="str">
        <f aca="false">IF($A178="","",Visitas!C178)</f>
        <v/>
      </c>
      <c r="C178" s="7" t="str">
        <f aca="false">IF($A178="","",Visitas!D178)</f>
        <v/>
      </c>
      <c r="D178" s="0" t="str">
        <f aca="false">IF($A178="","",Visitas!B178)</f>
        <v/>
      </c>
      <c r="E178" s="0" t="str">
        <f aca="false">IF($A178="","",Visitas!F178)</f>
        <v/>
      </c>
      <c r="F178" s="0" t="str">
        <f aca="false">IF($A178="","",SUMIFS(Avaliacoes!$G$2:$G$6000,Avaliacoes!$A$2:$A$6000,$A178,Avaliacoes!$F$2:$F$6000,"I",Avaliacoes!$H$2:$H$6000,0))</f>
        <v/>
      </c>
      <c r="G178" s="0" t="str">
        <f aca="false">IF($A178="","",SUMIFS(Avaliacoes!$G$2:$G$6000,Avaliacoes!$A$2:$A$6000,$A178,Avaliacoes!$F$2:$F$6000,"II",Avaliacoes!$H$2:$H$6000,0))</f>
        <v/>
      </c>
      <c r="H178" s="0" t="str">
        <f aca="false">IF($A178="","",SUMIFS(Avaliacoes!$G$2:$G$6000,Avaliacoes!$A$2:$A$6000,$A178,Avaliacoes!$F$2:$F$6000,"III",Avaliacoes!$H$2:$H$6000,0))</f>
        <v/>
      </c>
      <c r="I178" s="0" t="str">
        <f aca="false">IF($A178="","",SUMIFS(Avaliacoes!$G$2:$G$6000,Avaliacoes!$A$2:$A$6000,$A178,Avaliacoes!$F$2:$F$6000,"IV",Avaliacoes!$H$2:$H$6000,0))</f>
        <v/>
      </c>
      <c r="J178" s="0" t="str">
        <f aca="false">IF($A178="","",COUNTIFS(Avaliacoes!$A$2:$A$6000,$A178,Avaliacoes!$F$2:$F$6000,"I",Avaliacoes!$H$2:$H$6000,0,Avaliacoes!$G$2:$G$6000,"&lt;&gt;")*Dimensoes!$E$2)</f>
        <v/>
      </c>
      <c r="K178" s="0" t="str">
        <f aca="false">IF($A178="","",COUNTIFS(Avaliacoes!$A$2:$A$6000,$A178,Avaliacoes!$F$2:$F$6000,"II",Avaliacoes!$H$2:$H$6000,0,Avaliacoes!$G$2:$G$6000,"&lt;&gt;")*Dimensoes!$E$3)</f>
        <v/>
      </c>
      <c r="L178" s="0" t="str">
        <f aca="false">IF($A178="","",COUNTIFS(Avaliacoes!$A$2:$A$6000,$A178,Avaliacoes!$F$2:$F$6000,"III",Avaliacoes!$H$2:$H$6000,0,Avaliacoes!$G$2:$G$6000,"&lt;&gt;")*Dimensoes!$E$4)</f>
        <v/>
      </c>
      <c r="M178" s="0" t="str">
        <f aca="false">IF($A178="","",COUNTIFS(Avaliacoes!$A$2:$A$6000,$A178,Avaliacoes!$F$2:$F$6000,"IV",Avaliacoes!$H$2:$H$6000,0,Avaliacoes!$G$2:$G$6000,"&lt;&gt;")*Dimensoes!$E$5)</f>
        <v/>
      </c>
      <c r="N178" s="9" t="str">
        <f aca="false">IF($A178="","",IF(J178&gt;0,F178/J178,""))</f>
        <v/>
      </c>
      <c r="O178" s="9" t="str">
        <f aca="false">IF($A178="","",IF(K178&gt;0,G178/K178,""))</f>
        <v/>
      </c>
      <c r="P178" s="9" t="str">
        <f aca="false">IF($A178="","",IF(L178&gt;0,H178/L178,""))</f>
        <v/>
      </c>
      <c r="Q178" s="9" t="str">
        <f aca="false">IF($A178="","",IF(M178&gt;0,I178/M178,""))</f>
        <v/>
      </c>
      <c r="R178" s="17" t="str">
        <f aca="false">IF($A178="","",IF((IF(N178="",0,Dimensoes!$C$2)+IF(O178="",0,Dimensoes!$C$3)+IF(P178="",0,Dimensoes!$C$4)+IF(Q178="",0,Dimensoes!$C$5))=0,"",(IF(N178="",0,N178*Dimensoes!$C$2)+IF(O178="",0,O178*Dimensoes!$C$3)+IF(P178="",0,P178*Dimensoes!$C$4)+IF(Q178="",0,Q178*Dimensoes!$C$5))/(IF(N178="",0,Dimensoes!$C$2)+IF(O178="",0,Dimensoes!$C$3)+IF(P178="",0,Dimensoes!$C$4)+IF(Q178="",0,Dimensoes!$C$5))))</f>
        <v/>
      </c>
      <c r="S178" s="0" t="str">
        <f aca="false">IF(R178="","",IF(R178&lt;Faixas!$C$3,"vermelho",IF(R178&lt;Faixas!$C$4,"amarelo","verde")))</f>
        <v/>
      </c>
      <c r="T178" s="9" t="str">
        <f aca="false">IF($A178="","",IF(N178="",0,N178*Dimensoes!$C$2)+IF(O178="",0,O178*Dimensoes!$C$3)+IF(P178="",0,P178*Dimensoes!$C$4)+IF(Q178="",0,Q178*Dimensoes!$C$5))</f>
        <v/>
      </c>
      <c r="U178" s="0" t="str">
        <f aca="false">IF($A178="","",IF(OR(E178="concluida",E178="incompleta"),1,0))</f>
        <v/>
      </c>
    </row>
    <row r="179" customFormat="false" ht="15" hidden="false" customHeight="false" outlineLevel="0" collapsed="false">
      <c r="A179" s="0" t="str">
        <f aca="false">IF(Visitas!A179="","",Visitas!A179)</f>
        <v/>
      </c>
      <c r="B179" s="0" t="str">
        <f aca="false">IF($A179="","",Visitas!C179)</f>
        <v/>
      </c>
      <c r="C179" s="7" t="str">
        <f aca="false">IF($A179="","",Visitas!D179)</f>
        <v/>
      </c>
      <c r="D179" s="0" t="str">
        <f aca="false">IF($A179="","",Visitas!B179)</f>
        <v/>
      </c>
      <c r="E179" s="0" t="str">
        <f aca="false">IF($A179="","",Visitas!F179)</f>
        <v/>
      </c>
      <c r="F179" s="0" t="str">
        <f aca="false">IF($A179="","",SUMIFS(Avaliacoes!$G$2:$G$6000,Avaliacoes!$A$2:$A$6000,$A179,Avaliacoes!$F$2:$F$6000,"I",Avaliacoes!$H$2:$H$6000,0))</f>
        <v/>
      </c>
      <c r="G179" s="0" t="str">
        <f aca="false">IF($A179="","",SUMIFS(Avaliacoes!$G$2:$G$6000,Avaliacoes!$A$2:$A$6000,$A179,Avaliacoes!$F$2:$F$6000,"II",Avaliacoes!$H$2:$H$6000,0))</f>
        <v/>
      </c>
      <c r="H179" s="0" t="str">
        <f aca="false">IF($A179="","",SUMIFS(Avaliacoes!$G$2:$G$6000,Avaliacoes!$A$2:$A$6000,$A179,Avaliacoes!$F$2:$F$6000,"III",Avaliacoes!$H$2:$H$6000,0))</f>
        <v/>
      </c>
      <c r="I179" s="0" t="str">
        <f aca="false">IF($A179="","",SUMIFS(Avaliacoes!$G$2:$G$6000,Avaliacoes!$A$2:$A$6000,$A179,Avaliacoes!$F$2:$F$6000,"IV",Avaliacoes!$H$2:$H$6000,0))</f>
        <v/>
      </c>
      <c r="J179" s="0" t="str">
        <f aca="false">IF($A179="","",COUNTIFS(Avaliacoes!$A$2:$A$6000,$A179,Avaliacoes!$F$2:$F$6000,"I",Avaliacoes!$H$2:$H$6000,0,Avaliacoes!$G$2:$G$6000,"&lt;&gt;")*Dimensoes!$E$2)</f>
        <v/>
      </c>
      <c r="K179" s="0" t="str">
        <f aca="false">IF($A179="","",COUNTIFS(Avaliacoes!$A$2:$A$6000,$A179,Avaliacoes!$F$2:$F$6000,"II",Avaliacoes!$H$2:$H$6000,0,Avaliacoes!$G$2:$G$6000,"&lt;&gt;")*Dimensoes!$E$3)</f>
        <v/>
      </c>
      <c r="L179" s="0" t="str">
        <f aca="false">IF($A179="","",COUNTIFS(Avaliacoes!$A$2:$A$6000,$A179,Avaliacoes!$F$2:$F$6000,"III",Avaliacoes!$H$2:$H$6000,0,Avaliacoes!$G$2:$G$6000,"&lt;&gt;")*Dimensoes!$E$4)</f>
        <v/>
      </c>
      <c r="M179" s="0" t="str">
        <f aca="false">IF($A179="","",COUNTIFS(Avaliacoes!$A$2:$A$6000,$A179,Avaliacoes!$F$2:$F$6000,"IV",Avaliacoes!$H$2:$H$6000,0,Avaliacoes!$G$2:$G$6000,"&lt;&gt;")*Dimensoes!$E$5)</f>
        <v/>
      </c>
      <c r="N179" s="9" t="str">
        <f aca="false">IF($A179="","",IF(J179&gt;0,F179/J179,""))</f>
        <v/>
      </c>
      <c r="O179" s="9" t="str">
        <f aca="false">IF($A179="","",IF(K179&gt;0,G179/K179,""))</f>
        <v/>
      </c>
      <c r="P179" s="9" t="str">
        <f aca="false">IF($A179="","",IF(L179&gt;0,H179/L179,""))</f>
        <v/>
      </c>
      <c r="Q179" s="9" t="str">
        <f aca="false">IF($A179="","",IF(M179&gt;0,I179/M179,""))</f>
        <v/>
      </c>
      <c r="R179" s="17" t="str">
        <f aca="false">IF($A179="","",IF((IF(N179="",0,Dimensoes!$C$2)+IF(O179="",0,Dimensoes!$C$3)+IF(P179="",0,Dimensoes!$C$4)+IF(Q179="",0,Dimensoes!$C$5))=0,"",(IF(N179="",0,N179*Dimensoes!$C$2)+IF(O179="",0,O179*Dimensoes!$C$3)+IF(P179="",0,P179*Dimensoes!$C$4)+IF(Q179="",0,Q179*Dimensoes!$C$5))/(IF(N179="",0,Dimensoes!$C$2)+IF(O179="",0,Dimensoes!$C$3)+IF(P179="",0,Dimensoes!$C$4)+IF(Q179="",0,Dimensoes!$C$5))))</f>
        <v/>
      </c>
      <c r="S179" s="0" t="str">
        <f aca="false">IF(R179="","",IF(R179&lt;Faixas!$C$3,"vermelho",IF(R179&lt;Faixas!$C$4,"amarelo","verde")))</f>
        <v/>
      </c>
      <c r="T179" s="9" t="str">
        <f aca="false">IF($A179="","",IF(N179="",0,N179*Dimensoes!$C$2)+IF(O179="",0,O179*Dimensoes!$C$3)+IF(P179="",0,P179*Dimensoes!$C$4)+IF(Q179="",0,Q179*Dimensoes!$C$5))</f>
        <v/>
      </c>
      <c r="U179" s="0" t="str">
        <f aca="false">IF($A179="","",IF(OR(E179="concluida",E179="incompleta"),1,0))</f>
        <v/>
      </c>
    </row>
    <row r="180" customFormat="false" ht="15" hidden="false" customHeight="false" outlineLevel="0" collapsed="false">
      <c r="A180" s="0" t="str">
        <f aca="false">IF(Visitas!A180="","",Visitas!A180)</f>
        <v/>
      </c>
      <c r="B180" s="0" t="str">
        <f aca="false">IF($A180="","",Visitas!C180)</f>
        <v/>
      </c>
      <c r="C180" s="7" t="str">
        <f aca="false">IF($A180="","",Visitas!D180)</f>
        <v/>
      </c>
      <c r="D180" s="0" t="str">
        <f aca="false">IF($A180="","",Visitas!B180)</f>
        <v/>
      </c>
      <c r="E180" s="0" t="str">
        <f aca="false">IF($A180="","",Visitas!F180)</f>
        <v/>
      </c>
      <c r="F180" s="0" t="str">
        <f aca="false">IF($A180="","",SUMIFS(Avaliacoes!$G$2:$G$6000,Avaliacoes!$A$2:$A$6000,$A180,Avaliacoes!$F$2:$F$6000,"I",Avaliacoes!$H$2:$H$6000,0))</f>
        <v/>
      </c>
      <c r="G180" s="0" t="str">
        <f aca="false">IF($A180="","",SUMIFS(Avaliacoes!$G$2:$G$6000,Avaliacoes!$A$2:$A$6000,$A180,Avaliacoes!$F$2:$F$6000,"II",Avaliacoes!$H$2:$H$6000,0))</f>
        <v/>
      </c>
      <c r="H180" s="0" t="str">
        <f aca="false">IF($A180="","",SUMIFS(Avaliacoes!$G$2:$G$6000,Avaliacoes!$A$2:$A$6000,$A180,Avaliacoes!$F$2:$F$6000,"III",Avaliacoes!$H$2:$H$6000,0))</f>
        <v/>
      </c>
      <c r="I180" s="0" t="str">
        <f aca="false">IF($A180="","",SUMIFS(Avaliacoes!$G$2:$G$6000,Avaliacoes!$A$2:$A$6000,$A180,Avaliacoes!$F$2:$F$6000,"IV",Avaliacoes!$H$2:$H$6000,0))</f>
        <v/>
      </c>
      <c r="J180" s="0" t="str">
        <f aca="false">IF($A180="","",COUNTIFS(Avaliacoes!$A$2:$A$6000,$A180,Avaliacoes!$F$2:$F$6000,"I",Avaliacoes!$H$2:$H$6000,0,Avaliacoes!$G$2:$G$6000,"&lt;&gt;")*Dimensoes!$E$2)</f>
        <v/>
      </c>
      <c r="K180" s="0" t="str">
        <f aca="false">IF($A180="","",COUNTIFS(Avaliacoes!$A$2:$A$6000,$A180,Avaliacoes!$F$2:$F$6000,"II",Avaliacoes!$H$2:$H$6000,0,Avaliacoes!$G$2:$G$6000,"&lt;&gt;")*Dimensoes!$E$3)</f>
        <v/>
      </c>
      <c r="L180" s="0" t="str">
        <f aca="false">IF($A180="","",COUNTIFS(Avaliacoes!$A$2:$A$6000,$A180,Avaliacoes!$F$2:$F$6000,"III",Avaliacoes!$H$2:$H$6000,0,Avaliacoes!$G$2:$G$6000,"&lt;&gt;")*Dimensoes!$E$4)</f>
        <v/>
      </c>
      <c r="M180" s="0" t="str">
        <f aca="false">IF($A180="","",COUNTIFS(Avaliacoes!$A$2:$A$6000,$A180,Avaliacoes!$F$2:$F$6000,"IV",Avaliacoes!$H$2:$H$6000,0,Avaliacoes!$G$2:$G$6000,"&lt;&gt;")*Dimensoes!$E$5)</f>
        <v/>
      </c>
      <c r="N180" s="9" t="str">
        <f aca="false">IF($A180="","",IF(J180&gt;0,F180/J180,""))</f>
        <v/>
      </c>
      <c r="O180" s="9" t="str">
        <f aca="false">IF($A180="","",IF(K180&gt;0,G180/K180,""))</f>
        <v/>
      </c>
      <c r="P180" s="9" t="str">
        <f aca="false">IF($A180="","",IF(L180&gt;0,H180/L180,""))</f>
        <v/>
      </c>
      <c r="Q180" s="9" t="str">
        <f aca="false">IF($A180="","",IF(M180&gt;0,I180/M180,""))</f>
        <v/>
      </c>
      <c r="R180" s="17" t="str">
        <f aca="false">IF($A180="","",IF((IF(N180="",0,Dimensoes!$C$2)+IF(O180="",0,Dimensoes!$C$3)+IF(P180="",0,Dimensoes!$C$4)+IF(Q180="",0,Dimensoes!$C$5))=0,"",(IF(N180="",0,N180*Dimensoes!$C$2)+IF(O180="",0,O180*Dimensoes!$C$3)+IF(P180="",0,P180*Dimensoes!$C$4)+IF(Q180="",0,Q180*Dimensoes!$C$5))/(IF(N180="",0,Dimensoes!$C$2)+IF(O180="",0,Dimensoes!$C$3)+IF(P180="",0,Dimensoes!$C$4)+IF(Q180="",0,Dimensoes!$C$5))))</f>
        <v/>
      </c>
      <c r="S180" s="0" t="str">
        <f aca="false">IF(R180="","",IF(R180&lt;Faixas!$C$3,"vermelho",IF(R180&lt;Faixas!$C$4,"amarelo","verde")))</f>
        <v/>
      </c>
      <c r="T180" s="9" t="str">
        <f aca="false">IF($A180="","",IF(N180="",0,N180*Dimensoes!$C$2)+IF(O180="",0,O180*Dimensoes!$C$3)+IF(P180="",0,P180*Dimensoes!$C$4)+IF(Q180="",0,Q180*Dimensoes!$C$5))</f>
        <v/>
      </c>
      <c r="U180" s="0" t="str">
        <f aca="false">IF($A180="","",IF(OR(E180="concluida",E180="incompleta"),1,0))</f>
        <v/>
      </c>
    </row>
    <row r="181" customFormat="false" ht="15" hidden="false" customHeight="false" outlineLevel="0" collapsed="false">
      <c r="A181" s="0" t="str">
        <f aca="false">IF(Visitas!A181="","",Visitas!A181)</f>
        <v/>
      </c>
      <c r="B181" s="0" t="str">
        <f aca="false">IF($A181="","",Visitas!C181)</f>
        <v/>
      </c>
      <c r="C181" s="7" t="str">
        <f aca="false">IF($A181="","",Visitas!D181)</f>
        <v/>
      </c>
      <c r="D181" s="0" t="str">
        <f aca="false">IF($A181="","",Visitas!B181)</f>
        <v/>
      </c>
      <c r="E181" s="0" t="str">
        <f aca="false">IF($A181="","",Visitas!F181)</f>
        <v/>
      </c>
      <c r="F181" s="0" t="str">
        <f aca="false">IF($A181="","",SUMIFS(Avaliacoes!$G$2:$G$6000,Avaliacoes!$A$2:$A$6000,$A181,Avaliacoes!$F$2:$F$6000,"I",Avaliacoes!$H$2:$H$6000,0))</f>
        <v/>
      </c>
      <c r="G181" s="0" t="str">
        <f aca="false">IF($A181="","",SUMIFS(Avaliacoes!$G$2:$G$6000,Avaliacoes!$A$2:$A$6000,$A181,Avaliacoes!$F$2:$F$6000,"II",Avaliacoes!$H$2:$H$6000,0))</f>
        <v/>
      </c>
      <c r="H181" s="0" t="str">
        <f aca="false">IF($A181="","",SUMIFS(Avaliacoes!$G$2:$G$6000,Avaliacoes!$A$2:$A$6000,$A181,Avaliacoes!$F$2:$F$6000,"III",Avaliacoes!$H$2:$H$6000,0))</f>
        <v/>
      </c>
      <c r="I181" s="0" t="str">
        <f aca="false">IF($A181="","",SUMIFS(Avaliacoes!$G$2:$G$6000,Avaliacoes!$A$2:$A$6000,$A181,Avaliacoes!$F$2:$F$6000,"IV",Avaliacoes!$H$2:$H$6000,0))</f>
        <v/>
      </c>
      <c r="J181" s="0" t="str">
        <f aca="false">IF($A181="","",COUNTIFS(Avaliacoes!$A$2:$A$6000,$A181,Avaliacoes!$F$2:$F$6000,"I",Avaliacoes!$H$2:$H$6000,0,Avaliacoes!$G$2:$G$6000,"&lt;&gt;")*Dimensoes!$E$2)</f>
        <v/>
      </c>
      <c r="K181" s="0" t="str">
        <f aca="false">IF($A181="","",COUNTIFS(Avaliacoes!$A$2:$A$6000,$A181,Avaliacoes!$F$2:$F$6000,"II",Avaliacoes!$H$2:$H$6000,0,Avaliacoes!$G$2:$G$6000,"&lt;&gt;")*Dimensoes!$E$3)</f>
        <v/>
      </c>
      <c r="L181" s="0" t="str">
        <f aca="false">IF($A181="","",COUNTIFS(Avaliacoes!$A$2:$A$6000,$A181,Avaliacoes!$F$2:$F$6000,"III",Avaliacoes!$H$2:$H$6000,0,Avaliacoes!$G$2:$G$6000,"&lt;&gt;")*Dimensoes!$E$4)</f>
        <v/>
      </c>
      <c r="M181" s="0" t="str">
        <f aca="false">IF($A181="","",COUNTIFS(Avaliacoes!$A$2:$A$6000,$A181,Avaliacoes!$F$2:$F$6000,"IV",Avaliacoes!$H$2:$H$6000,0,Avaliacoes!$G$2:$G$6000,"&lt;&gt;")*Dimensoes!$E$5)</f>
        <v/>
      </c>
      <c r="N181" s="9" t="str">
        <f aca="false">IF($A181="","",IF(J181&gt;0,F181/J181,""))</f>
        <v/>
      </c>
      <c r="O181" s="9" t="str">
        <f aca="false">IF($A181="","",IF(K181&gt;0,G181/K181,""))</f>
        <v/>
      </c>
      <c r="P181" s="9" t="str">
        <f aca="false">IF($A181="","",IF(L181&gt;0,H181/L181,""))</f>
        <v/>
      </c>
      <c r="Q181" s="9" t="str">
        <f aca="false">IF($A181="","",IF(M181&gt;0,I181/M181,""))</f>
        <v/>
      </c>
      <c r="R181" s="17" t="str">
        <f aca="false">IF($A181="","",IF((IF(N181="",0,Dimensoes!$C$2)+IF(O181="",0,Dimensoes!$C$3)+IF(P181="",0,Dimensoes!$C$4)+IF(Q181="",0,Dimensoes!$C$5))=0,"",(IF(N181="",0,N181*Dimensoes!$C$2)+IF(O181="",0,O181*Dimensoes!$C$3)+IF(P181="",0,P181*Dimensoes!$C$4)+IF(Q181="",0,Q181*Dimensoes!$C$5))/(IF(N181="",0,Dimensoes!$C$2)+IF(O181="",0,Dimensoes!$C$3)+IF(P181="",0,Dimensoes!$C$4)+IF(Q181="",0,Dimensoes!$C$5))))</f>
        <v/>
      </c>
      <c r="S181" s="0" t="str">
        <f aca="false">IF(R181="","",IF(R181&lt;Faixas!$C$3,"vermelho",IF(R181&lt;Faixas!$C$4,"amarelo","verde")))</f>
        <v/>
      </c>
      <c r="T181" s="9" t="str">
        <f aca="false">IF($A181="","",IF(N181="",0,N181*Dimensoes!$C$2)+IF(O181="",0,O181*Dimensoes!$C$3)+IF(P181="",0,P181*Dimensoes!$C$4)+IF(Q181="",0,Q181*Dimensoes!$C$5))</f>
        <v/>
      </c>
      <c r="U181" s="0" t="str">
        <f aca="false">IF($A181="","",IF(OR(E181="concluida",E181="incompleta"),1,0))</f>
        <v/>
      </c>
    </row>
    <row r="182" customFormat="false" ht="15" hidden="false" customHeight="false" outlineLevel="0" collapsed="false">
      <c r="A182" s="0" t="str">
        <f aca="false">IF(Visitas!A182="","",Visitas!A182)</f>
        <v/>
      </c>
      <c r="B182" s="0" t="str">
        <f aca="false">IF($A182="","",Visitas!C182)</f>
        <v/>
      </c>
      <c r="C182" s="7" t="str">
        <f aca="false">IF($A182="","",Visitas!D182)</f>
        <v/>
      </c>
      <c r="D182" s="0" t="str">
        <f aca="false">IF($A182="","",Visitas!B182)</f>
        <v/>
      </c>
      <c r="E182" s="0" t="str">
        <f aca="false">IF($A182="","",Visitas!F182)</f>
        <v/>
      </c>
      <c r="F182" s="0" t="str">
        <f aca="false">IF($A182="","",SUMIFS(Avaliacoes!$G$2:$G$6000,Avaliacoes!$A$2:$A$6000,$A182,Avaliacoes!$F$2:$F$6000,"I",Avaliacoes!$H$2:$H$6000,0))</f>
        <v/>
      </c>
      <c r="G182" s="0" t="str">
        <f aca="false">IF($A182="","",SUMIFS(Avaliacoes!$G$2:$G$6000,Avaliacoes!$A$2:$A$6000,$A182,Avaliacoes!$F$2:$F$6000,"II",Avaliacoes!$H$2:$H$6000,0))</f>
        <v/>
      </c>
      <c r="H182" s="0" t="str">
        <f aca="false">IF($A182="","",SUMIFS(Avaliacoes!$G$2:$G$6000,Avaliacoes!$A$2:$A$6000,$A182,Avaliacoes!$F$2:$F$6000,"III",Avaliacoes!$H$2:$H$6000,0))</f>
        <v/>
      </c>
      <c r="I182" s="0" t="str">
        <f aca="false">IF($A182="","",SUMIFS(Avaliacoes!$G$2:$G$6000,Avaliacoes!$A$2:$A$6000,$A182,Avaliacoes!$F$2:$F$6000,"IV",Avaliacoes!$H$2:$H$6000,0))</f>
        <v/>
      </c>
      <c r="J182" s="0" t="str">
        <f aca="false">IF($A182="","",COUNTIFS(Avaliacoes!$A$2:$A$6000,$A182,Avaliacoes!$F$2:$F$6000,"I",Avaliacoes!$H$2:$H$6000,0,Avaliacoes!$G$2:$G$6000,"&lt;&gt;")*Dimensoes!$E$2)</f>
        <v/>
      </c>
      <c r="K182" s="0" t="str">
        <f aca="false">IF($A182="","",COUNTIFS(Avaliacoes!$A$2:$A$6000,$A182,Avaliacoes!$F$2:$F$6000,"II",Avaliacoes!$H$2:$H$6000,0,Avaliacoes!$G$2:$G$6000,"&lt;&gt;")*Dimensoes!$E$3)</f>
        <v/>
      </c>
      <c r="L182" s="0" t="str">
        <f aca="false">IF($A182="","",COUNTIFS(Avaliacoes!$A$2:$A$6000,$A182,Avaliacoes!$F$2:$F$6000,"III",Avaliacoes!$H$2:$H$6000,0,Avaliacoes!$G$2:$G$6000,"&lt;&gt;")*Dimensoes!$E$4)</f>
        <v/>
      </c>
      <c r="M182" s="0" t="str">
        <f aca="false">IF($A182="","",COUNTIFS(Avaliacoes!$A$2:$A$6000,$A182,Avaliacoes!$F$2:$F$6000,"IV",Avaliacoes!$H$2:$H$6000,0,Avaliacoes!$G$2:$G$6000,"&lt;&gt;")*Dimensoes!$E$5)</f>
        <v/>
      </c>
      <c r="N182" s="9" t="str">
        <f aca="false">IF($A182="","",IF(J182&gt;0,F182/J182,""))</f>
        <v/>
      </c>
      <c r="O182" s="9" t="str">
        <f aca="false">IF($A182="","",IF(K182&gt;0,G182/K182,""))</f>
        <v/>
      </c>
      <c r="P182" s="9" t="str">
        <f aca="false">IF($A182="","",IF(L182&gt;0,H182/L182,""))</f>
        <v/>
      </c>
      <c r="Q182" s="9" t="str">
        <f aca="false">IF($A182="","",IF(M182&gt;0,I182/M182,""))</f>
        <v/>
      </c>
      <c r="R182" s="17" t="str">
        <f aca="false">IF($A182="","",IF((IF(N182="",0,Dimensoes!$C$2)+IF(O182="",0,Dimensoes!$C$3)+IF(P182="",0,Dimensoes!$C$4)+IF(Q182="",0,Dimensoes!$C$5))=0,"",(IF(N182="",0,N182*Dimensoes!$C$2)+IF(O182="",0,O182*Dimensoes!$C$3)+IF(P182="",0,P182*Dimensoes!$C$4)+IF(Q182="",0,Q182*Dimensoes!$C$5))/(IF(N182="",0,Dimensoes!$C$2)+IF(O182="",0,Dimensoes!$C$3)+IF(P182="",0,Dimensoes!$C$4)+IF(Q182="",0,Dimensoes!$C$5))))</f>
        <v/>
      </c>
      <c r="S182" s="0" t="str">
        <f aca="false">IF(R182="","",IF(R182&lt;Faixas!$C$3,"vermelho",IF(R182&lt;Faixas!$C$4,"amarelo","verde")))</f>
        <v/>
      </c>
      <c r="T182" s="9" t="str">
        <f aca="false">IF($A182="","",IF(N182="",0,N182*Dimensoes!$C$2)+IF(O182="",0,O182*Dimensoes!$C$3)+IF(P182="",0,P182*Dimensoes!$C$4)+IF(Q182="",0,Q182*Dimensoes!$C$5))</f>
        <v/>
      </c>
      <c r="U182" s="0" t="str">
        <f aca="false">IF($A182="","",IF(OR(E182="concluida",E182="incompleta"),1,0))</f>
        <v/>
      </c>
    </row>
    <row r="183" customFormat="false" ht="15" hidden="false" customHeight="false" outlineLevel="0" collapsed="false">
      <c r="A183" s="0" t="str">
        <f aca="false">IF(Visitas!A183="","",Visitas!A183)</f>
        <v/>
      </c>
      <c r="B183" s="0" t="str">
        <f aca="false">IF($A183="","",Visitas!C183)</f>
        <v/>
      </c>
      <c r="C183" s="7" t="str">
        <f aca="false">IF($A183="","",Visitas!D183)</f>
        <v/>
      </c>
      <c r="D183" s="0" t="str">
        <f aca="false">IF($A183="","",Visitas!B183)</f>
        <v/>
      </c>
      <c r="E183" s="0" t="str">
        <f aca="false">IF($A183="","",Visitas!F183)</f>
        <v/>
      </c>
      <c r="F183" s="0" t="str">
        <f aca="false">IF($A183="","",SUMIFS(Avaliacoes!$G$2:$G$6000,Avaliacoes!$A$2:$A$6000,$A183,Avaliacoes!$F$2:$F$6000,"I",Avaliacoes!$H$2:$H$6000,0))</f>
        <v/>
      </c>
      <c r="G183" s="0" t="str">
        <f aca="false">IF($A183="","",SUMIFS(Avaliacoes!$G$2:$G$6000,Avaliacoes!$A$2:$A$6000,$A183,Avaliacoes!$F$2:$F$6000,"II",Avaliacoes!$H$2:$H$6000,0))</f>
        <v/>
      </c>
      <c r="H183" s="0" t="str">
        <f aca="false">IF($A183="","",SUMIFS(Avaliacoes!$G$2:$G$6000,Avaliacoes!$A$2:$A$6000,$A183,Avaliacoes!$F$2:$F$6000,"III",Avaliacoes!$H$2:$H$6000,0))</f>
        <v/>
      </c>
      <c r="I183" s="0" t="str">
        <f aca="false">IF($A183="","",SUMIFS(Avaliacoes!$G$2:$G$6000,Avaliacoes!$A$2:$A$6000,$A183,Avaliacoes!$F$2:$F$6000,"IV",Avaliacoes!$H$2:$H$6000,0))</f>
        <v/>
      </c>
      <c r="J183" s="0" t="str">
        <f aca="false">IF($A183="","",COUNTIFS(Avaliacoes!$A$2:$A$6000,$A183,Avaliacoes!$F$2:$F$6000,"I",Avaliacoes!$H$2:$H$6000,0,Avaliacoes!$G$2:$G$6000,"&lt;&gt;")*Dimensoes!$E$2)</f>
        <v/>
      </c>
      <c r="K183" s="0" t="str">
        <f aca="false">IF($A183="","",COUNTIFS(Avaliacoes!$A$2:$A$6000,$A183,Avaliacoes!$F$2:$F$6000,"II",Avaliacoes!$H$2:$H$6000,0,Avaliacoes!$G$2:$G$6000,"&lt;&gt;")*Dimensoes!$E$3)</f>
        <v/>
      </c>
      <c r="L183" s="0" t="str">
        <f aca="false">IF($A183="","",COUNTIFS(Avaliacoes!$A$2:$A$6000,$A183,Avaliacoes!$F$2:$F$6000,"III",Avaliacoes!$H$2:$H$6000,0,Avaliacoes!$G$2:$G$6000,"&lt;&gt;")*Dimensoes!$E$4)</f>
        <v/>
      </c>
      <c r="M183" s="0" t="str">
        <f aca="false">IF($A183="","",COUNTIFS(Avaliacoes!$A$2:$A$6000,$A183,Avaliacoes!$F$2:$F$6000,"IV",Avaliacoes!$H$2:$H$6000,0,Avaliacoes!$G$2:$G$6000,"&lt;&gt;")*Dimensoes!$E$5)</f>
        <v/>
      </c>
      <c r="N183" s="9" t="str">
        <f aca="false">IF($A183="","",IF(J183&gt;0,F183/J183,""))</f>
        <v/>
      </c>
      <c r="O183" s="9" t="str">
        <f aca="false">IF($A183="","",IF(K183&gt;0,G183/K183,""))</f>
        <v/>
      </c>
      <c r="P183" s="9" t="str">
        <f aca="false">IF($A183="","",IF(L183&gt;0,H183/L183,""))</f>
        <v/>
      </c>
      <c r="Q183" s="9" t="str">
        <f aca="false">IF($A183="","",IF(M183&gt;0,I183/M183,""))</f>
        <v/>
      </c>
      <c r="R183" s="17" t="str">
        <f aca="false">IF($A183="","",IF((IF(N183="",0,Dimensoes!$C$2)+IF(O183="",0,Dimensoes!$C$3)+IF(P183="",0,Dimensoes!$C$4)+IF(Q183="",0,Dimensoes!$C$5))=0,"",(IF(N183="",0,N183*Dimensoes!$C$2)+IF(O183="",0,O183*Dimensoes!$C$3)+IF(P183="",0,P183*Dimensoes!$C$4)+IF(Q183="",0,Q183*Dimensoes!$C$5))/(IF(N183="",0,Dimensoes!$C$2)+IF(O183="",0,Dimensoes!$C$3)+IF(P183="",0,Dimensoes!$C$4)+IF(Q183="",0,Dimensoes!$C$5))))</f>
        <v/>
      </c>
      <c r="S183" s="0" t="str">
        <f aca="false">IF(R183="","",IF(R183&lt;Faixas!$C$3,"vermelho",IF(R183&lt;Faixas!$C$4,"amarelo","verde")))</f>
        <v/>
      </c>
      <c r="T183" s="9" t="str">
        <f aca="false">IF($A183="","",IF(N183="",0,N183*Dimensoes!$C$2)+IF(O183="",0,O183*Dimensoes!$C$3)+IF(P183="",0,P183*Dimensoes!$C$4)+IF(Q183="",0,Q183*Dimensoes!$C$5))</f>
        <v/>
      </c>
      <c r="U183" s="0" t="str">
        <f aca="false">IF($A183="","",IF(OR(E183="concluida",E183="incompleta"),1,0))</f>
        <v/>
      </c>
    </row>
    <row r="184" customFormat="false" ht="15" hidden="false" customHeight="false" outlineLevel="0" collapsed="false">
      <c r="A184" s="0" t="str">
        <f aca="false">IF(Visitas!A184="","",Visitas!A184)</f>
        <v/>
      </c>
      <c r="B184" s="0" t="str">
        <f aca="false">IF($A184="","",Visitas!C184)</f>
        <v/>
      </c>
      <c r="C184" s="7" t="str">
        <f aca="false">IF($A184="","",Visitas!D184)</f>
        <v/>
      </c>
      <c r="D184" s="0" t="str">
        <f aca="false">IF($A184="","",Visitas!B184)</f>
        <v/>
      </c>
      <c r="E184" s="0" t="str">
        <f aca="false">IF($A184="","",Visitas!F184)</f>
        <v/>
      </c>
      <c r="F184" s="0" t="str">
        <f aca="false">IF($A184="","",SUMIFS(Avaliacoes!$G$2:$G$6000,Avaliacoes!$A$2:$A$6000,$A184,Avaliacoes!$F$2:$F$6000,"I",Avaliacoes!$H$2:$H$6000,0))</f>
        <v/>
      </c>
      <c r="G184" s="0" t="str">
        <f aca="false">IF($A184="","",SUMIFS(Avaliacoes!$G$2:$G$6000,Avaliacoes!$A$2:$A$6000,$A184,Avaliacoes!$F$2:$F$6000,"II",Avaliacoes!$H$2:$H$6000,0))</f>
        <v/>
      </c>
      <c r="H184" s="0" t="str">
        <f aca="false">IF($A184="","",SUMIFS(Avaliacoes!$G$2:$G$6000,Avaliacoes!$A$2:$A$6000,$A184,Avaliacoes!$F$2:$F$6000,"III",Avaliacoes!$H$2:$H$6000,0))</f>
        <v/>
      </c>
      <c r="I184" s="0" t="str">
        <f aca="false">IF($A184="","",SUMIFS(Avaliacoes!$G$2:$G$6000,Avaliacoes!$A$2:$A$6000,$A184,Avaliacoes!$F$2:$F$6000,"IV",Avaliacoes!$H$2:$H$6000,0))</f>
        <v/>
      </c>
      <c r="J184" s="0" t="str">
        <f aca="false">IF($A184="","",COUNTIFS(Avaliacoes!$A$2:$A$6000,$A184,Avaliacoes!$F$2:$F$6000,"I",Avaliacoes!$H$2:$H$6000,0,Avaliacoes!$G$2:$G$6000,"&lt;&gt;")*Dimensoes!$E$2)</f>
        <v/>
      </c>
      <c r="K184" s="0" t="str">
        <f aca="false">IF($A184="","",COUNTIFS(Avaliacoes!$A$2:$A$6000,$A184,Avaliacoes!$F$2:$F$6000,"II",Avaliacoes!$H$2:$H$6000,0,Avaliacoes!$G$2:$G$6000,"&lt;&gt;")*Dimensoes!$E$3)</f>
        <v/>
      </c>
      <c r="L184" s="0" t="str">
        <f aca="false">IF($A184="","",COUNTIFS(Avaliacoes!$A$2:$A$6000,$A184,Avaliacoes!$F$2:$F$6000,"III",Avaliacoes!$H$2:$H$6000,0,Avaliacoes!$G$2:$G$6000,"&lt;&gt;")*Dimensoes!$E$4)</f>
        <v/>
      </c>
      <c r="M184" s="0" t="str">
        <f aca="false">IF($A184="","",COUNTIFS(Avaliacoes!$A$2:$A$6000,$A184,Avaliacoes!$F$2:$F$6000,"IV",Avaliacoes!$H$2:$H$6000,0,Avaliacoes!$G$2:$G$6000,"&lt;&gt;")*Dimensoes!$E$5)</f>
        <v/>
      </c>
      <c r="N184" s="9" t="str">
        <f aca="false">IF($A184="","",IF(J184&gt;0,F184/J184,""))</f>
        <v/>
      </c>
      <c r="O184" s="9" t="str">
        <f aca="false">IF($A184="","",IF(K184&gt;0,G184/K184,""))</f>
        <v/>
      </c>
      <c r="P184" s="9" t="str">
        <f aca="false">IF($A184="","",IF(L184&gt;0,H184/L184,""))</f>
        <v/>
      </c>
      <c r="Q184" s="9" t="str">
        <f aca="false">IF($A184="","",IF(M184&gt;0,I184/M184,""))</f>
        <v/>
      </c>
      <c r="R184" s="17" t="str">
        <f aca="false">IF($A184="","",IF((IF(N184="",0,Dimensoes!$C$2)+IF(O184="",0,Dimensoes!$C$3)+IF(P184="",0,Dimensoes!$C$4)+IF(Q184="",0,Dimensoes!$C$5))=0,"",(IF(N184="",0,N184*Dimensoes!$C$2)+IF(O184="",0,O184*Dimensoes!$C$3)+IF(P184="",0,P184*Dimensoes!$C$4)+IF(Q184="",0,Q184*Dimensoes!$C$5))/(IF(N184="",0,Dimensoes!$C$2)+IF(O184="",0,Dimensoes!$C$3)+IF(P184="",0,Dimensoes!$C$4)+IF(Q184="",0,Dimensoes!$C$5))))</f>
        <v/>
      </c>
      <c r="S184" s="0" t="str">
        <f aca="false">IF(R184="","",IF(R184&lt;Faixas!$C$3,"vermelho",IF(R184&lt;Faixas!$C$4,"amarelo","verde")))</f>
        <v/>
      </c>
      <c r="T184" s="9" t="str">
        <f aca="false">IF($A184="","",IF(N184="",0,N184*Dimensoes!$C$2)+IF(O184="",0,O184*Dimensoes!$C$3)+IF(P184="",0,P184*Dimensoes!$C$4)+IF(Q184="",0,Q184*Dimensoes!$C$5))</f>
        <v/>
      </c>
      <c r="U184" s="0" t="str">
        <f aca="false">IF($A184="","",IF(OR(E184="concluida",E184="incompleta"),1,0))</f>
        <v/>
      </c>
    </row>
    <row r="185" customFormat="false" ht="15" hidden="false" customHeight="false" outlineLevel="0" collapsed="false">
      <c r="A185" s="0" t="str">
        <f aca="false">IF(Visitas!A185="","",Visitas!A185)</f>
        <v/>
      </c>
      <c r="B185" s="0" t="str">
        <f aca="false">IF($A185="","",Visitas!C185)</f>
        <v/>
      </c>
      <c r="C185" s="7" t="str">
        <f aca="false">IF($A185="","",Visitas!D185)</f>
        <v/>
      </c>
      <c r="D185" s="0" t="str">
        <f aca="false">IF($A185="","",Visitas!B185)</f>
        <v/>
      </c>
      <c r="E185" s="0" t="str">
        <f aca="false">IF($A185="","",Visitas!F185)</f>
        <v/>
      </c>
      <c r="F185" s="0" t="str">
        <f aca="false">IF($A185="","",SUMIFS(Avaliacoes!$G$2:$G$6000,Avaliacoes!$A$2:$A$6000,$A185,Avaliacoes!$F$2:$F$6000,"I",Avaliacoes!$H$2:$H$6000,0))</f>
        <v/>
      </c>
      <c r="G185" s="0" t="str">
        <f aca="false">IF($A185="","",SUMIFS(Avaliacoes!$G$2:$G$6000,Avaliacoes!$A$2:$A$6000,$A185,Avaliacoes!$F$2:$F$6000,"II",Avaliacoes!$H$2:$H$6000,0))</f>
        <v/>
      </c>
      <c r="H185" s="0" t="str">
        <f aca="false">IF($A185="","",SUMIFS(Avaliacoes!$G$2:$G$6000,Avaliacoes!$A$2:$A$6000,$A185,Avaliacoes!$F$2:$F$6000,"III",Avaliacoes!$H$2:$H$6000,0))</f>
        <v/>
      </c>
      <c r="I185" s="0" t="str">
        <f aca="false">IF($A185="","",SUMIFS(Avaliacoes!$G$2:$G$6000,Avaliacoes!$A$2:$A$6000,$A185,Avaliacoes!$F$2:$F$6000,"IV",Avaliacoes!$H$2:$H$6000,0))</f>
        <v/>
      </c>
      <c r="J185" s="0" t="str">
        <f aca="false">IF($A185="","",COUNTIFS(Avaliacoes!$A$2:$A$6000,$A185,Avaliacoes!$F$2:$F$6000,"I",Avaliacoes!$H$2:$H$6000,0,Avaliacoes!$G$2:$G$6000,"&lt;&gt;")*Dimensoes!$E$2)</f>
        <v/>
      </c>
      <c r="K185" s="0" t="str">
        <f aca="false">IF($A185="","",COUNTIFS(Avaliacoes!$A$2:$A$6000,$A185,Avaliacoes!$F$2:$F$6000,"II",Avaliacoes!$H$2:$H$6000,0,Avaliacoes!$G$2:$G$6000,"&lt;&gt;")*Dimensoes!$E$3)</f>
        <v/>
      </c>
      <c r="L185" s="0" t="str">
        <f aca="false">IF($A185="","",COUNTIFS(Avaliacoes!$A$2:$A$6000,$A185,Avaliacoes!$F$2:$F$6000,"III",Avaliacoes!$H$2:$H$6000,0,Avaliacoes!$G$2:$G$6000,"&lt;&gt;")*Dimensoes!$E$4)</f>
        <v/>
      </c>
      <c r="M185" s="0" t="str">
        <f aca="false">IF($A185="","",COUNTIFS(Avaliacoes!$A$2:$A$6000,$A185,Avaliacoes!$F$2:$F$6000,"IV",Avaliacoes!$H$2:$H$6000,0,Avaliacoes!$G$2:$G$6000,"&lt;&gt;")*Dimensoes!$E$5)</f>
        <v/>
      </c>
      <c r="N185" s="9" t="str">
        <f aca="false">IF($A185="","",IF(J185&gt;0,F185/J185,""))</f>
        <v/>
      </c>
      <c r="O185" s="9" t="str">
        <f aca="false">IF($A185="","",IF(K185&gt;0,G185/K185,""))</f>
        <v/>
      </c>
      <c r="P185" s="9" t="str">
        <f aca="false">IF($A185="","",IF(L185&gt;0,H185/L185,""))</f>
        <v/>
      </c>
      <c r="Q185" s="9" t="str">
        <f aca="false">IF($A185="","",IF(M185&gt;0,I185/M185,""))</f>
        <v/>
      </c>
      <c r="R185" s="17" t="str">
        <f aca="false">IF($A185="","",IF((IF(N185="",0,Dimensoes!$C$2)+IF(O185="",0,Dimensoes!$C$3)+IF(P185="",0,Dimensoes!$C$4)+IF(Q185="",0,Dimensoes!$C$5))=0,"",(IF(N185="",0,N185*Dimensoes!$C$2)+IF(O185="",0,O185*Dimensoes!$C$3)+IF(P185="",0,P185*Dimensoes!$C$4)+IF(Q185="",0,Q185*Dimensoes!$C$5))/(IF(N185="",0,Dimensoes!$C$2)+IF(O185="",0,Dimensoes!$C$3)+IF(P185="",0,Dimensoes!$C$4)+IF(Q185="",0,Dimensoes!$C$5))))</f>
        <v/>
      </c>
      <c r="S185" s="0" t="str">
        <f aca="false">IF(R185="","",IF(R185&lt;Faixas!$C$3,"vermelho",IF(R185&lt;Faixas!$C$4,"amarelo","verde")))</f>
        <v/>
      </c>
      <c r="T185" s="9" t="str">
        <f aca="false">IF($A185="","",IF(N185="",0,N185*Dimensoes!$C$2)+IF(O185="",0,O185*Dimensoes!$C$3)+IF(P185="",0,P185*Dimensoes!$C$4)+IF(Q185="",0,Q185*Dimensoes!$C$5))</f>
        <v/>
      </c>
      <c r="U185" s="0" t="str">
        <f aca="false">IF($A185="","",IF(OR(E185="concluida",E185="incompleta"),1,0))</f>
        <v/>
      </c>
    </row>
    <row r="186" customFormat="false" ht="15" hidden="false" customHeight="false" outlineLevel="0" collapsed="false">
      <c r="A186" s="0" t="str">
        <f aca="false">IF(Visitas!A186="","",Visitas!A186)</f>
        <v/>
      </c>
      <c r="B186" s="0" t="str">
        <f aca="false">IF($A186="","",Visitas!C186)</f>
        <v/>
      </c>
      <c r="C186" s="7" t="str">
        <f aca="false">IF($A186="","",Visitas!D186)</f>
        <v/>
      </c>
      <c r="D186" s="0" t="str">
        <f aca="false">IF($A186="","",Visitas!B186)</f>
        <v/>
      </c>
      <c r="E186" s="0" t="str">
        <f aca="false">IF($A186="","",Visitas!F186)</f>
        <v/>
      </c>
      <c r="F186" s="0" t="str">
        <f aca="false">IF($A186="","",SUMIFS(Avaliacoes!$G$2:$G$6000,Avaliacoes!$A$2:$A$6000,$A186,Avaliacoes!$F$2:$F$6000,"I",Avaliacoes!$H$2:$H$6000,0))</f>
        <v/>
      </c>
      <c r="G186" s="0" t="str">
        <f aca="false">IF($A186="","",SUMIFS(Avaliacoes!$G$2:$G$6000,Avaliacoes!$A$2:$A$6000,$A186,Avaliacoes!$F$2:$F$6000,"II",Avaliacoes!$H$2:$H$6000,0))</f>
        <v/>
      </c>
      <c r="H186" s="0" t="str">
        <f aca="false">IF($A186="","",SUMIFS(Avaliacoes!$G$2:$G$6000,Avaliacoes!$A$2:$A$6000,$A186,Avaliacoes!$F$2:$F$6000,"III",Avaliacoes!$H$2:$H$6000,0))</f>
        <v/>
      </c>
      <c r="I186" s="0" t="str">
        <f aca="false">IF($A186="","",SUMIFS(Avaliacoes!$G$2:$G$6000,Avaliacoes!$A$2:$A$6000,$A186,Avaliacoes!$F$2:$F$6000,"IV",Avaliacoes!$H$2:$H$6000,0))</f>
        <v/>
      </c>
      <c r="J186" s="0" t="str">
        <f aca="false">IF($A186="","",COUNTIFS(Avaliacoes!$A$2:$A$6000,$A186,Avaliacoes!$F$2:$F$6000,"I",Avaliacoes!$H$2:$H$6000,0,Avaliacoes!$G$2:$G$6000,"&lt;&gt;")*Dimensoes!$E$2)</f>
        <v/>
      </c>
      <c r="K186" s="0" t="str">
        <f aca="false">IF($A186="","",COUNTIFS(Avaliacoes!$A$2:$A$6000,$A186,Avaliacoes!$F$2:$F$6000,"II",Avaliacoes!$H$2:$H$6000,0,Avaliacoes!$G$2:$G$6000,"&lt;&gt;")*Dimensoes!$E$3)</f>
        <v/>
      </c>
      <c r="L186" s="0" t="str">
        <f aca="false">IF($A186="","",COUNTIFS(Avaliacoes!$A$2:$A$6000,$A186,Avaliacoes!$F$2:$F$6000,"III",Avaliacoes!$H$2:$H$6000,0,Avaliacoes!$G$2:$G$6000,"&lt;&gt;")*Dimensoes!$E$4)</f>
        <v/>
      </c>
      <c r="M186" s="0" t="str">
        <f aca="false">IF($A186="","",COUNTIFS(Avaliacoes!$A$2:$A$6000,$A186,Avaliacoes!$F$2:$F$6000,"IV",Avaliacoes!$H$2:$H$6000,0,Avaliacoes!$G$2:$G$6000,"&lt;&gt;")*Dimensoes!$E$5)</f>
        <v/>
      </c>
      <c r="N186" s="9" t="str">
        <f aca="false">IF($A186="","",IF(J186&gt;0,F186/J186,""))</f>
        <v/>
      </c>
      <c r="O186" s="9" t="str">
        <f aca="false">IF($A186="","",IF(K186&gt;0,G186/K186,""))</f>
        <v/>
      </c>
      <c r="P186" s="9" t="str">
        <f aca="false">IF($A186="","",IF(L186&gt;0,H186/L186,""))</f>
        <v/>
      </c>
      <c r="Q186" s="9" t="str">
        <f aca="false">IF($A186="","",IF(M186&gt;0,I186/M186,""))</f>
        <v/>
      </c>
      <c r="R186" s="17" t="str">
        <f aca="false">IF($A186="","",IF((IF(N186="",0,Dimensoes!$C$2)+IF(O186="",0,Dimensoes!$C$3)+IF(P186="",0,Dimensoes!$C$4)+IF(Q186="",0,Dimensoes!$C$5))=0,"",(IF(N186="",0,N186*Dimensoes!$C$2)+IF(O186="",0,O186*Dimensoes!$C$3)+IF(P186="",0,P186*Dimensoes!$C$4)+IF(Q186="",0,Q186*Dimensoes!$C$5))/(IF(N186="",0,Dimensoes!$C$2)+IF(O186="",0,Dimensoes!$C$3)+IF(P186="",0,Dimensoes!$C$4)+IF(Q186="",0,Dimensoes!$C$5))))</f>
        <v/>
      </c>
      <c r="S186" s="0" t="str">
        <f aca="false">IF(R186="","",IF(R186&lt;Faixas!$C$3,"vermelho",IF(R186&lt;Faixas!$C$4,"amarelo","verde")))</f>
        <v/>
      </c>
      <c r="T186" s="9" t="str">
        <f aca="false">IF($A186="","",IF(N186="",0,N186*Dimensoes!$C$2)+IF(O186="",0,O186*Dimensoes!$C$3)+IF(P186="",0,P186*Dimensoes!$C$4)+IF(Q186="",0,Q186*Dimensoes!$C$5))</f>
        <v/>
      </c>
      <c r="U186" s="0" t="str">
        <f aca="false">IF($A186="","",IF(OR(E186="concluida",E186="incompleta"),1,0))</f>
        <v/>
      </c>
    </row>
    <row r="187" customFormat="false" ht="15" hidden="false" customHeight="false" outlineLevel="0" collapsed="false">
      <c r="A187" s="0" t="str">
        <f aca="false">IF(Visitas!A187="","",Visitas!A187)</f>
        <v/>
      </c>
      <c r="B187" s="0" t="str">
        <f aca="false">IF($A187="","",Visitas!C187)</f>
        <v/>
      </c>
      <c r="C187" s="7" t="str">
        <f aca="false">IF($A187="","",Visitas!D187)</f>
        <v/>
      </c>
      <c r="D187" s="0" t="str">
        <f aca="false">IF($A187="","",Visitas!B187)</f>
        <v/>
      </c>
      <c r="E187" s="0" t="str">
        <f aca="false">IF($A187="","",Visitas!F187)</f>
        <v/>
      </c>
      <c r="F187" s="0" t="str">
        <f aca="false">IF($A187="","",SUMIFS(Avaliacoes!$G$2:$G$6000,Avaliacoes!$A$2:$A$6000,$A187,Avaliacoes!$F$2:$F$6000,"I",Avaliacoes!$H$2:$H$6000,0))</f>
        <v/>
      </c>
      <c r="G187" s="0" t="str">
        <f aca="false">IF($A187="","",SUMIFS(Avaliacoes!$G$2:$G$6000,Avaliacoes!$A$2:$A$6000,$A187,Avaliacoes!$F$2:$F$6000,"II",Avaliacoes!$H$2:$H$6000,0))</f>
        <v/>
      </c>
      <c r="H187" s="0" t="str">
        <f aca="false">IF($A187="","",SUMIFS(Avaliacoes!$G$2:$G$6000,Avaliacoes!$A$2:$A$6000,$A187,Avaliacoes!$F$2:$F$6000,"III",Avaliacoes!$H$2:$H$6000,0))</f>
        <v/>
      </c>
      <c r="I187" s="0" t="str">
        <f aca="false">IF($A187="","",SUMIFS(Avaliacoes!$G$2:$G$6000,Avaliacoes!$A$2:$A$6000,$A187,Avaliacoes!$F$2:$F$6000,"IV",Avaliacoes!$H$2:$H$6000,0))</f>
        <v/>
      </c>
      <c r="J187" s="0" t="str">
        <f aca="false">IF($A187="","",COUNTIFS(Avaliacoes!$A$2:$A$6000,$A187,Avaliacoes!$F$2:$F$6000,"I",Avaliacoes!$H$2:$H$6000,0,Avaliacoes!$G$2:$G$6000,"&lt;&gt;")*Dimensoes!$E$2)</f>
        <v/>
      </c>
      <c r="K187" s="0" t="str">
        <f aca="false">IF($A187="","",COUNTIFS(Avaliacoes!$A$2:$A$6000,$A187,Avaliacoes!$F$2:$F$6000,"II",Avaliacoes!$H$2:$H$6000,0,Avaliacoes!$G$2:$G$6000,"&lt;&gt;")*Dimensoes!$E$3)</f>
        <v/>
      </c>
      <c r="L187" s="0" t="str">
        <f aca="false">IF($A187="","",COUNTIFS(Avaliacoes!$A$2:$A$6000,$A187,Avaliacoes!$F$2:$F$6000,"III",Avaliacoes!$H$2:$H$6000,0,Avaliacoes!$G$2:$G$6000,"&lt;&gt;")*Dimensoes!$E$4)</f>
        <v/>
      </c>
      <c r="M187" s="0" t="str">
        <f aca="false">IF($A187="","",COUNTIFS(Avaliacoes!$A$2:$A$6000,$A187,Avaliacoes!$F$2:$F$6000,"IV",Avaliacoes!$H$2:$H$6000,0,Avaliacoes!$G$2:$G$6000,"&lt;&gt;")*Dimensoes!$E$5)</f>
        <v/>
      </c>
      <c r="N187" s="9" t="str">
        <f aca="false">IF($A187="","",IF(J187&gt;0,F187/J187,""))</f>
        <v/>
      </c>
      <c r="O187" s="9" t="str">
        <f aca="false">IF($A187="","",IF(K187&gt;0,G187/K187,""))</f>
        <v/>
      </c>
      <c r="P187" s="9" t="str">
        <f aca="false">IF($A187="","",IF(L187&gt;0,H187/L187,""))</f>
        <v/>
      </c>
      <c r="Q187" s="9" t="str">
        <f aca="false">IF($A187="","",IF(M187&gt;0,I187/M187,""))</f>
        <v/>
      </c>
      <c r="R187" s="17" t="str">
        <f aca="false">IF($A187="","",IF((IF(N187="",0,Dimensoes!$C$2)+IF(O187="",0,Dimensoes!$C$3)+IF(P187="",0,Dimensoes!$C$4)+IF(Q187="",0,Dimensoes!$C$5))=0,"",(IF(N187="",0,N187*Dimensoes!$C$2)+IF(O187="",0,O187*Dimensoes!$C$3)+IF(P187="",0,P187*Dimensoes!$C$4)+IF(Q187="",0,Q187*Dimensoes!$C$5))/(IF(N187="",0,Dimensoes!$C$2)+IF(O187="",0,Dimensoes!$C$3)+IF(P187="",0,Dimensoes!$C$4)+IF(Q187="",0,Dimensoes!$C$5))))</f>
        <v/>
      </c>
      <c r="S187" s="0" t="str">
        <f aca="false">IF(R187="","",IF(R187&lt;Faixas!$C$3,"vermelho",IF(R187&lt;Faixas!$C$4,"amarelo","verde")))</f>
        <v/>
      </c>
      <c r="T187" s="9" t="str">
        <f aca="false">IF($A187="","",IF(N187="",0,N187*Dimensoes!$C$2)+IF(O187="",0,O187*Dimensoes!$C$3)+IF(P187="",0,P187*Dimensoes!$C$4)+IF(Q187="",0,Q187*Dimensoes!$C$5))</f>
        <v/>
      </c>
      <c r="U187" s="0" t="str">
        <f aca="false">IF($A187="","",IF(OR(E187="concluida",E187="incompleta"),1,0))</f>
        <v/>
      </c>
    </row>
    <row r="188" customFormat="false" ht="15" hidden="false" customHeight="false" outlineLevel="0" collapsed="false">
      <c r="A188" s="0" t="str">
        <f aca="false">IF(Visitas!A188="","",Visitas!A188)</f>
        <v/>
      </c>
      <c r="B188" s="0" t="str">
        <f aca="false">IF($A188="","",Visitas!C188)</f>
        <v/>
      </c>
      <c r="C188" s="7" t="str">
        <f aca="false">IF($A188="","",Visitas!D188)</f>
        <v/>
      </c>
      <c r="D188" s="0" t="str">
        <f aca="false">IF($A188="","",Visitas!B188)</f>
        <v/>
      </c>
      <c r="E188" s="0" t="str">
        <f aca="false">IF($A188="","",Visitas!F188)</f>
        <v/>
      </c>
      <c r="F188" s="0" t="str">
        <f aca="false">IF($A188="","",SUMIFS(Avaliacoes!$G$2:$G$6000,Avaliacoes!$A$2:$A$6000,$A188,Avaliacoes!$F$2:$F$6000,"I",Avaliacoes!$H$2:$H$6000,0))</f>
        <v/>
      </c>
      <c r="G188" s="0" t="str">
        <f aca="false">IF($A188="","",SUMIFS(Avaliacoes!$G$2:$G$6000,Avaliacoes!$A$2:$A$6000,$A188,Avaliacoes!$F$2:$F$6000,"II",Avaliacoes!$H$2:$H$6000,0))</f>
        <v/>
      </c>
      <c r="H188" s="0" t="str">
        <f aca="false">IF($A188="","",SUMIFS(Avaliacoes!$G$2:$G$6000,Avaliacoes!$A$2:$A$6000,$A188,Avaliacoes!$F$2:$F$6000,"III",Avaliacoes!$H$2:$H$6000,0))</f>
        <v/>
      </c>
      <c r="I188" s="0" t="str">
        <f aca="false">IF($A188="","",SUMIFS(Avaliacoes!$G$2:$G$6000,Avaliacoes!$A$2:$A$6000,$A188,Avaliacoes!$F$2:$F$6000,"IV",Avaliacoes!$H$2:$H$6000,0))</f>
        <v/>
      </c>
      <c r="J188" s="0" t="str">
        <f aca="false">IF($A188="","",COUNTIFS(Avaliacoes!$A$2:$A$6000,$A188,Avaliacoes!$F$2:$F$6000,"I",Avaliacoes!$H$2:$H$6000,0,Avaliacoes!$G$2:$G$6000,"&lt;&gt;")*Dimensoes!$E$2)</f>
        <v/>
      </c>
      <c r="K188" s="0" t="str">
        <f aca="false">IF($A188="","",COUNTIFS(Avaliacoes!$A$2:$A$6000,$A188,Avaliacoes!$F$2:$F$6000,"II",Avaliacoes!$H$2:$H$6000,0,Avaliacoes!$G$2:$G$6000,"&lt;&gt;")*Dimensoes!$E$3)</f>
        <v/>
      </c>
      <c r="L188" s="0" t="str">
        <f aca="false">IF($A188="","",COUNTIFS(Avaliacoes!$A$2:$A$6000,$A188,Avaliacoes!$F$2:$F$6000,"III",Avaliacoes!$H$2:$H$6000,0,Avaliacoes!$G$2:$G$6000,"&lt;&gt;")*Dimensoes!$E$4)</f>
        <v/>
      </c>
      <c r="M188" s="0" t="str">
        <f aca="false">IF($A188="","",COUNTIFS(Avaliacoes!$A$2:$A$6000,$A188,Avaliacoes!$F$2:$F$6000,"IV",Avaliacoes!$H$2:$H$6000,0,Avaliacoes!$G$2:$G$6000,"&lt;&gt;")*Dimensoes!$E$5)</f>
        <v/>
      </c>
      <c r="N188" s="9" t="str">
        <f aca="false">IF($A188="","",IF(J188&gt;0,F188/J188,""))</f>
        <v/>
      </c>
      <c r="O188" s="9" t="str">
        <f aca="false">IF($A188="","",IF(K188&gt;0,G188/K188,""))</f>
        <v/>
      </c>
      <c r="P188" s="9" t="str">
        <f aca="false">IF($A188="","",IF(L188&gt;0,H188/L188,""))</f>
        <v/>
      </c>
      <c r="Q188" s="9" t="str">
        <f aca="false">IF($A188="","",IF(M188&gt;0,I188/M188,""))</f>
        <v/>
      </c>
      <c r="R188" s="17" t="str">
        <f aca="false">IF($A188="","",IF((IF(N188="",0,Dimensoes!$C$2)+IF(O188="",0,Dimensoes!$C$3)+IF(P188="",0,Dimensoes!$C$4)+IF(Q188="",0,Dimensoes!$C$5))=0,"",(IF(N188="",0,N188*Dimensoes!$C$2)+IF(O188="",0,O188*Dimensoes!$C$3)+IF(P188="",0,P188*Dimensoes!$C$4)+IF(Q188="",0,Q188*Dimensoes!$C$5))/(IF(N188="",0,Dimensoes!$C$2)+IF(O188="",0,Dimensoes!$C$3)+IF(P188="",0,Dimensoes!$C$4)+IF(Q188="",0,Dimensoes!$C$5))))</f>
        <v/>
      </c>
      <c r="S188" s="0" t="str">
        <f aca="false">IF(R188="","",IF(R188&lt;Faixas!$C$3,"vermelho",IF(R188&lt;Faixas!$C$4,"amarelo","verde")))</f>
        <v/>
      </c>
      <c r="T188" s="9" t="str">
        <f aca="false">IF($A188="","",IF(N188="",0,N188*Dimensoes!$C$2)+IF(O188="",0,O188*Dimensoes!$C$3)+IF(P188="",0,P188*Dimensoes!$C$4)+IF(Q188="",0,Q188*Dimensoes!$C$5))</f>
        <v/>
      </c>
      <c r="U188" s="0" t="str">
        <f aca="false">IF($A188="","",IF(OR(E188="concluida",E188="incompleta"),1,0))</f>
        <v/>
      </c>
    </row>
    <row r="189" customFormat="false" ht="15" hidden="false" customHeight="false" outlineLevel="0" collapsed="false">
      <c r="A189" s="0" t="str">
        <f aca="false">IF(Visitas!A189="","",Visitas!A189)</f>
        <v/>
      </c>
      <c r="B189" s="0" t="str">
        <f aca="false">IF($A189="","",Visitas!C189)</f>
        <v/>
      </c>
      <c r="C189" s="7" t="str">
        <f aca="false">IF($A189="","",Visitas!D189)</f>
        <v/>
      </c>
      <c r="D189" s="0" t="str">
        <f aca="false">IF($A189="","",Visitas!B189)</f>
        <v/>
      </c>
      <c r="E189" s="0" t="str">
        <f aca="false">IF($A189="","",Visitas!F189)</f>
        <v/>
      </c>
      <c r="F189" s="0" t="str">
        <f aca="false">IF($A189="","",SUMIFS(Avaliacoes!$G$2:$G$6000,Avaliacoes!$A$2:$A$6000,$A189,Avaliacoes!$F$2:$F$6000,"I",Avaliacoes!$H$2:$H$6000,0))</f>
        <v/>
      </c>
      <c r="G189" s="0" t="str">
        <f aca="false">IF($A189="","",SUMIFS(Avaliacoes!$G$2:$G$6000,Avaliacoes!$A$2:$A$6000,$A189,Avaliacoes!$F$2:$F$6000,"II",Avaliacoes!$H$2:$H$6000,0))</f>
        <v/>
      </c>
      <c r="H189" s="0" t="str">
        <f aca="false">IF($A189="","",SUMIFS(Avaliacoes!$G$2:$G$6000,Avaliacoes!$A$2:$A$6000,$A189,Avaliacoes!$F$2:$F$6000,"III",Avaliacoes!$H$2:$H$6000,0))</f>
        <v/>
      </c>
      <c r="I189" s="0" t="str">
        <f aca="false">IF($A189="","",SUMIFS(Avaliacoes!$G$2:$G$6000,Avaliacoes!$A$2:$A$6000,$A189,Avaliacoes!$F$2:$F$6000,"IV",Avaliacoes!$H$2:$H$6000,0))</f>
        <v/>
      </c>
      <c r="J189" s="0" t="str">
        <f aca="false">IF($A189="","",COUNTIFS(Avaliacoes!$A$2:$A$6000,$A189,Avaliacoes!$F$2:$F$6000,"I",Avaliacoes!$H$2:$H$6000,0,Avaliacoes!$G$2:$G$6000,"&lt;&gt;")*Dimensoes!$E$2)</f>
        <v/>
      </c>
      <c r="K189" s="0" t="str">
        <f aca="false">IF($A189="","",COUNTIFS(Avaliacoes!$A$2:$A$6000,$A189,Avaliacoes!$F$2:$F$6000,"II",Avaliacoes!$H$2:$H$6000,0,Avaliacoes!$G$2:$G$6000,"&lt;&gt;")*Dimensoes!$E$3)</f>
        <v/>
      </c>
      <c r="L189" s="0" t="str">
        <f aca="false">IF($A189="","",COUNTIFS(Avaliacoes!$A$2:$A$6000,$A189,Avaliacoes!$F$2:$F$6000,"III",Avaliacoes!$H$2:$H$6000,0,Avaliacoes!$G$2:$G$6000,"&lt;&gt;")*Dimensoes!$E$4)</f>
        <v/>
      </c>
      <c r="M189" s="0" t="str">
        <f aca="false">IF($A189="","",COUNTIFS(Avaliacoes!$A$2:$A$6000,$A189,Avaliacoes!$F$2:$F$6000,"IV",Avaliacoes!$H$2:$H$6000,0,Avaliacoes!$G$2:$G$6000,"&lt;&gt;")*Dimensoes!$E$5)</f>
        <v/>
      </c>
      <c r="N189" s="9" t="str">
        <f aca="false">IF($A189="","",IF(J189&gt;0,F189/J189,""))</f>
        <v/>
      </c>
      <c r="O189" s="9" t="str">
        <f aca="false">IF($A189="","",IF(K189&gt;0,G189/K189,""))</f>
        <v/>
      </c>
      <c r="P189" s="9" t="str">
        <f aca="false">IF($A189="","",IF(L189&gt;0,H189/L189,""))</f>
        <v/>
      </c>
      <c r="Q189" s="9" t="str">
        <f aca="false">IF($A189="","",IF(M189&gt;0,I189/M189,""))</f>
        <v/>
      </c>
      <c r="R189" s="17" t="str">
        <f aca="false">IF($A189="","",IF((IF(N189="",0,Dimensoes!$C$2)+IF(O189="",0,Dimensoes!$C$3)+IF(P189="",0,Dimensoes!$C$4)+IF(Q189="",0,Dimensoes!$C$5))=0,"",(IF(N189="",0,N189*Dimensoes!$C$2)+IF(O189="",0,O189*Dimensoes!$C$3)+IF(P189="",0,P189*Dimensoes!$C$4)+IF(Q189="",0,Q189*Dimensoes!$C$5))/(IF(N189="",0,Dimensoes!$C$2)+IF(O189="",0,Dimensoes!$C$3)+IF(P189="",0,Dimensoes!$C$4)+IF(Q189="",0,Dimensoes!$C$5))))</f>
        <v/>
      </c>
      <c r="S189" s="0" t="str">
        <f aca="false">IF(R189="","",IF(R189&lt;Faixas!$C$3,"vermelho",IF(R189&lt;Faixas!$C$4,"amarelo","verde")))</f>
        <v/>
      </c>
      <c r="T189" s="9" t="str">
        <f aca="false">IF($A189="","",IF(N189="",0,N189*Dimensoes!$C$2)+IF(O189="",0,O189*Dimensoes!$C$3)+IF(P189="",0,P189*Dimensoes!$C$4)+IF(Q189="",0,Q189*Dimensoes!$C$5))</f>
        <v/>
      </c>
      <c r="U189" s="0" t="str">
        <f aca="false">IF($A189="","",IF(OR(E189="concluida",E189="incompleta"),1,0))</f>
        <v/>
      </c>
    </row>
    <row r="190" customFormat="false" ht="15" hidden="false" customHeight="false" outlineLevel="0" collapsed="false">
      <c r="A190" s="0" t="str">
        <f aca="false">IF(Visitas!A190="","",Visitas!A190)</f>
        <v/>
      </c>
      <c r="B190" s="0" t="str">
        <f aca="false">IF($A190="","",Visitas!C190)</f>
        <v/>
      </c>
      <c r="C190" s="7" t="str">
        <f aca="false">IF($A190="","",Visitas!D190)</f>
        <v/>
      </c>
      <c r="D190" s="0" t="str">
        <f aca="false">IF($A190="","",Visitas!B190)</f>
        <v/>
      </c>
      <c r="E190" s="0" t="str">
        <f aca="false">IF($A190="","",Visitas!F190)</f>
        <v/>
      </c>
      <c r="F190" s="0" t="str">
        <f aca="false">IF($A190="","",SUMIFS(Avaliacoes!$G$2:$G$6000,Avaliacoes!$A$2:$A$6000,$A190,Avaliacoes!$F$2:$F$6000,"I",Avaliacoes!$H$2:$H$6000,0))</f>
        <v/>
      </c>
      <c r="G190" s="0" t="str">
        <f aca="false">IF($A190="","",SUMIFS(Avaliacoes!$G$2:$G$6000,Avaliacoes!$A$2:$A$6000,$A190,Avaliacoes!$F$2:$F$6000,"II",Avaliacoes!$H$2:$H$6000,0))</f>
        <v/>
      </c>
      <c r="H190" s="0" t="str">
        <f aca="false">IF($A190="","",SUMIFS(Avaliacoes!$G$2:$G$6000,Avaliacoes!$A$2:$A$6000,$A190,Avaliacoes!$F$2:$F$6000,"III",Avaliacoes!$H$2:$H$6000,0))</f>
        <v/>
      </c>
      <c r="I190" s="0" t="str">
        <f aca="false">IF($A190="","",SUMIFS(Avaliacoes!$G$2:$G$6000,Avaliacoes!$A$2:$A$6000,$A190,Avaliacoes!$F$2:$F$6000,"IV",Avaliacoes!$H$2:$H$6000,0))</f>
        <v/>
      </c>
      <c r="J190" s="0" t="str">
        <f aca="false">IF($A190="","",COUNTIFS(Avaliacoes!$A$2:$A$6000,$A190,Avaliacoes!$F$2:$F$6000,"I",Avaliacoes!$H$2:$H$6000,0,Avaliacoes!$G$2:$G$6000,"&lt;&gt;")*Dimensoes!$E$2)</f>
        <v/>
      </c>
      <c r="K190" s="0" t="str">
        <f aca="false">IF($A190="","",COUNTIFS(Avaliacoes!$A$2:$A$6000,$A190,Avaliacoes!$F$2:$F$6000,"II",Avaliacoes!$H$2:$H$6000,0,Avaliacoes!$G$2:$G$6000,"&lt;&gt;")*Dimensoes!$E$3)</f>
        <v/>
      </c>
      <c r="L190" s="0" t="str">
        <f aca="false">IF($A190="","",COUNTIFS(Avaliacoes!$A$2:$A$6000,$A190,Avaliacoes!$F$2:$F$6000,"III",Avaliacoes!$H$2:$H$6000,0,Avaliacoes!$G$2:$G$6000,"&lt;&gt;")*Dimensoes!$E$4)</f>
        <v/>
      </c>
      <c r="M190" s="0" t="str">
        <f aca="false">IF($A190="","",COUNTIFS(Avaliacoes!$A$2:$A$6000,$A190,Avaliacoes!$F$2:$F$6000,"IV",Avaliacoes!$H$2:$H$6000,0,Avaliacoes!$G$2:$G$6000,"&lt;&gt;")*Dimensoes!$E$5)</f>
        <v/>
      </c>
      <c r="N190" s="9" t="str">
        <f aca="false">IF($A190="","",IF(J190&gt;0,F190/J190,""))</f>
        <v/>
      </c>
      <c r="O190" s="9" t="str">
        <f aca="false">IF($A190="","",IF(K190&gt;0,G190/K190,""))</f>
        <v/>
      </c>
      <c r="P190" s="9" t="str">
        <f aca="false">IF($A190="","",IF(L190&gt;0,H190/L190,""))</f>
        <v/>
      </c>
      <c r="Q190" s="9" t="str">
        <f aca="false">IF($A190="","",IF(M190&gt;0,I190/M190,""))</f>
        <v/>
      </c>
      <c r="R190" s="17" t="str">
        <f aca="false">IF($A190="","",IF((IF(N190="",0,Dimensoes!$C$2)+IF(O190="",0,Dimensoes!$C$3)+IF(P190="",0,Dimensoes!$C$4)+IF(Q190="",0,Dimensoes!$C$5))=0,"",(IF(N190="",0,N190*Dimensoes!$C$2)+IF(O190="",0,O190*Dimensoes!$C$3)+IF(P190="",0,P190*Dimensoes!$C$4)+IF(Q190="",0,Q190*Dimensoes!$C$5))/(IF(N190="",0,Dimensoes!$C$2)+IF(O190="",0,Dimensoes!$C$3)+IF(P190="",0,Dimensoes!$C$4)+IF(Q190="",0,Dimensoes!$C$5))))</f>
        <v/>
      </c>
      <c r="S190" s="0" t="str">
        <f aca="false">IF(R190="","",IF(R190&lt;Faixas!$C$3,"vermelho",IF(R190&lt;Faixas!$C$4,"amarelo","verde")))</f>
        <v/>
      </c>
      <c r="T190" s="9" t="str">
        <f aca="false">IF($A190="","",IF(N190="",0,N190*Dimensoes!$C$2)+IF(O190="",0,O190*Dimensoes!$C$3)+IF(P190="",0,P190*Dimensoes!$C$4)+IF(Q190="",0,Q190*Dimensoes!$C$5))</f>
        <v/>
      </c>
      <c r="U190" s="0" t="str">
        <f aca="false">IF($A190="","",IF(OR(E190="concluida",E190="incompleta"),1,0))</f>
        <v/>
      </c>
    </row>
    <row r="191" customFormat="false" ht="15" hidden="false" customHeight="false" outlineLevel="0" collapsed="false">
      <c r="A191" s="0" t="str">
        <f aca="false">IF(Visitas!A191="","",Visitas!A191)</f>
        <v/>
      </c>
      <c r="B191" s="0" t="str">
        <f aca="false">IF($A191="","",Visitas!C191)</f>
        <v/>
      </c>
      <c r="C191" s="7" t="str">
        <f aca="false">IF($A191="","",Visitas!D191)</f>
        <v/>
      </c>
      <c r="D191" s="0" t="str">
        <f aca="false">IF($A191="","",Visitas!B191)</f>
        <v/>
      </c>
      <c r="E191" s="0" t="str">
        <f aca="false">IF($A191="","",Visitas!F191)</f>
        <v/>
      </c>
      <c r="F191" s="0" t="str">
        <f aca="false">IF($A191="","",SUMIFS(Avaliacoes!$G$2:$G$6000,Avaliacoes!$A$2:$A$6000,$A191,Avaliacoes!$F$2:$F$6000,"I",Avaliacoes!$H$2:$H$6000,0))</f>
        <v/>
      </c>
      <c r="G191" s="0" t="str">
        <f aca="false">IF($A191="","",SUMIFS(Avaliacoes!$G$2:$G$6000,Avaliacoes!$A$2:$A$6000,$A191,Avaliacoes!$F$2:$F$6000,"II",Avaliacoes!$H$2:$H$6000,0))</f>
        <v/>
      </c>
      <c r="H191" s="0" t="str">
        <f aca="false">IF($A191="","",SUMIFS(Avaliacoes!$G$2:$G$6000,Avaliacoes!$A$2:$A$6000,$A191,Avaliacoes!$F$2:$F$6000,"III",Avaliacoes!$H$2:$H$6000,0))</f>
        <v/>
      </c>
      <c r="I191" s="0" t="str">
        <f aca="false">IF($A191="","",SUMIFS(Avaliacoes!$G$2:$G$6000,Avaliacoes!$A$2:$A$6000,$A191,Avaliacoes!$F$2:$F$6000,"IV",Avaliacoes!$H$2:$H$6000,0))</f>
        <v/>
      </c>
      <c r="J191" s="0" t="str">
        <f aca="false">IF($A191="","",COUNTIFS(Avaliacoes!$A$2:$A$6000,$A191,Avaliacoes!$F$2:$F$6000,"I",Avaliacoes!$H$2:$H$6000,0,Avaliacoes!$G$2:$G$6000,"&lt;&gt;")*Dimensoes!$E$2)</f>
        <v/>
      </c>
      <c r="K191" s="0" t="str">
        <f aca="false">IF($A191="","",COUNTIFS(Avaliacoes!$A$2:$A$6000,$A191,Avaliacoes!$F$2:$F$6000,"II",Avaliacoes!$H$2:$H$6000,0,Avaliacoes!$G$2:$G$6000,"&lt;&gt;")*Dimensoes!$E$3)</f>
        <v/>
      </c>
      <c r="L191" s="0" t="str">
        <f aca="false">IF($A191="","",COUNTIFS(Avaliacoes!$A$2:$A$6000,$A191,Avaliacoes!$F$2:$F$6000,"III",Avaliacoes!$H$2:$H$6000,0,Avaliacoes!$G$2:$G$6000,"&lt;&gt;")*Dimensoes!$E$4)</f>
        <v/>
      </c>
      <c r="M191" s="0" t="str">
        <f aca="false">IF($A191="","",COUNTIFS(Avaliacoes!$A$2:$A$6000,$A191,Avaliacoes!$F$2:$F$6000,"IV",Avaliacoes!$H$2:$H$6000,0,Avaliacoes!$G$2:$G$6000,"&lt;&gt;")*Dimensoes!$E$5)</f>
        <v/>
      </c>
      <c r="N191" s="9" t="str">
        <f aca="false">IF($A191="","",IF(J191&gt;0,F191/J191,""))</f>
        <v/>
      </c>
      <c r="O191" s="9" t="str">
        <f aca="false">IF($A191="","",IF(K191&gt;0,G191/K191,""))</f>
        <v/>
      </c>
      <c r="P191" s="9" t="str">
        <f aca="false">IF($A191="","",IF(L191&gt;0,H191/L191,""))</f>
        <v/>
      </c>
      <c r="Q191" s="9" t="str">
        <f aca="false">IF($A191="","",IF(M191&gt;0,I191/M191,""))</f>
        <v/>
      </c>
      <c r="R191" s="17" t="str">
        <f aca="false">IF($A191="","",IF((IF(N191="",0,Dimensoes!$C$2)+IF(O191="",0,Dimensoes!$C$3)+IF(P191="",0,Dimensoes!$C$4)+IF(Q191="",0,Dimensoes!$C$5))=0,"",(IF(N191="",0,N191*Dimensoes!$C$2)+IF(O191="",0,O191*Dimensoes!$C$3)+IF(P191="",0,P191*Dimensoes!$C$4)+IF(Q191="",0,Q191*Dimensoes!$C$5))/(IF(N191="",0,Dimensoes!$C$2)+IF(O191="",0,Dimensoes!$C$3)+IF(P191="",0,Dimensoes!$C$4)+IF(Q191="",0,Dimensoes!$C$5))))</f>
        <v/>
      </c>
      <c r="S191" s="0" t="str">
        <f aca="false">IF(R191="","",IF(R191&lt;Faixas!$C$3,"vermelho",IF(R191&lt;Faixas!$C$4,"amarelo","verde")))</f>
        <v/>
      </c>
      <c r="T191" s="9" t="str">
        <f aca="false">IF($A191="","",IF(N191="",0,N191*Dimensoes!$C$2)+IF(O191="",0,O191*Dimensoes!$C$3)+IF(P191="",0,P191*Dimensoes!$C$4)+IF(Q191="",0,Q191*Dimensoes!$C$5))</f>
        <v/>
      </c>
      <c r="U191" s="0" t="str">
        <f aca="false">IF($A191="","",IF(OR(E191="concluida",E191="incompleta"),1,0))</f>
        <v/>
      </c>
    </row>
    <row r="192" customFormat="false" ht="15" hidden="false" customHeight="false" outlineLevel="0" collapsed="false">
      <c r="A192" s="0" t="str">
        <f aca="false">IF(Visitas!A192="","",Visitas!A192)</f>
        <v/>
      </c>
      <c r="B192" s="0" t="str">
        <f aca="false">IF($A192="","",Visitas!C192)</f>
        <v/>
      </c>
      <c r="C192" s="7" t="str">
        <f aca="false">IF($A192="","",Visitas!D192)</f>
        <v/>
      </c>
      <c r="D192" s="0" t="str">
        <f aca="false">IF($A192="","",Visitas!B192)</f>
        <v/>
      </c>
      <c r="E192" s="0" t="str">
        <f aca="false">IF($A192="","",Visitas!F192)</f>
        <v/>
      </c>
      <c r="F192" s="0" t="str">
        <f aca="false">IF($A192="","",SUMIFS(Avaliacoes!$G$2:$G$6000,Avaliacoes!$A$2:$A$6000,$A192,Avaliacoes!$F$2:$F$6000,"I",Avaliacoes!$H$2:$H$6000,0))</f>
        <v/>
      </c>
      <c r="G192" s="0" t="str">
        <f aca="false">IF($A192="","",SUMIFS(Avaliacoes!$G$2:$G$6000,Avaliacoes!$A$2:$A$6000,$A192,Avaliacoes!$F$2:$F$6000,"II",Avaliacoes!$H$2:$H$6000,0))</f>
        <v/>
      </c>
      <c r="H192" s="0" t="str">
        <f aca="false">IF($A192="","",SUMIFS(Avaliacoes!$G$2:$G$6000,Avaliacoes!$A$2:$A$6000,$A192,Avaliacoes!$F$2:$F$6000,"III",Avaliacoes!$H$2:$H$6000,0))</f>
        <v/>
      </c>
      <c r="I192" s="0" t="str">
        <f aca="false">IF($A192="","",SUMIFS(Avaliacoes!$G$2:$G$6000,Avaliacoes!$A$2:$A$6000,$A192,Avaliacoes!$F$2:$F$6000,"IV",Avaliacoes!$H$2:$H$6000,0))</f>
        <v/>
      </c>
      <c r="J192" s="0" t="str">
        <f aca="false">IF($A192="","",COUNTIFS(Avaliacoes!$A$2:$A$6000,$A192,Avaliacoes!$F$2:$F$6000,"I",Avaliacoes!$H$2:$H$6000,0,Avaliacoes!$G$2:$G$6000,"&lt;&gt;")*Dimensoes!$E$2)</f>
        <v/>
      </c>
      <c r="K192" s="0" t="str">
        <f aca="false">IF($A192="","",COUNTIFS(Avaliacoes!$A$2:$A$6000,$A192,Avaliacoes!$F$2:$F$6000,"II",Avaliacoes!$H$2:$H$6000,0,Avaliacoes!$G$2:$G$6000,"&lt;&gt;")*Dimensoes!$E$3)</f>
        <v/>
      </c>
      <c r="L192" s="0" t="str">
        <f aca="false">IF($A192="","",COUNTIFS(Avaliacoes!$A$2:$A$6000,$A192,Avaliacoes!$F$2:$F$6000,"III",Avaliacoes!$H$2:$H$6000,0,Avaliacoes!$G$2:$G$6000,"&lt;&gt;")*Dimensoes!$E$4)</f>
        <v/>
      </c>
      <c r="M192" s="0" t="str">
        <f aca="false">IF($A192="","",COUNTIFS(Avaliacoes!$A$2:$A$6000,$A192,Avaliacoes!$F$2:$F$6000,"IV",Avaliacoes!$H$2:$H$6000,0,Avaliacoes!$G$2:$G$6000,"&lt;&gt;")*Dimensoes!$E$5)</f>
        <v/>
      </c>
      <c r="N192" s="9" t="str">
        <f aca="false">IF($A192="","",IF(J192&gt;0,F192/J192,""))</f>
        <v/>
      </c>
      <c r="O192" s="9" t="str">
        <f aca="false">IF($A192="","",IF(K192&gt;0,G192/K192,""))</f>
        <v/>
      </c>
      <c r="P192" s="9" t="str">
        <f aca="false">IF($A192="","",IF(L192&gt;0,H192/L192,""))</f>
        <v/>
      </c>
      <c r="Q192" s="9" t="str">
        <f aca="false">IF($A192="","",IF(M192&gt;0,I192/M192,""))</f>
        <v/>
      </c>
      <c r="R192" s="17" t="str">
        <f aca="false">IF($A192="","",IF((IF(N192="",0,Dimensoes!$C$2)+IF(O192="",0,Dimensoes!$C$3)+IF(P192="",0,Dimensoes!$C$4)+IF(Q192="",0,Dimensoes!$C$5))=0,"",(IF(N192="",0,N192*Dimensoes!$C$2)+IF(O192="",0,O192*Dimensoes!$C$3)+IF(P192="",0,P192*Dimensoes!$C$4)+IF(Q192="",0,Q192*Dimensoes!$C$5))/(IF(N192="",0,Dimensoes!$C$2)+IF(O192="",0,Dimensoes!$C$3)+IF(P192="",0,Dimensoes!$C$4)+IF(Q192="",0,Dimensoes!$C$5))))</f>
        <v/>
      </c>
      <c r="S192" s="0" t="str">
        <f aca="false">IF(R192="","",IF(R192&lt;Faixas!$C$3,"vermelho",IF(R192&lt;Faixas!$C$4,"amarelo","verde")))</f>
        <v/>
      </c>
      <c r="T192" s="9" t="str">
        <f aca="false">IF($A192="","",IF(N192="",0,N192*Dimensoes!$C$2)+IF(O192="",0,O192*Dimensoes!$C$3)+IF(P192="",0,P192*Dimensoes!$C$4)+IF(Q192="",0,Q192*Dimensoes!$C$5))</f>
        <v/>
      </c>
      <c r="U192" s="0" t="str">
        <f aca="false">IF($A192="","",IF(OR(E192="concluida",E192="incompleta"),1,0))</f>
        <v/>
      </c>
    </row>
    <row r="193" customFormat="false" ht="15" hidden="false" customHeight="false" outlineLevel="0" collapsed="false">
      <c r="A193" s="0" t="str">
        <f aca="false">IF(Visitas!A193="","",Visitas!A193)</f>
        <v/>
      </c>
      <c r="B193" s="0" t="str">
        <f aca="false">IF($A193="","",Visitas!C193)</f>
        <v/>
      </c>
      <c r="C193" s="7" t="str">
        <f aca="false">IF($A193="","",Visitas!D193)</f>
        <v/>
      </c>
      <c r="D193" s="0" t="str">
        <f aca="false">IF($A193="","",Visitas!B193)</f>
        <v/>
      </c>
      <c r="E193" s="0" t="str">
        <f aca="false">IF($A193="","",Visitas!F193)</f>
        <v/>
      </c>
      <c r="F193" s="0" t="str">
        <f aca="false">IF($A193="","",SUMIFS(Avaliacoes!$G$2:$G$6000,Avaliacoes!$A$2:$A$6000,$A193,Avaliacoes!$F$2:$F$6000,"I",Avaliacoes!$H$2:$H$6000,0))</f>
        <v/>
      </c>
      <c r="G193" s="0" t="str">
        <f aca="false">IF($A193="","",SUMIFS(Avaliacoes!$G$2:$G$6000,Avaliacoes!$A$2:$A$6000,$A193,Avaliacoes!$F$2:$F$6000,"II",Avaliacoes!$H$2:$H$6000,0))</f>
        <v/>
      </c>
      <c r="H193" s="0" t="str">
        <f aca="false">IF($A193="","",SUMIFS(Avaliacoes!$G$2:$G$6000,Avaliacoes!$A$2:$A$6000,$A193,Avaliacoes!$F$2:$F$6000,"III",Avaliacoes!$H$2:$H$6000,0))</f>
        <v/>
      </c>
      <c r="I193" s="0" t="str">
        <f aca="false">IF($A193="","",SUMIFS(Avaliacoes!$G$2:$G$6000,Avaliacoes!$A$2:$A$6000,$A193,Avaliacoes!$F$2:$F$6000,"IV",Avaliacoes!$H$2:$H$6000,0))</f>
        <v/>
      </c>
      <c r="J193" s="0" t="str">
        <f aca="false">IF($A193="","",COUNTIFS(Avaliacoes!$A$2:$A$6000,$A193,Avaliacoes!$F$2:$F$6000,"I",Avaliacoes!$H$2:$H$6000,0,Avaliacoes!$G$2:$G$6000,"&lt;&gt;")*Dimensoes!$E$2)</f>
        <v/>
      </c>
      <c r="K193" s="0" t="str">
        <f aca="false">IF($A193="","",COUNTIFS(Avaliacoes!$A$2:$A$6000,$A193,Avaliacoes!$F$2:$F$6000,"II",Avaliacoes!$H$2:$H$6000,0,Avaliacoes!$G$2:$G$6000,"&lt;&gt;")*Dimensoes!$E$3)</f>
        <v/>
      </c>
      <c r="L193" s="0" t="str">
        <f aca="false">IF($A193="","",COUNTIFS(Avaliacoes!$A$2:$A$6000,$A193,Avaliacoes!$F$2:$F$6000,"III",Avaliacoes!$H$2:$H$6000,0,Avaliacoes!$G$2:$G$6000,"&lt;&gt;")*Dimensoes!$E$4)</f>
        <v/>
      </c>
      <c r="M193" s="0" t="str">
        <f aca="false">IF($A193="","",COUNTIFS(Avaliacoes!$A$2:$A$6000,$A193,Avaliacoes!$F$2:$F$6000,"IV",Avaliacoes!$H$2:$H$6000,0,Avaliacoes!$G$2:$G$6000,"&lt;&gt;")*Dimensoes!$E$5)</f>
        <v/>
      </c>
      <c r="N193" s="9" t="str">
        <f aca="false">IF($A193="","",IF(J193&gt;0,F193/J193,""))</f>
        <v/>
      </c>
      <c r="O193" s="9" t="str">
        <f aca="false">IF($A193="","",IF(K193&gt;0,G193/K193,""))</f>
        <v/>
      </c>
      <c r="P193" s="9" t="str">
        <f aca="false">IF($A193="","",IF(L193&gt;0,H193/L193,""))</f>
        <v/>
      </c>
      <c r="Q193" s="9" t="str">
        <f aca="false">IF($A193="","",IF(M193&gt;0,I193/M193,""))</f>
        <v/>
      </c>
      <c r="R193" s="17" t="str">
        <f aca="false">IF($A193="","",IF((IF(N193="",0,Dimensoes!$C$2)+IF(O193="",0,Dimensoes!$C$3)+IF(P193="",0,Dimensoes!$C$4)+IF(Q193="",0,Dimensoes!$C$5))=0,"",(IF(N193="",0,N193*Dimensoes!$C$2)+IF(O193="",0,O193*Dimensoes!$C$3)+IF(P193="",0,P193*Dimensoes!$C$4)+IF(Q193="",0,Q193*Dimensoes!$C$5))/(IF(N193="",0,Dimensoes!$C$2)+IF(O193="",0,Dimensoes!$C$3)+IF(P193="",0,Dimensoes!$C$4)+IF(Q193="",0,Dimensoes!$C$5))))</f>
        <v/>
      </c>
      <c r="S193" s="0" t="str">
        <f aca="false">IF(R193="","",IF(R193&lt;Faixas!$C$3,"vermelho",IF(R193&lt;Faixas!$C$4,"amarelo","verde")))</f>
        <v/>
      </c>
      <c r="T193" s="9" t="str">
        <f aca="false">IF($A193="","",IF(N193="",0,N193*Dimensoes!$C$2)+IF(O193="",0,O193*Dimensoes!$C$3)+IF(P193="",0,P193*Dimensoes!$C$4)+IF(Q193="",0,Q193*Dimensoes!$C$5))</f>
        <v/>
      </c>
      <c r="U193" s="0" t="str">
        <f aca="false">IF($A193="","",IF(OR(E193="concluida",E193="incompleta"),1,0))</f>
        <v/>
      </c>
    </row>
    <row r="194" customFormat="false" ht="15" hidden="false" customHeight="false" outlineLevel="0" collapsed="false">
      <c r="A194" s="0" t="str">
        <f aca="false">IF(Visitas!A194="","",Visitas!A194)</f>
        <v/>
      </c>
      <c r="B194" s="0" t="str">
        <f aca="false">IF($A194="","",Visitas!C194)</f>
        <v/>
      </c>
      <c r="C194" s="7" t="str">
        <f aca="false">IF($A194="","",Visitas!D194)</f>
        <v/>
      </c>
      <c r="D194" s="0" t="str">
        <f aca="false">IF($A194="","",Visitas!B194)</f>
        <v/>
      </c>
      <c r="E194" s="0" t="str">
        <f aca="false">IF($A194="","",Visitas!F194)</f>
        <v/>
      </c>
      <c r="F194" s="0" t="str">
        <f aca="false">IF($A194="","",SUMIFS(Avaliacoes!$G$2:$G$6000,Avaliacoes!$A$2:$A$6000,$A194,Avaliacoes!$F$2:$F$6000,"I",Avaliacoes!$H$2:$H$6000,0))</f>
        <v/>
      </c>
      <c r="G194" s="0" t="str">
        <f aca="false">IF($A194="","",SUMIFS(Avaliacoes!$G$2:$G$6000,Avaliacoes!$A$2:$A$6000,$A194,Avaliacoes!$F$2:$F$6000,"II",Avaliacoes!$H$2:$H$6000,0))</f>
        <v/>
      </c>
      <c r="H194" s="0" t="str">
        <f aca="false">IF($A194="","",SUMIFS(Avaliacoes!$G$2:$G$6000,Avaliacoes!$A$2:$A$6000,$A194,Avaliacoes!$F$2:$F$6000,"III",Avaliacoes!$H$2:$H$6000,0))</f>
        <v/>
      </c>
      <c r="I194" s="0" t="str">
        <f aca="false">IF($A194="","",SUMIFS(Avaliacoes!$G$2:$G$6000,Avaliacoes!$A$2:$A$6000,$A194,Avaliacoes!$F$2:$F$6000,"IV",Avaliacoes!$H$2:$H$6000,0))</f>
        <v/>
      </c>
      <c r="J194" s="0" t="str">
        <f aca="false">IF($A194="","",COUNTIFS(Avaliacoes!$A$2:$A$6000,$A194,Avaliacoes!$F$2:$F$6000,"I",Avaliacoes!$H$2:$H$6000,0,Avaliacoes!$G$2:$G$6000,"&lt;&gt;")*Dimensoes!$E$2)</f>
        <v/>
      </c>
      <c r="K194" s="0" t="str">
        <f aca="false">IF($A194="","",COUNTIFS(Avaliacoes!$A$2:$A$6000,$A194,Avaliacoes!$F$2:$F$6000,"II",Avaliacoes!$H$2:$H$6000,0,Avaliacoes!$G$2:$G$6000,"&lt;&gt;")*Dimensoes!$E$3)</f>
        <v/>
      </c>
      <c r="L194" s="0" t="str">
        <f aca="false">IF($A194="","",COUNTIFS(Avaliacoes!$A$2:$A$6000,$A194,Avaliacoes!$F$2:$F$6000,"III",Avaliacoes!$H$2:$H$6000,0,Avaliacoes!$G$2:$G$6000,"&lt;&gt;")*Dimensoes!$E$4)</f>
        <v/>
      </c>
      <c r="M194" s="0" t="str">
        <f aca="false">IF($A194="","",COUNTIFS(Avaliacoes!$A$2:$A$6000,$A194,Avaliacoes!$F$2:$F$6000,"IV",Avaliacoes!$H$2:$H$6000,0,Avaliacoes!$G$2:$G$6000,"&lt;&gt;")*Dimensoes!$E$5)</f>
        <v/>
      </c>
      <c r="N194" s="9" t="str">
        <f aca="false">IF($A194="","",IF(J194&gt;0,F194/J194,""))</f>
        <v/>
      </c>
      <c r="O194" s="9" t="str">
        <f aca="false">IF($A194="","",IF(K194&gt;0,G194/K194,""))</f>
        <v/>
      </c>
      <c r="P194" s="9" t="str">
        <f aca="false">IF($A194="","",IF(L194&gt;0,H194/L194,""))</f>
        <v/>
      </c>
      <c r="Q194" s="9" t="str">
        <f aca="false">IF($A194="","",IF(M194&gt;0,I194/M194,""))</f>
        <v/>
      </c>
      <c r="R194" s="17" t="str">
        <f aca="false">IF($A194="","",IF((IF(N194="",0,Dimensoes!$C$2)+IF(O194="",0,Dimensoes!$C$3)+IF(P194="",0,Dimensoes!$C$4)+IF(Q194="",0,Dimensoes!$C$5))=0,"",(IF(N194="",0,N194*Dimensoes!$C$2)+IF(O194="",0,O194*Dimensoes!$C$3)+IF(P194="",0,P194*Dimensoes!$C$4)+IF(Q194="",0,Q194*Dimensoes!$C$5))/(IF(N194="",0,Dimensoes!$C$2)+IF(O194="",0,Dimensoes!$C$3)+IF(P194="",0,Dimensoes!$C$4)+IF(Q194="",0,Dimensoes!$C$5))))</f>
        <v/>
      </c>
      <c r="S194" s="0" t="str">
        <f aca="false">IF(R194="","",IF(R194&lt;Faixas!$C$3,"vermelho",IF(R194&lt;Faixas!$C$4,"amarelo","verde")))</f>
        <v/>
      </c>
      <c r="T194" s="9" t="str">
        <f aca="false">IF($A194="","",IF(N194="",0,N194*Dimensoes!$C$2)+IF(O194="",0,O194*Dimensoes!$C$3)+IF(P194="",0,P194*Dimensoes!$C$4)+IF(Q194="",0,Q194*Dimensoes!$C$5))</f>
        <v/>
      </c>
      <c r="U194" s="0" t="str">
        <f aca="false">IF($A194="","",IF(OR(E194="concluida",E194="incompleta"),1,0))</f>
        <v/>
      </c>
    </row>
    <row r="195" customFormat="false" ht="15" hidden="false" customHeight="false" outlineLevel="0" collapsed="false">
      <c r="A195" s="0" t="str">
        <f aca="false">IF(Visitas!A195="","",Visitas!A195)</f>
        <v/>
      </c>
      <c r="B195" s="0" t="str">
        <f aca="false">IF($A195="","",Visitas!C195)</f>
        <v/>
      </c>
      <c r="C195" s="7" t="str">
        <f aca="false">IF($A195="","",Visitas!D195)</f>
        <v/>
      </c>
      <c r="D195" s="0" t="str">
        <f aca="false">IF($A195="","",Visitas!B195)</f>
        <v/>
      </c>
      <c r="E195" s="0" t="str">
        <f aca="false">IF($A195="","",Visitas!F195)</f>
        <v/>
      </c>
      <c r="F195" s="0" t="str">
        <f aca="false">IF($A195="","",SUMIFS(Avaliacoes!$G$2:$G$6000,Avaliacoes!$A$2:$A$6000,$A195,Avaliacoes!$F$2:$F$6000,"I",Avaliacoes!$H$2:$H$6000,0))</f>
        <v/>
      </c>
      <c r="G195" s="0" t="str">
        <f aca="false">IF($A195="","",SUMIFS(Avaliacoes!$G$2:$G$6000,Avaliacoes!$A$2:$A$6000,$A195,Avaliacoes!$F$2:$F$6000,"II",Avaliacoes!$H$2:$H$6000,0))</f>
        <v/>
      </c>
      <c r="H195" s="0" t="str">
        <f aca="false">IF($A195="","",SUMIFS(Avaliacoes!$G$2:$G$6000,Avaliacoes!$A$2:$A$6000,$A195,Avaliacoes!$F$2:$F$6000,"III",Avaliacoes!$H$2:$H$6000,0))</f>
        <v/>
      </c>
      <c r="I195" s="0" t="str">
        <f aca="false">IF($A195="","",SUMIFS(Avaliacoes!$G$2:$G$6000,Avaliacoes!$A$2:$A$6000,$A195,Avaliacoes!$F$2:$F$6000,"IV",Avaliacoes!$H$2:$H$6000,0))</f>
        <v/>
      </c>
      <c r="J195" s="0" t="str">
        <f aca="false">IF($A195="","",COUNTIFS(Avaliacoes!$A$2:$A$6000,$A195,Avaliacoes!$F$2:$F$6000,"I",Avaliacoes!$H$2:$H$6000,0,Avaliacoes!$G$2:$G$6000,"&lt;&gt;")*Dimensoes!$E$2)</f>
        <v/>
      </c>
      <c r="K195" s="0" t="str">
        <f aca="false">IF($A195="","",COUNTIFS(Avaliacoes!$A$2:$A$6000,$A195,Avaliacoes!$F$2:$F$6000,"II",Avaliacoes!$H$2:$H$6000,0,Avaliacoes!$G$2:$G$6000,"&lt;&gt;")*Dimensoes!$E$3)</f>
        <v/>
      </c>
      <c r="L195" s="0" t="str">
        <f aca="false">IF($A195="","",COUNTIFS(Avaliacoes!$A$2:$A$6000,$A195,Avaliacoes!$F$2:$F$6000,"III",Avaliacoes!$H$2:$H$6000,0,Avaliacoes!$G$2:$G$6000,"&lt;&gt;")*Dimensoes!$E$4)</f>
        <v/>
      </c>
      <c r="M195" s="0" t="str">
        <f aca="false">IF($A195="","",COUNTIFS(Avaliacoes!$A$2:$A$6000,$A195,Avaliacoes!$F$2:$F$6000,"IV",Avaliacoes!$H$2:$H$6000,0,Avaliacoes!$G$2:$G$6000,"&lt;&gt;")*Dimensoes!$E$5)</f>
        <v/>
      </c>
      <c r="N195" s="9" t="str">
        <f aca="false">IF($A195="","",IF(J195&gt;0,F195/J195,""))</f>
        <v/>
      </c>
      <c r="O195" s="9" t="str">
        <f aca="false">IF($A195="","",IF(K195&gt;0,G195/K195,""))</f>
        <v/>
      </c>
      <c r="P195" s="9" t="str">
        <f aca="false">IF($A195="","",IF(L195&gt;0,H195/L195,""))</f>
        <v/>
      </c>
      <c r="Q195" s="9" t="str">
        <f aca="false">IF($A195="","",IF(M195&gt;0,I195/M195,""))</f>
        <v/>
      </c>
      <c r="R195" s="17" t="str">
        <f aca="false">IF($A195="","",IF((IF(N195="",0,Dimensoes!$C$2)+IF(O195="",0,Dimensoes!$C$3)+IF(P195="",0,Dimensoes!$C$4)+IF(Q195="",0,Dimensoes!$C$5))=0,"",(IF(N195="",0,N195*Dimensoes!$C$2)+IF(O195="",0,O195*Dimensoes!$C$3)+IF(P195="",0,P195*Dimensoes!$C$4)+IF(Q195="",0,Q195*Dimensoes!$C$5))/(IF(N195="",0,Dimensoes!$C$2)+IF(O195="",0,Dimensoes!$C$3)+IF(P195="",0,Dimensoes!$C$4)+IF(Q195="",0,Dimensoes!$C$5))))</f>
        <v/>
      </c>
      <c r="S195" s="0" t="str">
        <f aca="false">IF(R195="","",IF(R195&lt;Faixas!$C$3,"vermelho",IF(R195&lt;Faixas!$C$4,"amarelo","verde")))</f>
        <v/>
      </c>
      <c r="T195" s="9" t="str">
        <f aca="false">IF($A195="","",IF(N195="",0,N195*Dimensoes!$C$2)+IF(O195="",0,O195*Dimensoes!$C$3)+IF(P195="",0,P195*Dimensoes!$C$4)+IF(Q195="",0,Q195*Dimensoes!$C$5))</f>
        <v/>
      </c>
      <c r="U195" s="0" t="str">
        <f aca="false">IF($A195="","",IF(OR(E195="concluida",E195="incompleta"),1,0))</f>
        <v/>
      </c>
    </row>
    <row r="196" customFormat="false" ht="15" hidden="false" customHeight="false" outlineLevel="0" collapsed="false">
      <c r="A196" s="0" t="str">
        <f aca="false">IF(Visitas!A196="","",Visitas!A196)</f>
        <v/>
      </c>
      <c r="B196" s="0" t="str">
        <f aca="false">IF($A196="","",Visitas!C196)</f>
        <v/>
      </c>
      <c r="C196" s="7" t="str">
        <f aca="false">IF($A196="","",Visitas!D196)</f>
        <v/>
      </c>
      <c r="D196" s="0" t="str">
        <f aca="false">IF($A196="","",Visitas!B196)</f>
        <v/>
      </c>
      <c r="E196" s="0" t="str">
        <f aca="false">IF($A196="","",Visitas!F196)</f>
        <v/>
      </c>
      <c r="F196" s="0" t="str">
        <f aca="false">IF($A196="","",SUMIFS(Avaliacoes!$G$2:$G$6000,Avaliacoes!$A$2:$A$6000,$A196,Avaliacoes!$F$2:$F$6000,"I",Avaliacoes!$H$2:$H$6000,0))</f>
        <v/>
      </c>
      <c r="G196" s="0" t="str">
        <f aca="false">IF($A196="","",SUMIFS(Avaliacoes!$G$2:$G$6000,Avaliacoes!$A$2:$A$6000,$A196,Avaliacoes!$F$2:$F$6000,"II",Avaliacoes!$H$2:$H$6000,0))</f>
        <v/>
      </c>
      <c r="H196" s="0" t="str">
        <f aca="false">IF($A196="","",SUMIFS(Avaliacoes!$G$2:$G$6000,Avaliacoes!$A$2:$A$6000,$A196,Avaliacoes!$F$2:$F$6000,"III",Avaliacoes!$H$2:$H$6000,0))</f>
        <v/>
      </c>
      <c r="I196" s="0" t="str">
        <f aca="false">IF($A196="","",SUMIFS(Avaliacoes!$G$2:$G$6000,Avaliacoes!$A$2:$A$6000,$A196,Avaliacoes!$F$2:$F$6000,"IV",Avaliacoes!$H$2:$H$6000,0))</f>
        <v/>
      </c>
      <c r="J196" s="0" t="str">
        <f aca="false">IF($A196="","",COUNTIFS(Avaliacoes!$A$2:$A$6000,$A196,Avaliacoes!$F$2:$F$6000,"I",Avaliacoes!$H$2:$H$6000,0,Avaliacoes!$G$2:$G$6000,"&lt;&gt;")*Dimensoes!$E$2)</f>
        <v/>
      </c>
      <c r="K196" s="0" t="str">
        <f aca="false">IF($A196="","",COUNTIFS(Avaliacoes!$A$2:$A$6000,$A196,Avaliacoes!$F$2:$F$6000,"II",Avaliacoes!$H$2:$H$6000,0,Avaliacoes!$G$2:$G$6000,"&lt;&gt;")*Dimensoes!$E$3)</f>
        <v/>
      </c>
      <c r="L196" s="0" t="str">
        <f aca="false">IF($A196="","",COUNTIFS(Avaliacoes!$A$2:$A$6000,$A196,Avaliacoes!$F$2:$F$6000,"III",Avaliacoes!$H$2:$H$6000,0,Avaliacoes!$G$2:$G$6000,"&lt;&gt;")*Dimensoes!$E$4)</f>
        <v/>
      </c>
      <c r="M196" s="0" t="str">
        <f aca="false">IF($A196="","",COUNTIFS(Avaliacoes!$A$2:$A$6000,$A196,Avaliacoes!$F$2:$F$6000,"IV",Avaliacoes!$H$2:$H$6000,0,Avaliacoes!$G$2:$G$6000,"&lt;&gt;")*Dimensoes!$E$5)</f>
        <v/>
      </c>
      <c r="N196" s="9" t="str">
        <f aca="false">IF($A196="","",IF(J196&gt;0,F196/J196,""))</f>
        <v/>
      </c>
      <c r="O196" s="9" t="str">
        <f aca="false">IF($A196="","",IF(K196&gt;0,G196/K196,""))</f>
        <v/>
      </c>
      <c r="P196" s="9" t="str">
        <f aca="false">IF($A196="","",IF(L196&gt;0,H196/L196,""))</f>
        <v/>
      </c>
      <c r="Q196" s="9" t="str">
        <f aca="false">IF($A196="","",IF(M196&gt;0,I196/M196,""))</f>
        <v/>
      </c>
      <c r="R196" s="17" t="str">
        <f aca="false">IF($A196="","",IF((IF(N196="",0,Dimensoes!$C$2)+IF(O196="",0,Dimensoes!$C$3)+IF(P196="",0,Dimensoes!$C$4)+IF(Q196="",0,Dimensoes!$C$5))=0,"",(IF(N196="",0,N196*Dimensoes!$C$2)+IF(O196="",0,O196*Dimensoes!$C$3)+IF(P196="",0,P196*Dimensoes!$C$4)+IF(Q196="",0,Q196*Dimensoes!$C$5))/(IF(N196="",0,Dimensoes!$C$2)+IF(O196="",0,Dimensoes!$C$3)+IF(P196="",0,Dimensoes!$C$4)+IF(Q196="",0,Dimensoes!$C$5))))</f>
        <v/>
      </c>
      <c r="S196" s="0" t="str">
        <f aca="false">IF(R196="","",IF(R196&lt;Faixas!$C$3,"vermelho",IF(R196&lt;Faixas!$C$4,"amarelo","verde")))</f>
        <v/>
      </c>
      <c r="T196" s="9" t="str">
        <f aca="false">IF($A196="","",IF(N196="",0,N196*Dimensoes!$C$2)+IF(O196="",0,O196*Dimensoes!$C$3)+IF(P196="",0,P196*Dimensoes!$C$4)+IF(Q196="",0,Q196*Dimensoes!$C$5))</f>
        <v/>
      </c>
      <c r="U196" s="0" t="str">
        <f aca="false">IF($A196="","",IF(OR(E196="concluida",E196="incompleta"),1,0))</f>
        <v/>
      </c>
    </row>
    <row r="197" customFormat="false" ht="15" hidden="false" customHeight="false" outlineLevel="0" collapsed="false">
      <c r="A197" s="0" t="str">
        <f aca="false">IF(Visitas!A197="","",Visitas!A197)</f>
        <v/>
      </c>
      <c r="B197" s="0" t="str">
        <f aca="false">IF($A197="","",Visitas!C197)</f>
        <v/>
      </c>
      <c r="C197" s="7" t="str">
        <f aca="false">IF($A197="","",Visitas!D197)</f>
        <v/>
      </c>
      <c r="D197" s="0" t="str">
        <f aca="false">IF($A197="","",Visitas!B197)</f>
        <v/>
      </c>
      <c r="E197" s="0" t="str">
        <f aca="false">IF($A197="","",Visitas!F197)</f>
        <v/>
      </c>
      <c r="F197" s="0" t="str">
        <f aca="false">IF($A197="","",SUMIFS(Avaliacoes!$G$2:$G$6000,Avaliacoes!$A$2:$A$6000,$A197,Avaliacoes!$F$2:$F$6000,"I",Avaliacoes!$H$2:$H$6000,0))</f>
        <v/>
      </c>
      <c r="G197" s="0" t="str">
        <f aca="false">IF($A197="","",SUMIFS(Avaliacoes!$G$2:$G$6000,Avaliacoes!$A$2:$A$6000,$A197,Avaliacoes!$F$2:$F$6000,"II",Avaliacoes!$H$2:$H$6000,0))</f>
        <v/>
      </c>
      <c r="H197" s="0" t="str">
        <f aca="false">IF($A197="","",SUMIFS(Avaliacoes!$G$2:$G$6000,Avaliacoes!$A$2:$A$6000,$A197,Avaliacoes!$F$2:$F$6000,"III",Avaliacoes!$H$2:$H$6000,0))</f>
        <v/>
      </c>
      <c r="I197" s="0" t="str">
        <f aca="false">IF($A197="","",SUMIFS(Avaliacoes!$G$2:$G$6000,Avaliacoes!$A$2:$A$6000,$A197,Avaliacoes!$F$2:$F$6000,"IV",Avaliacoes!$H$2:$H$6000,0))</f>
        <v/>
      </c>
      <c r="J197" s="0" t="str">
        <f aca="false">IF($A197="","",COUNTIFS(Avaliacoes!$A$2:$A$6000,$A197,Avaliacoes!$F$2:$F$6000,"I",Avaliacoes!$H$2:$H$6000,0,Avaliacoes!$G$2:$G$6000,"&lt;&gt;")*Dimensoes!$E$2)</f>
        <v/>
      </c>
      <c r="K197" s="0" t="str">
        <f aca="false">IF($A197="","",COUNTIFS(Avaliacoes!$A$2:$A$6000,$A197,Avaliacoes!$F$2:$F$6000,"II",Avaliacoes!$H$2:$H$6000,0,Avaliacoes!$G$2:$G$6000,"&lt;&gt;")*Dimensoes!$E$3)</f>
        <v/>
      </c>
      <c r="L197" s="0" t="str">
        <f aca="false">IF($A197="","",COUNTIFS(Avaliacoes!$A$2:$A$6000,$A197,Avaliacoes!$F$2:$F$6000,"III",Avaliacoes!$H$2:$H$6000,0,Avaliacoes!$G$2:$G$6000,"&lt;&gt;")*Dimensoes!$E$4)</f>
        <v/>
      </c>
      <c r="M197" s="0" t="str">
        <f aca="false">IF($A197="","",COUNTIFS(Avaliacoes!$A$2:$A$6000,$A197,Avaliacoes!$F$2:$F$6000,"IV",Avaliacoes!$H$2:$H$6000,0,Avaliacoes!$G$2:$G$6000,"&lt;&gt;")*Dimensoes!$E$5)</f>
        <v/>
      </c>
      <c r="N197" s="9" t="str">
        <f aca="false">IF($A197="","",IF(J197&gt;0,F197/J197,""))</f>
        <v/>
      </c>
      <c r="O197" s="9" t="str">
        <f aca="false">IF($A197="","",IF(K197&gt;0,G197/K197,""))</f>
        <v/>
      </c>
      <c r="P197" s="9" t="str">
        <f aca="false">IF($A197="","",IF(L197&gt;0,H197/L197,""))</f>
        <v/>
      </c>
      <c r="Q197" s="9" t="str">
        <f aca="false">IF($A197="","",IF(M197&gt;0,I197/M197,""))</f>
        <v/>
      </c>
      <c r="R197" s="17" t="str">
        <f aca="false">IF($A197="","",IF((IF(N197="",0,Dimensoes!$C$2)+IF(O197="",0,Dimensoes!$C$3)+IF(P197="",0,Dimensoes!$C$4)+IF(Q197="",0,Dimensoes!$C$5))=0,"",(IF(N197="",0,N197*Dimensoes!$C$2)+IF(O197="",0,O197*Dimensoes!$C$3)+IF(P197="",0,P197*Dimensoes!$C$4)+IF(Q197="",0,Q197*Dimensoes!$C$5))/(IF(N197="",0,Dimensoes!$C$2)+IF(O197="",0,Dimensoes!$C$3)+IF(P197="",0,Dimensoes!$C$4)+IF(Q197="",0,Dimensoes!$C$5))))</f>
        <v/>
      </c>
      <c r="S197" s="0" t="str">
        <f aca="false">IF(R197="","",IF(R197&lt;Faixas!$C$3,"vermelho",IF(R197&lt;Faixas!$C$4,"amarelo","verde")))</f>
        <v/>
      </c>
      <c r="T197" s="9" t="str">
        <f aca="false">IF($A197="","",IF(N197="",0,N197*Dimensoes!$C$2)+IF(O197="",0,O197*Dimensoes!$C$3)+IF(P197="",0,P197*Dimensoes!$C$4)+IF(Q197="",0,Q197*Dimensoes!$C$5))</f>
        <v/>
      </c>
      <c r="U197" s="0" t="str">
        <f aca="false">IF($A197="","",IF(OR(E197="concluida",E197="incompleta"),1,0))</f>
        <v/>
      </c>
    </row>
    <row r="198" customFormat="false" ht="15" hidden="false" customHeight="false" outlineLevel="0" collapsed="false">
      <c r="A198" s="0" t="str">
        <f aca="false">IF(Visitas!A198="","",Visitas!A198)</f>
        <v/>
      </c>
      <c r="B198" s="0" t="str">
        <f aca="false">IF($A198="","",Visitas!C198)</f>
        <v/>
      </c>
      <c r="C198" s="7" t="str">
        <f aca="false">IF($A198="","",Visitas!D198)</f>
        <v/>
      </c>
      <c r="D198" s="0" t="str">
        <f aca="false">IF($A198="","",Visitas!B198)</f>
        <v/>
      </c>
      <c r="E198" s="0" t="str">
        <f aca="false">IF($A198="","",Visitas!F198)</f>
        <v/>
      </c>
      <c r="F198" s="0" t="str">
        <f aca="false">IF($A198="","",SUMIFS(Avaliacoes!$G$2:$G$6000,Avaliacoes!$A$2:$A$6000,$A198,Avaliacoes!$F$2:$F$6000,"I",Avaliacoes!$H$2:$H$6000,0))</f>
        <v/>
      </c>
      <c r="G198" s="0" t="str">
        <f aca="false">IF($A198="","",SUMIFS(Avaliacoes!$G$2:$G$6000,Avaliacoes!$A$2:$A$6000,$A198,Avaliacoes!$F$2:$F$6000,"II",Avaliacoes!$H$2:$H$6000,0))</f>
        <v/>
      </c>
      <c r="H198" s="0" t="str">
        <f aca="false">IF($A198="","",SUMIFS(Avaliacoes!$G$2:$G$6000,Avaliacoes!$A$2:$A$6000,$A198,Avaliacoes!$F$2:$F$6000,"III",Avaliacoes!$H$2:$H$6000,0))</f>
        <v/>
      </c>
      <c r="I198" s="0" t="str">
        <f aca="false">IF($A198="","",SUMIFS(Avaliacoes!$G$2:$G$6000,Avaliacoes!$A$2:$A$6000,$A198,Avaliacoes!$F$2:$F$6000,"IV",Avaliacoes!$H$2:$H$6000,0))</f>
        <v/>
      </c>
      <c r="J198" s="0" t="str">
        <f aca="false">IF($A198="","",COUNTIFS(Avaliacoes!$A$2:$A$6000,$A198,Avaliacoes!$F$2:$F$6000,"I",Avaliacoes!$H$2:$H$6000,0,Avaliacoes!$G$2:$G$6000,"&lt;&gt;")*Dimensoes!$E$2)</f>
        <v/>
      </c>
      <c r="K198" s="0" t="str">
        <f aca="false">IF($A198="","",COUNTIFS(Avaliacoes!$A$2:$A$6000,$A198,Avaliacoes!$F$2:$F$6000,"II",Avaliacoes!$H$2:$H$6000,0,Avaliacoes!$G$2:$G$6000,"&lt;&gt;")*Dimensoes!$E$3)</f>
        <v/>
      </c>
      <c r="L198" s="0" t="str">
        <f aca="false">IF($A198="","",COUNTIFS(Avaliacoes!$A$2:$A$6000,$A198,Avaliacoes!$F$2:$F$6000,"III",Avaliacoes!$H$2:$H$6000,0,Avaliacoes!$G$2:$G$6000,"&lt;&gt;")*Dimensoes!$E$4)</f>
        <v/>
      </c>
      <c r="M198" s="0" t="str">
        <f aca="false">IF($A198="","",COUNTIFS(Avaliacoes!$A$2:$A$6000,$A198,Avaliacoes!$F$2:$F$6000,"IV",Avaliacoes!$H$2:$H$6000,0,Avaliacoes!$G$2:$G$6000,"&lt;&gt;")*Dimensoes!$E$5)</f>
        <v/>
      </c>
      <c r="N198" s="9" t="str">
        <f aca="false">IF($A198="","",IF(J198&gt;0,F198/J198,""))</f>
        <v/>
      </c>
      <c r="O198" s="9" t="str">
        <f aca="false">IF($A198="","",IF(K198&gt;0,G198/K198,""))</f>
        <v/>
      </c>
      <c r="P198" s="9" t="str">
        <f aca="false">IF($A198="","",IF(L198&gt;0,H198/L198,""))</f>
        <v/>
      </c>
      <c r="Q198" s="9" t="str">
        <f aca="false">IF($A198="","",IF(M198&gt;0,I198/M198,""))</f>
        <v/>
      </c>
      <c r="R198" s="17" t="str">
        <f aca="false">IF($A198="","",IF((IF(N198="",0,Dimensoes!$C$2)+IF(O198="",0,Dimensoes!$C$3)+IF(P198="",0,Dimensoes!$C$4)+IF(Q198="",0,Dimensoes!$C$5))=0,"",(IF(N198="",0,N198*Dimensoes!$C$2)+IF(O198="",0,O198*Dimensoes!$C$3)+IF(P198="",0,P198*Dimensoes!$C$4)+IF(Q198="",0,Q198*Dimensoes!$C$5))/(IF(N198="",0,Dimensoes!$C$2)+IF(O198="",0,Dimensoes!$C$3)+IF(P198="",0,Dimensoes!$C$4)+IF(Q198="",0,Dimensoes!$C$5))))</f>
        <v/>
      </c>
      <c r="S198" s="0" t="str">
        <f aca="false">IF(R198="","",IF(R198&lt;Faixas!$C$3,"vermelho",IF(R198&lt;Faixas!$C$4,"amarelo","verde")))</f>
        <v/>
      </c>
      <c r="T198" s="9" t="str">
        <f aca="false">IF($A198="","",IF(N198="",0,N198*Dimensoes!$C$2)+IF(O198="",0,O198*Dimensoes!$C$3)+IF(P198="",0,P198*Dimensoes!$C$4)+IF(Q198="",0,Q198*Dimensoes!$C$5))</f>
        <v/>
      </c>
      <c r="U198" s="0" t="str">
        <f aca="false">IF($A198="","",IF(OR(E198="concluida",E198="incompleta"),1,0))</f>
        <v/>
      </c>
    </row>
    <row r="199" customFormat="false" ht="15" hidden="false" customHeight="false" outlineLevel="0" collapsed="false">
      <c r="A199" s="0" t="str">
        <f aca="false">IF(Visitas!A199="","",Visitas!A199)</f>
        <v/>
      </c>
      <c r="B199" s="0" t="str">
        <f aca="false">IF($A199="","",Visitas!C199)</f>
        <v/>
      </c>
      <c r="C199" s="7" t="str">
        <f aca="false">IF($A199="","",Visitas!D199)</f>
        <v/>
      </c>
      <c r="D199" s="0" t="str">
        <f aca="false">IF($A199="","",Visitas!B199)</f>
        <v/>
      </c>
      <c r="E199" s="0" t="str">
        <f aca="false">IF($A199="","",Visitas!F199)</f>
        <v/>
      </c>
      <c r="F199" s="0" t="str">
        <f aca="false">IF($A199="","",SUMIFS(Avaliacoes!$G$2:$G$6000,Avaliacoes!$A$2:$A$6000,$A199,Avaliacoes!$F$2:$F$6000,"I",Avaliacoes!$H$2:$H$6000,0))</f>
        <v/>
      </c>
      <c r="G199" s="0" t="str">
        <f aca="false">IF($A199="","",SUMIFS(Avaliacoes!$G$2:$G$6000,Avaliacoes!$A$2:$A$6000,$A199,Avaliacoes!$F$2:$F$6000,"II",Avaliacoes!$H$2:$H$6000,0))</f>
        <v/>
      </c>
      <c r="H199" s="0" t="str">
        <f aca="false">IF($A199="","",SUMIFS(Avaliacoes!$G$2:$G$6000,Avaliacoes!$A$2:$A$6000,$A199,Avaliacoes!$F$2:$F$6000,"III",Avaliacoes!$H$2:$H$6000,0))</f>
        <v/>
      </c>
      <c r="I199" s="0" t="str">
        <f aca="false">IF($A199="","",SUMIFS(Avaliacoes!$G$2:$G$6000,Avaliacoes!$A$2:$A$6000,$A199,Avaliacoes!$F$2:$F$6000,"IV",Avaliacoes!$H$2:$H$6000,0))</f>
        <v/>
      </c>
      <c r="J199" s="0" t="str">
        <f aca="false">IF($A199="","",COUNTIFS(Avaliacoes!$A$2:$A$6000,$A199,Avaliacoes!$F$2:$F$6000,"I",Avaliacoes!$H$2:$H$6000,0,Avaliacoes!$G$2:$G$6000,"&lt;&gt;")*Dimensoes!$E$2)</f>
        <v/>
      </c>
      <c r="K199" s="0" t="str">
        <f aca="false">IF($A199="","",COUNTIFS(Avaliacoes!$A$2:$A$6000,$A199,Avaliacoes!$F$2:$F$6000,"II",Avaliacoes!$H$2:$H$6000,0,Avaliacoes!$G$2:$G$6000,"&lt;&gt;")*Dimensoes!$E$3)</f>
        <v/>
      </c>
      <c r="L199" s="0" t="str">
        <f aca="false">IF($A199="","",COUNTIFS(Avaliacoes!$A$2:$A$6000,$A199,Avaliacoes!$F$2:$F$6000,"III",Avaliacoes!$H$2:$H$6000,0,Avaliacoes!$G$2:$G$6000,"&lt;&gt;")*Dimensoes!$E$4)</f>
        <v/>
      </c>
      <c r="M199" s="0" t="str">
        <f aca="false">IF($A199="","",COUNTIFS(Avaliacoes!$A$2:$A$6000,$A199,Avaliacoes!$F$2:$F$6000,"IV",Avaliacoes!$H$2:$H$6000,0,Avaliacoes!$G$2:$G$6000,"&lt;&gt;")*Dimensoes!$E$5)</f>
        <v/>
      </c>
      <c r="N199" s="9" t="str">
        <f aca="false">IF($A199="","",IF(J199&gt;0,F199/J199,""))</f>
        <v/>
      </c>
      <c r="O199" s="9" t="str">
        <f aca="false">IF($A199="","",IF(K199&gt;0,G199/K199,""))</f>
        <v/>
      </c>
      <c r="P199" s="9" t="str">
        <f aca="false">IF($A199="","",IF(L199&gt;0,H199/L199,""))</f>
        <v/>
      </c>
      <c r="Q199" s="9" t="str">
        <f aca="false">IF($A199="","",IF(M199&gt;0,I199/M199,""))</f>
        <v/>
      </c>
      <c r="R199" s="17" t="str">
        <f aca="false">IF($A199="","",IF((IF(N199="",0,Dimensoes!$C$2)+IF(O199="",0,Dimensoes!$C$3)+IF(P199="",0,Dimensoes!$C$4)+IF(Q199="",0,Dimensoes!$C$5))=0,"",(IF(N199="",0,N199*Dimensoes!$C$2)+IF(O199="",0,O199*Dimensoes!$C$3)+IF(P199="",0,P199*Dimensoes!$C$4)+IF(Q199="",0,Q199*Dimensoes!$C$5))/(IF(N199="",0,Dimensoes!$C$2)+IF(O199="",0,Dimensoes!$C$3)+IF(P199="",0,Dimensoes!$C$4)+IF(Q199="",0,Dimensoes!$C$5))))</f>
        <v/>
      </c>
      <c r="S199" s="0" t="str">
        <f aca="false">IF(R199="","",IF(R199&lt;Faixas!$C$3,"vermelho",IF(R199&lt;Faixas!$C$4,"amarelo","verde")))</f>
        <v/>
      </c>
      <c r="T199" s="9" t="str">
        <f aca="false">IF($A199="","",IF(N199="",0,N199*Dimensoes!$C$2)+IF(O199="",0,O199*Dimensoes!$C$3)+IF(P199="",0,P199*Dimensoes!$C$4)+IF(Q199="",0,Q199*Dimensoes!$C$5))</f>
        <v/>
      </c>
      <c r="U199" s="0" t="str">
        <f aca="false">IF($A199="","",IF(OR(E199="concluida",E199="incompleta"),1,0))</f>
        <v/>
      </c>
    </row>
    <row r="200" customFormat="false" ht="15" hidden="false" customHeight="false" outlineLevel="0" collapsed="false">
      <c r="A200" s="0" t="str">
        <f aca="false">IF(Visitas!A200="","",Visitas!A200)</f>
        <v/>
      </c>
      <c r="B200" s="0" t="str">
        <f aca="false">IF($A200="","",Visitas!C200)</f>
        <v/>
      </c>
      <c r="C200" s="7" t="str">
        <f aca="false">IF($A200="","",Visitas!D200)</f>
        <v/>
      </c>
      <c r="D200" s="0" t="str">
        <f aca="false">IF($A200="","",Visitas!B200)</f>
        <v/>
      </c>
      <c r="E200" s="0" t="str">
        <f aca="false">IF($A200="","",Visitas!F200)</f>
        <v/>
      </c>
      <c r="F200" s="0" t="str">
        <f aca="false">IF($A200="","",SUMIFS(Avaliacoes!$G$2:$G$6000,Avaliacoes!$A$2:$A$6000,$A200,Avaliacoes!$F$2:$F$6000,"I",Avaliacoes!$H$2:$H$6000,0))</f>
        <v/>
      </c>
      <c r="G200" s="0" t="str">
        <f aca="false">IF($A200="","",SUMIFS(Avaliacoes!$G$2:$G$6000,Avaliacoes!$A$2:$A$6000,$A200,Avaliacoes!$F$2:$F$6000,"II",Avaliacoes!$H$2:$H$6000,0))</f>
        <v/>
      </c>
      <c r="H200" s="0" t="str">
        <f aca="false">IF($A200="","",SUMIFS(Avaliacoes!$G$2:$G$6000,Avaliacoes!$A$2:$A$6000,$A200,Avaliacoes!$F$2:$F$6000,"III",Avaliacoes!$H$2:$H$6000,0))</f>
        <v/>
      </c>
      <c r="I200" s="0" t="str">
        <f aca="false">IF($A200="","",SUMIFS(Avaliacoes!$G$2:$G$6000,Avaliacoes!$A$2:$A$6000,$A200,Avaliacoes!$F$2:$F$6000,"IV",Avaliacoes!$H$2:$H$6000,0))</f>
        <v/>
      </c>
      <c r="J200" s="0" t="str">
        <f aca="false">IF($A200="","",COUNTIFS(Avaliacoes!$A$2:$A$6000,$A200,Avaliacoes!$F$2:$F$6000,"I",Avaliacoes!$H$2:$H$6000,0,Avaliacoes!$G$2:$G$6000,"&lt;&gt;")*Dimensoes!$E$2)</f>
        <v/>
      </c>
      <c r="K200" s="0" t="str">
        <f aca="false">IF($A200="","",COUNTIFS(Avaliacoes!$A$2:$A$6000,$A200,Avaliacoes!$F$2:$F$6000,"II",Avaliacoes!$H$2:$H$6000,0,Avaliacoes!$G$2:$G$6000,"&lt;&gt;")*Dimensoes!$E$3)</f>
        <v/>
      </c>
      <c r="L200" s="0" t="str">
        <f aca="false">IF($A200="","",COUNTIFS(Avaliacoes!$A$2:$A$6000,$A200,Avaliacoes!$F$2:$F$6000,"III",Avaliacoes!$H$2:$H$6000,0,Avaliacoes!$G$2:$G$6000,"&lt;&gt;")*Dimensoes!$E$4)</f>
        <v/>
      </c>
      <c r="M200" s="0" t="str">
        <f aca="false">IF($A200="","",COUNTIFS(Avaliacoes!$A$2:$A$6000,$A200,Avaliacoes!$F$2:$F$6000,"IV",Avaliacoes!$H$2:$H$6000,0,Avaliacoes!$G$2:$G$6000,"&lt;&gt;")*Dimensoes!$E$5)</f>
        <v/>
      </c>
      <c r="N200" s="9" t="str">
        <f aca="false">IF($A200="","",IF(J200&gt;0,F200/J200,""))</f>
        <v/>
      </c>
      <c r="O200" s="9" t="str">
        <f aca="false">IF($A200="","",IF(K200&gt;0,G200/K200,""))</f>
        <v/>
      </c>
      <c r="P200" s="9" t="str">
        <f aca="false">IF($A200="","",IF(L200&gt;0,H200/L200,""))</f>
        <v/>
      </c>
      <c r="Q200" s="9" t="str">
        <f aca="false">IF($A200="","",IF(M200&gt;0,I200/M200,""))</f>
        <v/>
      </c>
      <c r="R200" s="17" t="str">
        <f aca="false">IF($A200="","",IF((IF(N200="",0,Dimensoes!$C$2)+IF(O200="",0,Dimensoes!$C$3)+IF(P200="",0,Dimensoes!$C$4)+IF(Q200="",0,Dimensoes!$C$5))=0,"",(IF(N200="",0,N200*Dimensoes!$C$2)+IF(O200="",0,O200*Dimensoes!$C$3)+IF(P200="",0,P200*Dimensoes!$C$4)+IF(Q200="",0,Q200*Dimensoes!$C$5))/(IF(N200="",0,Dimensoes!$C$2)+IF(O200="",0,Dimensoes!$C$3)+IF(P200="",0,Dimensoes!$C$4)+IF(Q200="",0,Dimensoes!$C$5))))</f>
        <v/>
      </c>
      <c r="S200" s="0" t="str">
        <f aca="false">IF(R200="","",IF(R200&lt;Faixas!$C$3,"vermelho",IF(R200&lt;Faixas!$C$4,"amarelo","verde")))</f>
        <v/>
      </c>
      <c r="T200" s="9" t="str">
        <f aca="false">IF($A200="","",IF(N200="",0,N200*Dimensoes!$C$2)+IF(O200="",0,O200*Dimensoes!$C$3)+IF(P200="",0,P200*Dimensoes!$C$4)+IF(Q200="",0,Q200*Dimensoes!$C$5))</f>
        <v/>
      </c>
      <c r="U200" s="0" t="str">
        <f aca="false">IF($A200="","",IF(OR(E200="concluida",E200="incompleta"),1,0))</f>
        <v/>
      </c>
    </row>
    <row r="201" customFormat="false" ht="15" hidden="false" customHeight="false" outlineLevel="0" collapsed="false">
      <c r="A201" s="0" t="str">
        <f aca="false">IF(Visitas!A201="","",Visitas!A201)</f>
        <v/>
      </c>
      <c r="B201" s="0" t="str">
        <f aca="false">IF($A201="","",Visitas!C201)</f>
        <v/>
      </c>
      <c r="C201" s="7" t="str">
        <f aca="false">IF($A201="","",Visitas!D201)</f>
        <v/>
      </c>
      <c r="D201" s="0" t="str">
        <f aca="false">IF($A201="","",Visitas!B201)</f>
        <v/>
      </c>
      <c r="E201" s="0" t="str">
        <f aca="false">IF($A201="","",Visitas!F201)</f>
        <v/>
      </c>
      <c r="F201" s="0" t="str">
        <f aca="false">IF($A201="","",SUMIFS(Avaliacoes!$G$2:$G$6000,Avaliacoes!$A$2:$A$6000,$A201,Avaliacoes!$F$2:$F$6000,"I",Avaliacoes!$H$2:$H$6000,0))</f>
        <v/>
      </c>
      <c r="G201" s="0" t="str">
        <f aca="false">IF($A201="","",SUMIFS(Avaliacoes!$G$2:$G$6000,Avaliacoes!$A$2:$A$6000,$A201,Avaliacoes!$F$2:$F$6000,"II",Avaliacoes!$H$2:$H$6000,0))</f>
        <v/>
      </c>
      <c r="H201" s="0" t="str">
        <f aca="false">IF($A201="","",SUMIFS(Avaliacoes!$G$2:$G$6000,Avaliacoes!$A$2:$A$6000,$A201,Avaliacoes!$F$2:$F$6000,"III",Avaliacoes!$H$2:$H$6000,0))</f>
        <v/>
      </c>
      <c r="I201" s="0" t="str">
        <f aca="false">IF($A201="","",SUMIFS(Avaliacoes!$G$2:$G$6000,Avaliacoes!$A$2:$A$6000,$A201,Avaliacoes!$F$2:$F$6000,"IV",Avaliacoes!$H$2:$H$6000,0))</f>
        <v/>
      </c>
      <c r="J201" s="0" t="str">
        <f aca="false">IF($A201="","",COUNTIFS(Avaliacoes!$A$2:$A$6000,$A201,Avaliacoes!$F$2:$F$6000,"I",Avaliacoes!$H$2:$H$6000,0,Avaliacoes!$G$2:$G$6000,"&lt;&gt;")*Dimensoes!$E$2)</f>
        <v/>
      </c>
      <c r="K201" s="0" t="str">
        <f aca="false">IF($A201="","",COUNTIFS(Avaliacoes!$A$2:$A$6000,$A201,Avaliacoes!$F$2:$F$6000,"II",Avaliacoes!$H$2:$H$6000,0,Avaliacoes!$G$2:$G$6000,"&lt;&gt;")*Dimensoes!$E$3)</f>
        <v/>
      </c>
      <c r="L201" s="0" t="str">
        <f aca="false">IF($A201="","",COUNTIFS(Avaliacoes!$A$2:$A$6000,$A201,Avaliacoes!$F$2:$F$6000,"III",Avaliacoes!$H$2:$H$6000,0,Avaliacoes!$G$2:$G$6000,"&lt;&gt;")*Dimensoes!$E$4)</f>
        <v/>
      </c>
      <c r="M201" s="0" t="str">
        <f aca="false">IF($A201="","",COUNTIFS(Avaliacoes!$A$2:$A$6000,$A201,Avaliacoes!$F$2:$F$6000,"IV",Avaliacoes!$H$2:$H$6000,0,Avaliacoes!$G$2:$G$6000,"&lt;&gt;")*Dimensoes!$E$5)</f>
        <v/>
      </c>
      <c r="N201" s="9" t="str">
        <f aca="false">IF($A201="","",IF(J201&gt;0,F201/J201,""))</f>
        <v/>
      </c>
      <c r="O201" s="9" t="str">
        <f aca="false">IF($A201="","",IF(K201&gt;0,G201/K201,""))</f>
        <v/>
      </c>
      <c r="P201" s="9" t="str">
        <f aca="false">IF($A201="","",IF(L201&gt;0,H201/L201,""))</f>
        <v/>
      </c>
      <c r="Q201" s="9" t="str">
        <f aca="false">IF($A201="","",IF(M201&gt;0,I201/M201,""))</f>
        <v/>
      </c>
      <c r="R201" s="17" t="str">
        <f aca="false">IF($A201="","",IF((IF(N201="",0,Dimensoes!$C$2)+IF(O201="",0,Dimensoes!$C$3)+IF(P201="",0,Dimensoes!$C$4)+IF(Q201="",0,Dimensoes!$C$5))=0,"",(IF(N201="",0,N201*Dimensoes!$C$2)+IF(O201="",0,O201*Dimensoes!$C$3)+IF(P201="",0,P201*Dimensoes!$C$4)+IF(Q201="",0,Q201*Dimensoes!$C$5))/(IF(N201="",0,Dimensoes!$C$2)+IF(O201="",0,Dimensoes!$C$3)+IF(P201="",0,Dimensoes!$C$4)+IF(Q201="",0,Dimensoes!$C$5))))</f>
        <v/>
      </c>
      <c r="S201" s="0" t="str">
        <f aca="false">IF(R201="","",IF(R201&lt;Faixas!$C$3,"vermelho",IF(R201&lt;Faixas!$C$4,"amarelo","verde")))</f>
        <v/>
      </c>
      <c r="T201" s="9" t="str">
        <f aca="false">IF($A201="","",IF(N201="",0,N201*Dimensoes!$C$2)+IF(O201="",0,O201*Dimensoes!$C$3)+IF(P201="",0,P201*Dimensoes!$C$4)+IF(Q201="",0,Q201*Dimensoes!$C$5))</f>
        <v/>
      </c>
      <c r="U201" s="0" t="str">
        <f aca="false">IF($A201="","",IF(OR(E201="concluida",E201="incompleta"),1,0))</f>
        <v/>
      </c>
    </row>
    <row r="202" customFormat="false" ht="15" hidden="false" customHeight="false" outlineLevel="0" collapsed="false">
      <c r="A202" s="0" t="str">
        <f aca="false">IF(Visitas!A202="","",Visitas!A202)</f>
        <v/>
      </c>
      <c r="B202" s="0" t="str">
        <f aca="false">IF($A202="","",Visitas!C202)</f>
        <v/>
      </c>
      <c r="C202" s="7" t="str">
        <f aca="false">IF($A202="","",Visitas!D202)</f>
        <v/>
      </c>
      <c r="D202" s="0" t="str">
        <f aca="false">IF($A202="","",Visitas!B202)</f>
        <v/>
      </c>
      <c r="E202" s="0" t="str">
        <f aca="false">IF($A202="","",Visitas!F202)</f>
        <v/>
      </c>
      <c r="F202" s="0" t="str">
        <f aca="false">IF($A202="","",SUMIFS(Avaliacoes!$G$2:$G$6000,Avaliacoes!$A$2:$A$6000,$A202,Avaliacoes!$F$2:$F$6000,"I",Avaliacoes!$H$2:$H$6000,0))</f>
        <v/>
      </c>
      <c r="G202" s="0" t="str">
        <f aca="false">IF($A202="","",SUMIFS(Avaliacoes!$G$2:$G$6000,Avaliacoes!$A$2:$A$6000,$A202,Avaliacoes!$F$2:$F$6000,"II",Avaliacoes!$H$2:$H$6000,0))</f>
        <v/>
      </c>
      <c r="H202" s="0" t="str">
        <f aca="false">IF($A202="","",SUMIFS(Avaliacoes!$G$2:$G$6000,Avaliacoes!$A$2:$A$6000,$A202,Avaliacoes!$F$2:$F$6000,"III",Avaliacoes!$H$2:$H$6000,0))</f>
        <v/>
      </c>
      <c r="I202" s="0" t="str">
        <f aca="false">IF($A202="","",SUMIFS(Avaliacoes!$G$2:$G$6000,Avaliacoes!$A$2:$A$6000,$A202,Avaliacoes!$F$2:$F$6000,"IV",Avaliacoes!$H$2:$H$6000,0))</f>
        <v/>
      </c>
      <c r="J202" s="0" t="str">
        <f aca="false">IF($A202="","",COUNTIFS(Avaliacoes!$A$2:$A$6000,$A202,Avaliacoes!$F$2:$F$6000,"I",Avaliacoes!$H$2:$H$6000,0,Avaliacoes!$G$2:$G$6000,"&lt;&gt;")*Dimensoes!$E$2)</f>
        <v/>
      </c>
      <c r="K202" s="0" t="str">
        <f aca="false">IF($A202="","",COUNTIFS(Avaliacoes!$A$2:$A$6000,$A202,Avaliacoes!$F$2:$F$6000,"II",Avaliacoes!$H$2:$H$6000,0,Avaliacoes!$G$2:$G$6000,"&lt;&gt;")*Dimensoes!$E$3)</f>
        <v/>
      </c>
      <c r="L202" s="0" t="str">
        <f aca="false">IF($A202="","",COUNTIFS(Avaliacoes!$A$2:$A$6000,$A202,Avaliacoes!$F$2:$F$6000,"III",Avaliacoes!$H$2:$H$6000,0,Avaliacoes!$G$2:$G$6000,"&lt;&gt;")*Dimensoes!$E$4)</f>
        <v/>
      </c>
      <c r="M202" s="0" t="str">
        <f aca="false">IF($A202="","",COUNTIFS(Avaliacoes!$A$2:$A$6000,$A202,Avaliacoes!$F$2:$F$6000,"IV",Avaliacoes!$H$2:$H$6000,0,Avaliacoes!$G$2:$G$6000,"&lt;&gt;")*Dimensoes!$E$5)</f>
        <v/>
      </c>
      <c r="N202" s="9" t="str">
        <f aca="false">IF($A202="","",IF(J202&gt;0,F202/J202,""))</f>
        <v/>
      </c>
      <c r="O202" s="9" t="str">
        <f aca="false">IF($A202="","",IF(K202&gt;0,G202/K202,""))</f>
        <v/>
      </c>
      <c r="P202" s="9" t="str">
        <f aca="false">IF($A202="","",IF(L202&gt;0,H202/L202,""))</f>
        <v/>
      </c>
      <c r="Q202" s="9" t="str">
        <f aca="false">IF($A202="","",IF(M202&gt;0,I202/M202,""))</f>
        <v/>
      </c>
      <c r="R202" s="17" t="str">
        <f aca="false">IF($A202="","",IF((IF(N202="",0,Dimensoes!$C$2)+IF(O202="",0,Dimensoes!$C$3)+IF(P202="",0,Dimensoes!$C$4)+IF(Q202="",0,Dimensoes!$C$5))=0,"",(IF(N202="",0,N202*Dimensoes!$C$2)+IF(O202="",0,O202*Dimensoes!$C$3)+IF(P202="",0,P202*Dimensoes!$C$4)+IF(Q202="",0,Q202*Dimensoes!$C$5))/(IF(N202="",0,Dimensoes!$C$2)+IF(O202="",0,Dimensoes!$C$3)+IF(P202="",0,Dimensoes!$C$4)+IF(Q202="",0,Dimensoes!$C$5))))</f>
        <v/>
      </c>
      <c r="S202" s="0" t="str">
        <f aca="false">IF(R202="","",IF(R202&lt;Faixas!$C$3,"vermelho",IF(R202&lt;Faixas!$C$4,"amarelo","verde")))</f>
        <v/>
      </c>
      <c r="T202" s="9" t="str">
        <f aca="false">IF($A202="","",IF(N202="",0,N202*Dimensoes!$C$2)+IF(O202="",0,O202*Dimensoes!$C$3)+IF(P202="",0,P202*Dimensoes!$C$4)+IF(Q202="",0,Q202*Dimensoes!$C$5))</f>
        <v/>
      </c>
      <c r="U202" s="0" t="str">
        <f aca="false">IF($A202="","",IF(OR(E202="concluida",E202="incompleta"),1,0))</f>
        <v/>
      </c>
    </row>
    <row r="203" customFormat="false" ht="15" hidden="false" customHeight="false" outlineLevel="0" collapsed="false">
      <c r="A203" s="0" t="str">
        <f aca="false">IF(Visitas!A203="","",Visitas!A203)</f>
        <v/>
      </c>
      <c r="B203" s="0" t="str">
        <f aca="false">IF($A203="","",Visitas!C203)</f>
        <v/>
      </c>
      <c r="C203" s="7" t="str">
        <f aca="false">IF($A203="","",Visitas!D203)</f>
        <v/>
      </c>
      <c r="D203" s="0" t="str">
        <f aca="false">IF($A203="","",Visitas!B203)</f>
        <v/>
      </c>
      <c r="E203" s="0" t="str">
        <f aca="false">IF($A203="","",Visitas!F203)</f>
        <v/>
      </c>
      <c r="F203" s="0" t="str">
        <f aca="false">IF($A203="","",SUMIFS(Avaliacoes!$G$2:$G$6000,Avaliacoes!$A$2:$A$6000,$A203,Avaliacoes!$F$2:$F$6000,"I",Avaliacoes!$H$2:$H$6000,0))</f>
        <v/>
      </c>
      <c r="G203" s="0" t="str">
        <f aca="false">IF($A203="","",SUMIFS(Avaliacoes!$G$2:$G$6000,Avaliacoes!$A$2:$A$6000,$A203,Avaliacoes!$F$2:$F$6000,"II",Avaliacoes!$H$2:$H$6000,0))</f>
        <v/>
      </c>
      <c r="H203" s="0" t="str">
        <f aca="false">IF($A203="","",SUMIFS(Avaliacoes!$G$2:$G$6000,Avaliacoes!$A$2:$A$6000,$A203,Avaliacoes!$F$2:$F$6000,"III",Avaliacoes!$H$2:$H$6000,0))</f>
        <v/>
      </c>
      <c r="I203" s="0" t="str">
        <f aca="false">IF($A203="","",SUMIFS(Avaliacoes!$G$2:$G$6000,Avaliacoes!$A$2:$A$6000,$A203,Avaliacoes!$F$2:$F$6000,"IV",Avaliacoes!$H$2:$H$6000,0))</f>
        <v/>
      </c>
      <c r="J203" s="0" t="str">
        <f aca="false">IF($A203="","",COUNTIFS(Avaliacoes!$A$2:$A$6000,$A203,Avaliacoes!$F$2:$F$6000,"I",Avaliacoes!$H$2:$H$6000,0,Avaliacoes!$G$2:$G$6000,"&lt;&gt;")*Dimensoes!$E$2)</f>
        <v/>
      </c>
      <c r="K203" s="0" t="str">
        <f aca="false">IF($A203="","",COUNTIFS(Avaliacoes!$A$2:$A$6000,$A203,Avaliacoes!$F$2:$F$6000,"II",Avaliacoes!$H$2:$H$6000,0,Avaliacoes!$G$2:$G$6000,"&lt;&gt;")*Dimensoes!$E$3)</f>
        <v/>
      </c>
      <c r="L203" s="0" t="str">
        <f aca="false">IF($A203="","",COUNTIFS(Avaliacoes!$A$2:$A$6000,$A203,Avaliacoes!$F$2:$F$6000,"III",Avaliacoes!$H$2:$H$6000,0,Avaliacoes!$G$2:$G$6000,"&lt;&gt;")*Dimensoes!$E$4)</f>
        <v/>
      </c>
      <c r="M203" s="0" t="str">
        <f aca="false">IF($A203="","",COUNTIFS(Avaliacoes!$A$2:$A$6000,$A203,Avaliacoes!$F$2:$F$6000,"IV",Avaliacoes!$H$2:$H$6000,0,Avaliacoes!$G$2:$G$6000,"&lt;&gt;")*Dimensoes!$E$5)</f>
        <v/>
      </c>
      <c r="N203" s="9" t="str">
        <f aca="false">IF($A203="","",IF(J203&gt;0,F203/J203,""))</f>
        <v/>
      </c>
      <c r="O203" s="9" t="str">
        <f aca="false">IF($A203="","",IF(K203&gt;0,G203/K203,""))</f>
        <v/>
      </c>
      <c r="P203" s="9" t="str">
        <f aca="false">IF($A203="","",IF(L203&gt;0,H203/L203,""))</f>
        <v/>
      </c>
      <c r="Q203" s="9" t="str">
        <f aca="false">IF($A203="","",IF(M203&gt;0,I203/M203,""))</f>
        <v/>
      </c>
      <c r="R203" s="17" t="str">
        <f aca="false">IF($A203="","",IF((IF(N203="",0,Dimensoes!$C$2)+IF(O203="",0,Dimensoes!$C$3)+IF(P203="",0,Dimensoes!$C$4)+IF(Q203="",0,Dimensoes!$C$5))=0,"",(IF(N203="",0,N203*Dimensoes!$C$2)+IF(O203="",0,O203*Dimensoes!$C$3)+IF(P203="",0,P203*Dimensoes!$C$4)+IF(Q203="",0,Q203*Dimensoes!$C$5))/(IF(N203="",0,Dimensoes!$C$2)+IF(O203="",0,Dimensoes!$C$3)+IF(P203="",0,Dimensoes!$C$4)+IF(Q203="",0,Dimensoes!$C$5))))</f>
        <v/>
      </c>
      <c r="S203" s="0" t="str">
        <f aca="false">IF(R203="","",IF(R203&lt;Faixas!$C$3,"vermelho",IF(R203&lt;Faixas!$C$4,"amarelo","verde")))</f>
        <v/>
      </c>
      <c r="T203" s="9" t="str">
        <f aca="false">IF($A203="","",IF(N203="",0,N203*Dimensoes!$C$2)+IF(O203="",0,O203*Dimensoes!$C$3)+IF(P203="",0,P203*Dimensoes!$C$4)+IF(Q203="",0,Q203*Dimensoes!$C$5))</f>
        <v/>
      </c>
      <c r="U203" s="0" t="str">
        <f aca="false">IF($A203="","",IF(OR(E203="concluida",E203="incompleta"),1,0))</f>
        <v/>
      </c>
    </row>
    <row r="204" customFormat="false" ht="15" hidden="false" customHeight="false" outlineLevel="0" collapsed="false">
      <c r="A204" s="0" t="str">
        <f aca="false">IF(Visitas!A204="","",Visitas!A204)</f>
        <v/>
      </c>
      <c r="B204" s="0" t="str">
        <f aca="false">IF($A204="","",Visitas!C204)</f>
        <v/>
      </c>
      <c r="C204" s="7" t="str">
        <f aca="false">IF($A204="","",Visitas!D204)</f>
        <v/>
      </c>
      <c r="D204" s="0" t="str">
        <f aca="false">IF($A204="","",Visitas!B204)</f>
        <v/>
      </c>
      <c r="E204" s="0" t="str">
        <f aca="false">IF($A204="","",Visitas!F204)</f>
        <v/>
      </c>
      <c r="F204" s="0" t="str">
        <f aca="false">IF($A204="","",SUMIFS(Avaliacoes!$G$2:$G$6000,Avaliacoes!$A$2:$A$6000,$A204,Avaliacoes!$F$2:$F$6000,"I",Avaliacoes!$H$2:$H$6000,0))</f>
        <v/>
      </c>
      <c r="G204" s="0" t="str">
        <f aca="false">IF($A204="","",SUMIFS(Avaliacoes!$G$2:$G$6000,Avaliacoes!$A$2:$A$6000,$A204,Avaliacoes!$F$2:$F$6000,"II",Avaliacoes!$H$2:$H$6000,0))</f>
        <v/>
      </c>
      <c r="H204" s="0" t="str">
        <f aca="false">IF($A204="","",SUMIFS(Avaliacoes!$G$2:$G$6000,Avaliacoes!$A$2:$A$6000,$A204,Avaliacoes!$F$2:$F$6000,"III",Avaliacoes!$H$2:$H$6000,0))</f>
        <v/>
      </c>
      <c r="I204" s="0" t="str">
        <f aca="false">IF($A204="","",SUMIFS(Avaliacoes!$G$2:$G$6000,Avaliacoes!$A$2:$A$6000,$A204,Avaliacoes!$F$2:$F$6000,"IV",Avaliacoes!$H$2:$H$6000,0))</f>
        <v/>
      </c>
      <c r="J204" s="0" t="str">
        <f aca="false">IF($A204="","",COUNTIFS(Avaliacoes!$A$2:$A$6000,$A204,Avaliacoes!$F$2:$F$6000,"I",Avaliacoes!$H$2:$H$6000,0,Avaliacoes!$G$2:$G$6000,"&lt;&gt;")*Dimensoes!$E$2)</f>
        <v/>
      </c>
      <c r="K204" s="0" t="str">
        <f aca="false">IF($A204="","",COUNTIFS(Avaliacoes!$A$2:$A$6000,$A204,Avaliacoes!$F$2:$F$6000,"II",Avaliacoes!$H$2:$H$6000,0,Avaliacoes!$G$2:$G$6000,"&lt;&gt;")*Dimensoes!$E$3)</f>
        <v/>
      </c>
      <c r="L204" s="0" t="str">
        <f aca="false">IF($A204="","",COUNTIFS(Avaliacoes!$A$2:$A$6000,$A204,Avaliacoes!$F$2:$F$6000,"III",Avaliacoes!$H$2:$H$6000,0,Avaliacoes!$G$2:$G$6000,"&lt;&gt;")*Dimensoes!$E$4)</f>
        <v/>
      </c>
      <c r="M204" s="0" t="str">
        <f aca="false">IF($A204="","",COUNTIFS(Avaliacoes!$A$2:$A$6000,$A204,Avaliacoes!$F$2:$F$6000,"IV",Avaliacoes!$H$2:$H$6000,0,Avaliacoes!$G$2:$G$6000,"&lt;&gt;")*Dimensoes!$E$5)</f>
        <v/>
      </c>
      <c r="N204" s="9" t="str">
        <f aca="false">IF($A204="","",IF(J204&gt;0,F204/J204,""))</f>
        <v/>
      </c>
      <c r="O204" s="9" t="str">
        <f aca="false">IF($A204="","",IF(K204&gt;0,G204/K204,""))</f>
        <v/>
      </c>
      <c r="P204" s="9" t="str">
        <f aca="false">IF($A204="","",IF(L204&gt;0,H204/L204,""))</f>
        <v/>
      </c>
      <c r="Q204" s="9" t="str">
        <f aca="false">IF($A204="","",IF(M204&gt;0,I204/M204,""))</f>
        <v/>
      </c>
      <c r="R204" s="17" t="str">
        <f aca="false">IF($A204="","",IF((IF(N204="",0,Dimensoes!$C$2)+IF(O204="",0,Dimensoes!$C$3)+IF(P204="",0,Dimensoes!$C$4)+IF(Q204="",0,Dimensoes!$C$5))=0,"",(IF(N204="",0,N204*Dimensoes!$C$2)+IF(O204="",0,O204*Dimensoes!$C$3)+IF(P204="",0,P204*Dimensoes!$C$4)+IF(Q204="",0,Q204*Dimensoes!$C$5))/(IF(N204="",0,Dimensoes!$C$2)+IF(O204="",0,Dimensoes!$C$3)+IF(P204="",0,Dimensoes!$C$4)+IF(Q204="",0,Dimensoes!$C$5))))</f>
        <v/>
      </c>
      <c r="S204" s="0" t="str">
        <f aca="false">IF(R204="","",IF(R204&lt;Faixas!$C$3,"vermelho",IF(R204&lt;Faixas!$C$4,"amarelo","verde")))</f>
        <v/>
      </c>
      <c r="T204" s="9" t="str">
        <f aca="false">IF($A204="","",IF(N204="",0,N204*Dimensoes!$C$2)+IF(O204="",0,O204*Dimensoes!$C$3)+IF(P204="",0,P204*Dimensoes!$C$4)+IF(Q204="",0,Q204*Dimensoes!$C$5))</f>
        <v/>
      </c>
      <c r="U204" s="0" t="str">
        <f aca="false">IF($A204="","",IF(OR(E204="concluida",E204="incompleta"),1,0))</f>
        <v/>
      </c>
    </row>
    <row r="205" customFormat="false" ht="15" hidden="false" customHeight="false" outlineLevel="0" collapsed="false">
      <c r="A205" s="0" t="str">
        <f aca="false">IF(Visitas!A205="","",Visitas!A205)</f>
        <v/>
      </c>
      <c r="B205" s="0" t="str">
        <f aca="false">IF($A205="","",Visitas!C205)</f>
        <v/>
      </c>
      <c r="C205" s="7" t="str">
        <f aca="false">IF($A205="","",Visitas!D205)</f>
        <v/>
      </c>
      <c r="D205" s="0" t="str">
        <f aca="false">IF($A205="","",Visitas!B205)</f>
        <v/>
      </c>
      <c r="E205" s="0" t="str">
        <f aca="false">IF($A205="","",Visitas!F205)</f>
        <v/>
      </c>
      <c r="F205" s="0" t="str">
        <f aca="false">IF($A205="","",SUMIFS(Avaliacoes!$G$2:$G$6000,Avaliacoes!$A$2:$A$6000,$A205,Avaliacoes!$F$2:$F$6000,"I",Avaliacoes!$H$2:$H$6000,0))</f>
        <v/>
      </c>
      <c r="G205" s="0" t="str">
        <f aca="false">IF($A205="","",SUMIFS(Avaliacoes!$G$2:$G$6000,Avaliacoes!$A$2:$A$6000,$A205,Avaliacoes!$F$2:$F$6000,"II",Avaliacoes!$H$2:$H$6000,0))</f>
        <v/>
      </c>
      <c r="H205" s="0" t="str">
        <f aca="false">IF($A205="","",SUMIFS(Avaliacoes!$G$2:$G$6000,Avaliacoes!$A$2:$A$6000,$A205,Avaliacoes!$F$2:$F$6000,"III",Avaliacoes!$H$2:$H$6000,0))</f>
        <v/>
      </c>
      <c r="I205" s="0" t="str">
        <f aca="false">IF($A205="","",SUMIFS(Avaliacoes!$G$2:$G$6000,Avaliacoes!$A$2:$A$6000,$A205,Avaliacoes!$F$2:$F$6000,"IV",Avaliacoes!$H$2:$H$6000,0))</f>
        <v/>
      </c>
      <c r="J205" s="0" t="str">
        <f aca="false">IF($A205="","",COUNTIFS(Avaliacoes!$A$2:$A$6000,$A205,Avaliacoes!$F$2:$F$6000,"I",Avaliacoes!$H$2:$H$6000,0,Avaliacoes!$G$2:$G$6000,"&lt;&gt;")*Dimensoes!$E$2)</f>
        <v/>
      </c>
      <c r="K205" s="0" t="str">
        <f aca="false">IF($A205="","",COUNTIFS(Avaliacoes!$A$2:$A$6000,$A205,Avaliacoes!$F$2:$F$6000,"II",Avaliacoes!$H$2:$H$6000,0,Avaliacoes!$G$2:$G$6000,"&lt;&gt;")*Dimensoes!$E$3)</f>
        <v/>
      </c>
      <c r="L205" s="0" t="str">
        <f aca="false">IF($A205="","",COUNTIFS(Avaliacoes!$A$2:$A$6000,$A205,Avaliacoes!$F$2:$F$6000,"III",Avaliacoes!$H$2:$H$6000,0,Avaliacoes!$G$2:$G$6000,"&lt;&gt;")*Dimensoes!$E$4)</f>
        <v/>
      </c>
      <c r="M205" s="0" t="str">
        <f aca="false">IF($A205="","",COUNTIFS(Avaliacoes!$A$2:$A$6000,$A205,Avaliacoes!$F$2:$F$6000,"IV",Avaliacoes!$H$2:$H$6000,0,Avaliacoes!$G$2:$G$6000,"&lt;&gt;")*Dimensoes!$E$5)</f>
        <v/>
      </c>
      <c r="N205" s="9" t="str">
        <f aca="false">IF($A205="","",IF(J205&gt;0,F205/J205,""))</f>
        <v/>
      </c>
      <c r="O205" s="9" t="str">
        <f aca="false">IF($A205="","",IF(K205&gt;0,G205/K205,""))</f>
        <v/>
      </c>
      <c r="P205" s="9" t="str">
        <f aca="false">IF($A205="","",IF(L205&gt;0,H205/L205,""))</f>
        <v/>
      </c>
      <c r="Q205" s="9" t="str">
        <f aca="false">IF($A205="","",IF(M205&gt;0,I205/M205,""))</f>
        <v/>
      </c>
      <c r="R205" s="17" t="str">
        <f aca="false">IF($A205="","",IF((IF(N205="",0,Dimensoes!$C$2)+IF(O205="",0,Dimensoes!$C$3)+IF(P205="",0,Dimensoes!$C$4)+IF(Q205="",0,Dimensoes!$C$5))=0,"",(IF(N205="",0,N205*Dimensoes!$C$2)+IF(O205="",0,O205*Dimensoes!$C$3)+IF(P205="",0,P205*Dimensoes!$C$4)+IF(Q205="",0,Q205*Dimensoes!$C$5))/(IF(N205="",0,Dimensoes!$C$2)+IF(O205="",0,Dimensoes!$C$3)+IF(P205="",0,Dimensoes!$C$4)+IF(Q205="",0,Dimensoes!$C$5))))</f>
        <v/>
      </c>
      <c r="S205" s="0" t="str">
        <f aca="false">IF(R205="","",IF(R205&lt;Faixas!$C$3,"vermelho",IF(R205&lt;Faixas!$C$4,"amarelo","verde")))</f>
        <v/>
      </c>
      <c r="T205" s="9" t="str">
        <f aca="false">IF($A205="","",IF(N205="",0,N205*Dimensoes!$C$2)+IF(O205="",0,O205*Dimensoes!$C$3)+IF(P205="",0,P205*Dimensoes!$C$4)+IF(Q205="",0,Q205*Dimensoes!$C$5))</f>
        <v/>
      </c>
      <c r="U205" s="0" t="str">
        <f aca="false">IF($A205="","",IF(OR(E205="concluida",E205="incompleta"),1,0))</f>
        <v/>
      </c>
    </row>
    <row r="206" customFormat="false" ht="15" hidden="false" customHeight="false" outlineLevel="0" collapsed="false">
      <c r="A206" s="0" t="str">
        <f aca="false">IF(Visitas!A206="","",Visitas!A206)</f>
        <v/>
      </c>
      <c r="B206" s="0" t="str">
        <f aca="false">IF($A206="","",Visitas!C206)</f>
        <v/>
      </c>
      <c r="C206" s="7" t="str">
        <f aca="false">IF($A206="","",Visitas!D206)</f>
        <v/>
      </c>
      <c r="D206" s="0" t="str">
        <f aca="false">IF($A206="","",Visitas!B206)</f>
        <v/>
      </c>
      <c r="E206" s="0" t="str">
        <f aca="false">IF($A206="","",Visitas!F206)</f>
        <v/>
      </c>
      <c r="F206" s="0" t="str">
        <f aca="false">IF($A206="","",SUMIFS(Avaliacoes!$G$2:$G$6000,Avaliacoes!$A$2:$A$6000,$A206,Avaliacoes!$F$2:$F$6000,"I",Avaliacoes!$H$2:$H$6000,0))</f>
        <v/>
      </c>
      <c r="G206" s="0" t="str">
        <f aca="false">IF($A206="","",SUMIFS(Avaliacoes!$G$2:$G$6000,Avaliacoes!$A$2:$A$6000,$A206,Avaliacoes!$F$2:$F$6000,"II",Avaliacoes!$H$2:$H$6000,0))</f>
        <v/>
      </c>
      <c r="H206" s="0" t="str">
        <f aca="false">IF($A206="","",SUMIFS(Avaliacoes!$G$2:$G$6000,Avaliacoes!$A$2:$A$6000,$A206,Avaliacoes!$F$2:$F$6000,"III",Avaliacoes!$H$2:$H$6000,0))</f>
        <v/>
      </c>
      <c r="I206" s="0" t="str">
        <f aca="false">IF($A206="","",SUMIFS(Avaliacoes!$G$2:$G$6000,Avaliacoes!$A$2:$A$6000,$A206,Avaliacoes!$F$2:$F$6000,"IV",Avaliacoes!$H$2:$H$6000,0))</f>
        <v/>
      </c>
      <c r="J206" s="0" t="str">
        <f aca="false">IF($A206="","",COUNTIFS(Avaliacoes!$A$2:$A$6000,$A206,Avaliacoes!$F$2:$F$6000,"I",Avaliacoes!$H$2:$H$6000,0,Avaliacoes!$G$2:$G$6000,"&lt;&gt;")*Dimensoes!$E$2)</f>
        <v/>
      </c>
      <c r="K206" s="0" t="str">
        <f aca="false">IF($A206="","",COUNTIFS(Avaliacoes!$A$2:$A$6000,$A206,Avaliacoes!$F$2:$F$6000,"II",Avaliacoes!$H$2:$H$6000,0,Avaliacoes!$G$2:$G$6000,"&lt;&gt;")*Dimensoes!$E$3)</f>
        <v/>
      </c>
      <c r="L206" s="0" t="str">
        <f aca="false">IF($A206="","",COUNTIFS(Avaliacoes!$A$2:$A$6000,$A206,Avaliacoes!$F$2:$F$6000,"III",Avaliacoes!$H$2:$H$6000,0,Avaliacoes!$G$2:$G$6000,"&lt;&gt;")*Dimensoes!$E$4)</f>
        <v/>
      </c>
      <c r="M206" s="0" t="str">
        <f aca="false">IF($A206="","",COUNTIFS(Avaliacoes!$A$2:$A$6000,$A206,Avaliacoes!$F$2:$F$6000,"IV",Avaliacoes!$H$2:$H$6000,0,Avaliacoes!$G$2:$G$6000,"&lt;&gt;")*Dimensoes!$E$5)</f>
        <v/>
      </c>
      <c r="N206" s="9" t="str">
        <f aca="false">IF($A206="","",IF(J206&gt;0,F206/J206,""))</f>
        <v/>
      </c>
      <c r="O206" s="9" t="str">
        <f aca="false">IF($A206="","",IF(K206&gt;0,G206/K206,""))</f>
        <v/>
      </c>
      <c r="P206" s="9" t="str">
        <f aca="false">IF($A206="","",IF(L206&gt;0,H206/L206,""))</f>
        <v/>
      </c>
      <c r="Q206" s="9" t="str">
        <f aca="false">IF($A206="","",IF(M206&gt;0,I206/M206,""))</f>
        <v/>
      </c>
      <c r="R206" s="17" t="str">
        <f aca="false">IF($A206="","",IF((IF(N206="",0,Dimensoes!$C$2)+IF(O206="",0,Dimensoes!$C$3)+IF(P206="",0,Dimensoes!$C$4)+IF(Q206="",0,Dimensoes!$C$5))=0,"",(IF(N206="",0,N206*Dimensoes!$C$2)+IF(O206="",0,O206*Dimensoes!$C$3)+IF(P206="",0,P206*Dimensoes!$C$4)+IF(Q206="",0,Q206*Dimensoes!$C$5))/(IF(N206="",0,Dimensoes!$C$2)+IF(O206="",0,Dimensoes!$C$3)+IF(P206="",0,Dimensoes!$C$4)+IF(Q206="",0,Dimensoes!$C$5))))</f>
        <v/>
      </c>
      <c r="S206" s="0" t="str">
        <f aca="false">IF(R206="","",IF(R206&lt;Faixas!$C$3,"vermelho",IF(R206&lt;Faixas!$C$4,"amarelo","verde")))</f>
        <v/>
      </c>
      <c r="T206" s="9" t="str">
        <f aca="false">IF($A206="","",IF(N206="",0,N206*Dimensoes!$C$2)+IF(O206="",0,O206*Dimensoes!$C$3)+IF(P206="",0,P206*Dimensoes!$C$4)+IF(Q206="",0,Q206*Dimensoes!$C$5))</f>
        <v/>
      </c>
      <c r="U206" s="0" t="str">
        <f aca="false">IF($A206="","",IF(OR(E206="concluida",E206="incompleta"),1,0))</f>
        <v/>
      </c>
    </row>
    <row r="207" customFormat="false" ht="15" hidden="false" customHeight="false" outlineLevel="0" collapsed="false">
      <c r="A207" s="0" t="str">
        <f aca="false">IF(Visitas!A207="","",Visitas!A207)</f>
        <v/>
      </c>
      <c r="B207" s="0" t="str">
        <f aca="false">IF($A207="","",Visitas!C207)</f>
        <v/>
      </c>
      <c r="C207" s="7" t="str">
        <f aca="false">IF($A207="","",Visitas!D207)</f>
        <v/>
      </c>
      <c r="D207" s="0" t="str">
        <f aca="false">IF($A207="","",Visitas!B207)</f>
        <v/>
      </c>
      <c r="E207" s="0" t="str">
        <f aca="false">IF($A207="","",Visitas!F207)</f>
        <v/>
      </c>
      <c r="F207" s="0" t="str">
        <f aca="false">IF($A207="","",SUMIFS(Avaliacoes!$G$2:$G$6000,Avaliacoes!$A$2:$A$6000,$A207,Avaliacoes!$F$2:$F$6000,"I",Avaliacoes!$H$2:$H$6000,0))</f>
        <v/>
      </c>
      <c r="G207" s="0" t="str">
        <f aca="false">IF($A207="","",SUMIFS(Avaliacoes!$G$2:$G$6000,Avaliacoes!$A$2:$A$6000,$A207,Avaliacoes!$F$2:$F$6000,"II",Avaliacoes!$H$2:$H$6000,0))</f>
        <v/>
      </c>
      <c r="H207" s="0" t="str">
        <f aca="false">IF($A207="","",SUMIFS(Avaliacoes!$G$2:$G$6000,Avaliacoes!$A$2:$A$6000,$A207,Avaliacoes!$F$2:$F$6000,"III",Avaliacoes!$H$2:$H$6000,0))</f>
        <v/>
      </c>
      <c r="I207" s="0" t="str">
        <f aca="false">IF($A207="","",SUMIFS(Avaliacoes!$G$2:$G$6000,Avaliacoes!$A$2:$A$6000,$A207,Avaliacoes!$F$2:$F$6000,"IV",Avaliacoes!$H$2:$H$6000,0))</f>
        <v/>
      </c>
      <c r="J207" s="0" t="str">
        <f aca="false">IF($A207="","",COUNTIFS(Avaliacoes!$A$2:$A$6000,$A207,Avaliacoes!$F$2:$F$6000,"I",Avaliacoes!$H$2:$H$6000,0,Avaliacoes!$G$2:$G$6000,"&lt;&gt;")*Dimensoes!$E$2)</f>
        <v/>
      </c>
      <c r="K207" s="0" t="str">
        <f aca="false">IF($A207="","",COUNTIFS(Avaliacoes!$A$2:$A$6000,$A207,Avaliacoes!$F$2:$F$6000,"II",Avaliacoes!$H$2:$H$6000,0,Avaliacoes!$G$2:$G$6000,"&lt;&gt;")*Dimensoes!$E$3)</f>
        <v/>
      </c>
      <c r="L207" s="0" t="str">
        <f aca="false">IF($A207="","",COUNTIFS(Avaliacoes!$A$2:$A$6000,$A207,Avaliacoes!$F$2:$F$6000,"III",Avaliacoes!$H$2:$H$6000,0,Avaliacoes!$G$2:$G$6000,"&lt;&gt;")*Dimensoes!$E$4)</f>
        <v/>
      </c>
      <c r="M207" s="0" t="str">
        <f aca="false">IF($A207="","",COUNTIFS(Avaliacoes!$A$2:$A$6000,$A207,Avaliacoes!$F$2:$F$6000,"IV",Avaliacoes!$H$2:$H$6000,0,Avaliacoes!$G$2:$G$6000,"&lt;&gt;")*Dimensoes!$E$5)</f>
        <v/>
      </c>
      <c r="N207" s="9" t="str">
        <f aca="false">IF($A207="","",IF(J207&gt;0,F207/J207,""))</f>
        <v/>
      </c>
      <c r="O207" s="9" t="str">
        <f aca="false">IF($A207="","",IF(K207&gt;0,G207/K207,""))</f>
        <v/>
      </c>
      <c r="P207" s="9" t="str">
        <f aca="false">IF($A207="","",IF(L207&gt;0,H207/L207,""))</f>
        <v/>
      </c>
      <c r="Q207" s="9" t="str">
        <f aca="false">IF($A207="","",IF(M207&gt;0,I207/M207,""))</f>
        <v/>
      </c>
      <c r="R207" s="17" t="str">
        <f aca="false">IF($A207="","",IF((IF(N207="",0,Dimensoes!$C$2)+IF(O207="",0,Dimensoes!$C$3)+IF(P207="",0,Dimensoes!$C$4)+IF(Q207="",0,Dimensoes!$C$5))=0,"",(IF(N207="",0,N207*Dimensoes!$C$2)+IF(O207="",0,O207*Dimensoes!$C$3)+IF(P207="",0,P207*Dimensoes!$C$4)+IF(Q207="",0,Q207*Dimensoes!$C$5))/(IF(N207="",0,Dimensoes!$C$2)+IF(O207="",0,Dimensoes!$C$3)+IF(P207="",0,Dimensoes!$C$4)+IF(Q207="",0,Dimensoes!$C$5))))</f>
        <v/>
      </c>
      <c r="S207" s="0" t="str">
        <f aca="false">IF(R207="","",IF(R207&lt;Faixas!$C$3,"vermelho",IF(R207&lt;Faixas!$C$4,"amarelo","verde")))</f>
        <v/>
      </c>
      <c r="T207" s="9" t="str">
        <f aca="false">IF($A207="","",IF(N207="",0,N207*Dimensoes!$C$2)+IF(O207="",0,O207*Dimensoes!$C$3)+IF(P207="",0,P207*Dimensoes!$C$4)+IF(Q207="",0,Q207*Dimensoes!$C$5))</f>
        <v/>
      </c>
      <c r="U207" s="0" t="str">
        <f aca="false">IF($A207="","",IF(OR(E207="concluida",E207="incompleta"),1,0))</f>
        <v/>
      </c>
    </row>
    <row r="208" customFormat="false" ht="15" hidden="false" customHeight="false" outlineLevel="0" collapsed="false">
      <c r="A208" s="0" t="str">
        <f aca="false">IF(Visitas!A208="","",Visitas!A208)</f>
        <v/>
      </c>
      <c r="B208" s="0" t="str">
        <f aca="false">IF($A208="","",Visitas!C208)</f>
        <v/>
      </c>
      <c r="C208" s="7" t="str">
        <f aca="false">IF($A208="","",Visitas!D208)</f>
        <v/>
      </c>
      <c r="D208" s="0" t="str">
        <f aca="false">IF($A208="","",Visitas!B208)</f>
        <v/>
      </c>
      <c r="E208" s="0" t="str">
        <f aca="false">IF($A208="","",Visitas!F208)</f>
        <v/>
      </c>
      <c r="F208" s="0" t="str">
        <f aca="false">IF($A208="","",SUMIFS(Avaliacoes!$G$2:$G$6000,Avaliacoes!$A$2:$A$6000,$A208,Avaliacoes!$F$2:$F$6000,"I",Avaliacoes!$H$2:$H$6000,0))</f>
        <v/>
      </c>
      <c r="G208" s="0" t="str">
        <f aca="false">IF($A208="","",SUMIFS(Avaliacoes!$G$2:$G$6000,Avaliacoes!$A$2:$A$6000,$A208,Avaliacoes!$F$2:$F$6000,"II",Avaliacoes!$H$2:$H$6000,0))</f>
        <v/>
      </c>
      <c r="H208" s="0" t="str">
        <f aca="false">IF($A208="","",SUMIFS(Avaliacoes!$G$2:$G$6000,Avaliacoes!$A$2:$A$6000,$A208,Avaliacoes!$F$2:$F$6000,"III",Avaliacoes!$H$2:$H$6000,0))</f>
        <v/>
      </c>
      <c r="I208" s="0" t="str">
        <f aca="false">IF($A208="","",SUMIFS(Avaliacoes!$G$2:$G$6000,Avaliacoes!$A$2:$A$6000,$A208,Avaliacoes!$F$2:$F$6000,"IV",Avaliacoes!$H$2:$H$6000,0))</f>
        <v/>
      </c>
      <c r="J208" s="0" t="str">
        <f aca="false">IF($A208="","",COUNTIFS(Avaliacoes!$A$2:$A$6000,$A208,Avaliacoes!$F$2:$F$6000,"I",Avaliacoes!$H$2:$H$6000,0,Avaliacoes!$G$2:$G$6000,"&lt;&gt;")*Dimensoes!$E$2)</f>
        <v/>
      </c>
      <c r="K208" s="0" t="str">
        <f aca="false">IF($A208="","",COUNTIFS(Avaliacoes!$A$2:$A$6000,$A208,Avaliacoes!$F$2:$F$6000,"II",Avaliacoes!$H$2:$H$6000,0,Avaliacoes!$G$2:$G$6000,"&lt;&gt;")*Dimensoes!$E$3)</f>
        <v/>
      </c>
      <c r="L208" s="0" t="str">
        <f aca="false">IF($A208="","",COUNTIFS(Avaliacoes!$A$2:$A$6000,$A208,Avaliacoes!$F$2:$F$6000,"III",Avaliacoes!$H$2:$H$6000,0,Avaliacoes!$G$2:$G$6000,"&lt;&gt;")*Dimensoes!$E$4)</f>
        <v/>
      </c>
      <c r="M208" s="0" t="str">
        <f aca="false">IF($A208="","",COUNTIFS(Avaliacoes!$A$2:$A$6000,$A208,Avaliacoes!$F$2:$F$6000,"IV",Avaliacoes!$H$2:$H$6000,0,Avaliacoes!$G$2:$G$6000,"&lt;&gt;")*Dimensoes!$E$5)</f>
        <v/>
      </c>
      <c r="N208" s="9" t="str">
        <f aca="false">IF($A208="","",IF(J208&gt;0,F208/J208,""))</f>
        <v/>
      </c>
      <c r="O208" s="9" t="str">
        <f aca="false">IF($A208="","",IF(K208&gt;0,G208/K208,""))</f>
        <v/>
      </c>
      <c r="P208" s="9" t="str">
        <f aca="false">IF($A208="","",IF(L208&gt;0,H208/L208,""))</f>
        <v/>
      </c>
      <c r="Q208" s="9" t="str">
        <f aca="false">IF($A208="","",IF(M208&gt;0,I208/M208,""))</f>
        <v/>
      </c>
      <c r="R208" s="17" t="str">
        <f aca="false">IF($A208="","",IF((IF(N208="",0,Dimensoes!$C$2)+IF(O208="",0,Dimensoes!$C$3)+IF(P208="",0,Dimensoes!$C$4)+IF(Q208="",0,Dimensoes!$C$5))=0,"",(IF(N208="",0,N208*Dimensoes!$C$2)+IF(O208="",0,O208*Dimensoes!$C$3)+IF(P208="",0,P208*Dimensoes!$C$4)+IF(Q208="",0,Q208*Dimensoes!$C$5))/(IF(N208="",0,Dimensoes!$C$2)+IF(O208="",0,Dimensoes!$C$3)+IF(P208="",0,Dimensoes!$C$4)+IF(Q208="",0,Dimensoes!$C$5))))</f>
        <v/>
      </c>
      <c r="S208" s="0" t="str">
        <f aca="false">IF(R208="","",IF(R208&lt;Faixas!$C$3,"vermelho",IF(R208&lt;Faixas!$C$4,"amarelo","verde")))</f>
        <v/>
      </c>
      <c r="T208" s="9" t="str">
        <f aca="false">IF($A208="","",IF(N208="",0,N208*Dimensoes!$C$2)+IF(O208="",0,O208*Dimensoes!$C$3)+IF(P208="",0,P208*Dimensoes!$C$4)+IF(Q208="",0,Q208*Dimensoes!$C$5))</f>
        <v/>
      </c>
      <c r="U208" s="0" t="str">
        <f aca="false">IF($A208="","",IF(OR(E208="concluida",E208="incompleta"),1,0))</f>
        <v/>
      </c>
    </row>
    <row r="209" customFormat="false" ht="15" hidden="false" customHeight="false" outlineLevel="0" collapsed="false">
      <c r="A209" s="0" t="str">
        <f aca="false">IF(Visitas!A209="","",Visitas!A209)</f>
        <v/>
      </c>
      <c r="B209" s="0" t="str">
        <f aca="false">IF($A209="","",Visitas!C209)</f>
        <v/>
      </c>
      <c r="C209" s="7" t="str">
        <f aca="false">IF($A209="","",Visitas!D209)</f>
        <v/>
      </c>
      <c r="D209" s="0" t="str">
        <f aca="false">IF($A209="","",Visitas!B209)</f>
        <v/>
      </c>
      <c r="E209" s="0" t="str">
        <f aca="false">IF($A209="","",Visitas!F209)</f>
        <v/>
      </c>
      <c r="F209" s="0" t="str">
        <f aca="false">IF($A209="","",SUMIFS(Avaliacoes!$G$2:$G$6000,Avaliacoes!$A$2:$A$6000,$A209,Avaliacoes!$F$2:$F$6000,"I",Avaliacoes!$H$2:$H$6000,0))</f>
        <v/>
      </c>
      <c r="G209" s="0" t="str">
        <f aca="false">IF($A209="","",SUMIFS(Avaliacoes!$G$2:$G$6000,Avaliacoes!$A$2:$A$6000,$A209,Avaliacoes!$F$2:$F$6000,"II",Avaliacoes!$H$2:$H$6000,0))</f>
        <v/>
      </c>
      <c r="H209" s="0" t="str">
        <f aca="false">IF($A209="","",SUMIFS(Avaliacoes!$G$2:$G$6000,Avaliacoes!$A$2:$A$6000,$A209,Avaliacoes!$F$2:$F$6000,"III",Avaliacoes!$H$2:$H$6000,0))</f>
        <v/>
      </c>
      <c r="I209" s="0" t="str">
        <f aca="false">IF($A209="","",SUMIFS(Avaliacoes!$G$2:$G$6000,Avaliacoes!$A$2:$A$6000,$A209,Avaliacoes!$F$2:$F$6000,"IV",Avaliacoes!$H$2:$H$6000,0))</f>
        <v/>
      </c>
      <c r="J209" s="0" t="str">
        <f aca="false">IF($A209="","",COUNTIFS(Avaliacoes!$A$2:$A$6000,$A209,Avaliacoes!$F$2:$F$6000,"I",Avaliacoes!$H$2:$H$6000,0,Avaliacoes!$G$2:$G$6000,"&lt;&gt;")*Dimensoes!$E$2)</f>
        <v/>
      </c>
      <c r="K209" s="0" t="str">
        <f aca="false">IF($A209="","",COUNTIFS(Avaliacoes!$A$2:$A$6000,$A209,Avaliacoes!$F$2:$F$6000,"II",Avaliacoes!$H$2:$H$6000,0,Avaliacoes!$G$2:$G$6000,"&lt;&gt;")*Dimensoes!$E$3)</f>
        <v/>
      </c>
      <c r="L209" s="0" t="str">
        <f aca="false">IF($A209="","",COUNTIFS(Avaliacoes!$A$2:$A$6000,$A209,Avaliacoes!$F$2:$F$6000,"III",Avaliacoes!$H$2:$H$6000,0,Avaliacoes!$G$2:$G$6000,"&lt;&gt;")*Dimensoes!$E$4)</f>
        <v/>
      </c>
      <c r="M209" s="0" t="str">
        <f aca="false">IF($A209="","",COUNTIFS(Avaliacoes!$A$2:$A$6000,$A209,Avaliacoes!$F$2:$F$6000,"IV",Avaliacoes!$H$2:$H$6000,0,Avaliacoes!$G$2:$G$6000,"&lt;&gt;")*Dimensoes!$E$5)</f>
        <v/>
      </c>
      <c r="N209" s="9" t="str">
        <f aca="false">IF($A209="","",IF(J209&gt;0,F209/J209,""))</f>
        <v/>
      </c>
      <c r="O209" s="9" t="str">
        <f aca="false">IF($A209="","",IF(K209&gt;0,G209/K209,""))</f>
        <v/>
      </c>
      <c r="P209" s="9" t="str">
        <f aca="false">IF($A209="","",IF(L209&gt;0,H209/L209,""))</f>
        <v/>
      </c>
      <c r="Q209" s="9" t="str">
        <f aca="false">IF($A209="","",IF(M209&gt;0,I209/M209,""))</f>
        <v/>
      </c>
      <c r="R209" s="17" t="str">
        <f aca="false">IF($A209="","",IF((IF(N209="",0,Dimensoes!$C$2)+IF(O209="",0,Dimensoes!$C$3)+IF(P209="",0,Dimensoes!$C$4)+IF(Q209="",0,Dimensoes!$C$5))=0,"",(IF(N209="",0,N209*Dimensoes!$C$2)+IF(O209="",0,O209*Dimensoes!$C$3)+IF(P209="",0,P209*Dimensoes!$C$4)+IF(Q209="",0,Q209*Dimensoes!$C$5))/(IF(N209="",0,Dimensoes!$C$2)+IF(O209="",0,Dimensoes!$C$3)+IF(P209="",0,Dimensoes!$C$4)+IF(Q209="",0,Dimensoes!$C$5))))</f>
        <v/>
      </c>
      <c r="S209" s="0" t="str">
        <f aca="false">IF(R209="","",IF(R209&lt;Faixas!$C$3,"vermelho",IF(R209&lt;Faixas!$C$4,"amarelo","verde")))</f>
        <v/>
      </c>
      <c r="T209" s="9" t="str">
        <f aca="false">IF($A209="","",IF(N209="",0,N209*Dimensoes!$C$2)+IF(O209="",0,O209*Dimensoes!$C$3)+IF(P209="",0,P209*Dimensoes!$C$4)+IF(Q209="",0,Q209*Dimensoes!$C$5))</f>
        <v/>
      </c>
      <c r="U209" s="0" t="str">
        <f aca="false">IF($A209="","",IF(OR(E209="concluida",E209="incompleta"),1,0))</f>
        <v/>
      </c>
    </row>
    <row r="210" customFormat="false" ht="15" hidden="false" customHeight="false" outlineLevel="0" collapsed="false">
      <c r="A210" s="0" t="str">
        <f aca="false">IF(Visitas!A210="","",Visitas!A210)</f>
        <v/>
      </c>
      <c r="B210" s="0" t="str">
        <f aca="false">IF($A210="","",Visitas!C210)</f>
        <v/>
      </c>
      <c r="C210" s="7" t="str">
        <f aca="false">IF($A210="","",Visitas!D210)</f>
        <v/>
      </c>
      <c r="D210" s="0" t="str">
        <f aca="false">IF($A210="","",Visitas!B210)</f>
        <v/>
      </c>
      <c r="E210" s="0" t="str">
        <f aca="false">IF($A210="","",Visitas!F210)</f>
        <v/>
      </c>
      <c r="F210" s="0" t="str">
        <f aca="false">IF($A210="","",SUMIFS(Avaliacoes!$G$2:$G$6000,Avaliacoes!$A$2:$A$6000,$A210,Avaliacoes!$F$2:$F$6000,"I",Avaliacoes!$H$2:$H$6000,0))</f>
        <v/>
      </c>
      <c r="G210" s="0" t="str">
        <f aca="false">IF($A210="","",SUMIFS(Avaliacoes!$G$2:$G$6000,Avaliacoes!$A$2:$A$6000,$A210,Avaliacoes!$F$2:$F$6000,"II",Avaliacoes!$H$2:$H$6000,0))</f>
        <v/>
      </c>
      <c r="H210" s="0" t="str">
        <f aca="false">IF($A210="","",SUMIFS(Avaliacoes!$G$2:$G$6000,Avaliacoes!$A$2:$A$6000,$A210,Avaliacoes!$F$2:$F$6000,"III",Avaliacoes!$H$2:$H$6000,0))</f>
        <v/>
      </c>
      <c r="I210" s="0" t="str">
        <f aca="false">IF($A210="","",SUMIFS(Avaliacoes!$G$2:$G$6000,Avaliacoes!$A$2:$A$6000,$A210,Avaliacoes!$F$2:$F$6000,"IV",Avaliacoes!$H$2:$H$6000,0))</f>
        <v/>
      </c>
      <c r="J210" s="0" t="str">
        <f aca="false">IF($A210="","",COUNTIFS(Avaliacoes!$A$2:$A$6000,$A210,Avaliacoes!$F$2:$F$6000,"I",Avaliacoes!$H$2:$H$6000,0,Avaliacoes!$G$2:$G$6000,"&lt;&gt;")*Dimensoes!$E$2)</f>
        <v/>
      </c>
      <c r="K210" s="0" t="str">
        <f aca="false">IF($A210="","",COUNTIFS(Avaliacoes!$A$2:$A$6000,$A210,Avaliacoes!$F$2:$F$6000,"II",Avaliacoes!$H$2:$H$6000,0,Avaliacoes!$G$2:$G$6000,"&lt;&gt;")*Dimensoes!$E$3)</f>
        <v/>
      </c>
      <c r="L210" s="0" t="str">
        <f aca="false">IF($A210="","",COUNTIFS(Avaliacoes!$A$2:$A$6000,$A210,Avaliacoes!$F$2:$F$6000,"III",Avaliacoes!$H$2:$H$6000,0,Avaliacoes!$G$2:$G$6000,"&lt;&gt;")*Dimensoes!$E$4)</f>
        <v/>
      </c>
      <c r="M210" s="0" t="str">
        <f aca="false">IF($A210="","",COUNTIFS(Avaliacoes!$A$2:$A$6000,$A210,Avaliacoes!$F$2:$F$6000,"IV",Avaliacoes!$H$2:$H$6000,0,Avaliacoes!$G$2:$G$6000,"&lt;&gt;")*Dimensoes!$E$5)</f>
        <v/>
      </c>
      <c r="N210" s="9" t="str">
        <f aca="false">IF($A210="","",IF(J210&gt;0,F210/J210,""))</f>
        <v/>
      </c>
      <c r="O210" s="9" t="str">
        <f aca="false">IF($A210="","",IF(K210&gt;0,G210/K210,""))</f>
        <v/>
      </c>
      <c r="P210" s="9" t="str">
        <f aca="false">IF($A210="","",IF(L210&gt;0,H210/L210,""))</f>
        <v/>
      </c>
      <c r="Q210" s="9" t="str">
        <f aca="false">IF($A210="","",IF(M210&gt;0,I210/M210,""))</f>
        <v/>
      </c>
      <c r="R210" s="17" t="str">
        <f aca="false">IF($A210="","",IF((IF(N210="",0,Dimensoes!$C$2)+IF(O210="",0,Dimensoes!$C$3)+IF(P210="",0,Dimensoes!$C$4)+IF(Q210="",0,Dimensoes!$C$5))=0,"",(IF(N210="",0,N210*Dimensoes!$C$2)+IF(O210="",0,O210*Dimensoes!$C$3)+IF(P210="",0,P210*Dimensoes!$C$4)+IF(Q210="",0,Q210*Dimensoes!$C$5))/(IF(N210="",0,Dimensoes!$C$2)+IF(O210="",0,Dimensoes!$C$3)+IF(P210="",0,Dimensoes!$C$4)+IF(Q210="",0,Dimensoes!$C$5))))</f>
        <v/>
      </c>
      <c r="S210" s="0" t="str">
        <f aca="false">IF(R210="","",IF(R210&lt;Faixas!$C$3,"vermelho",IF(R210&lt;Faixas!$C$4,"amarelo","verde")))</f>
        <v/>
      </c>
      <c r="T210" s="9" t="str">
        <f aca="false">IF($A210="","",IF(N210="",0,N210*Dimensoes!$C$2)+IF(O210="",0,O210*Dimensoes!$C$3)+IF(P210="",0,P210*Dimensoes!$C$4)+IF(Q210="",0,Q210*Dimensoes!$C$5))</f>
        <v/>
      </c>
      <c r="U210" s="0" t="str">
        <f aca="false">IF($A210="","",IF(OR(E210="concluida",E210="incompleta"),1,0))</f>
        <v/>
      </c>
    </row>
    <row r="211" customFormat="false" ht="15" hidden="false" customHeight="false" outlineLevel="0" collapsed="false">
      <c r="A211" s="0" t="str">
        <f aca="false">IF(Visitas!A211="","",Visitas!A211)</f>
        <v/>
      </c>
      <c r="B211" s="0" t="str">
        <f aca="false">IF($A211="","",Visitas!C211)</f>
        <v/>
      </c>
      <c r="C211" s="7" t="str">
        <f aca="false">IF($A211="","",Visitas!D211)</f>
        <v/>
      </c>
      <c r="D211" s="0" t="str">
        <f aca="false">IF($A211="","",Visitas!B211)</f>
        <v/>
      </c>
      <c r="E211" s="0" t="str">
        <f aca="false">IF($A211="","",Visitas!F211)</f>
        <v/>
      </c>
      <c r="F211" s="0" t="str">
        <f aca="false">IF($A211="","",SUMIFS(Avaliacoes!$G$2:$G$6000,Avaliacoes!$A$2:$A$6000,$A211,Avaliacoes!$F$2:$F$6000,"I",Avaliacoes!$H$2:$H$6000,0))</f>
        <v/>
      </c>
      <c r="G211" s="0" t="str">
        <f aca="false">IF($A211="","",SUMIFS(Avaliacoes!$G$2:$G$6000,Avaliacoes!$A$2:$A$6000,$A211,Avaliacoes!$F$2:$F$6000,"II",Avaliacoes!$H$2:$H$6000,0))</f>
        <v/>
      </c>
      <c r="H211" s="0" t="str">
        <f aca="false">IF($A211="","",SUMIFS(Avaliacoes!$G$2:$G$6000,Avaliacoes!$A$2:$A$6000,$A211,Avaliacoes!$F$2:$F$6000,"III",Avaliacoes!$H$2:$H$6000,0))</f>
        <v/>
      </c>
      <c r="I211" s="0" t="str">
        <f aca="false">IF($A211="","",SUMIFS(Avaliacoes!$G$2:$G$6000,Avaliacoes!$A$2:$A$6000,$A211,Avaliacoes!$F$2:$F$6000,"IV",Avaliacoes!$H$2:$H$6000,0))</f>
        <v/>
      </c>
      <c r="J211" s="0" t="str">
        <f aca="false">IF($A211="","",COUNTIFS(Avaliacoes!$A$2:$A$6000,$A211,Avaliacoes!$F$2:$F$6000,"I",Avaliacoes!$H$2:$H$6000,0,Avaliacoes!$G$2:$G$6000,"&lt;&gt;")*Dimensoes!$E$2)</f>
        <v/>
      </c>
      <c r="K211" s="0" t="str">
        <f aca="false">IF($A211="","",COUNTIFS(Avaliacoes!$A$2:$A$6000,$A211,Avaliacoes!$F$2:$F$6000,"II",Avaliacoes!$H$2:$H$6000,0,Avaliacoes!$G$2:$G$6000,"&lt;&gt;")*Dimensoes!$E$3)</f>
        <v/>
      </c>
      <c r="L211" s="0" t="str">
        <f aca="false">IF($A211="","",COUNTIFS(Avaliacoes!$A$2:$A$6000,$A211,Avaliacoes!$F$2:$F$6000,"III",Avaliacoes!$H$2:$H$6000,0,Avaliacoes!$G$2:$G$6000,"&lt;&gt;")*Dimensoes!$E$4)</f>
        <v/>
      </c>
      <c r="M211" s="0" t="str">
        <f aca="false">IF($A211="","",COUNTIFS(Avaliacoes!$A$2:$A$6000,$A211,Avaliacoes!$F$2:$F$6000,"IV",Avaliacoes!$H$2:$H$6000,0,Avaliacoes!$G$2:$G$6000,"&lt;&gt;")*Dimensoes!$E$5)</f>
        <v/>
      </c>
      <c r="N211" s="9" t="str">
        <f aca="false">IF($A211="","",IF(J211&gt;0,F211/J211,""))</f>
        <v/>
      </c>
      <c r="O211" s="9" t="str">
        <f aca="false">IF($A211="","",IF(K211&gt;0,G211/K211,""))</f>
        <v/>
      </c>
      <c r="P211" s="9" t="str">
        <f aca="false">IF($A211="","",IF(L211&gt;0,H211/L211,""))</f>
        <v/>
      </c>
      <c r="Q211" s="9" t="str">
        <f aca="false">IF($A211="","",IF(M211&gt;0,I211/M211,""))</f>
        <v/>
      </c>
      <c r="R211" s="17" t="str">
        <f aca="false">IF($A211="","",IF((IF(N211="",0,Dimensoes!$C$2)+IF(O211="",0,Dimensoes!$C$3)+IF(P211="",0,Dimensoes!$C$4)+IF(Q211="",0,Dimensoes!$C$5))=0,"",(IF(N211="",0,N211*Dimensoes!$C$2)+IF(O211="",0,O211*Dimensoes!$C$3)+IF(P211="",0,P211*Dimensoes!$C$4)+IF(Q211="",0,Q211*Dimensoes!$C$5))/(IF(N211="",0,Dimensoes!$C$2)+IF(O211="",0,Dimensoes!$C$3)+IF(P211="",0,Dimensoes!$C$4)+IF(Q211="",0,Dimensoes!$C$5))))</f>
        <v/>
      </c>
      <c r="S211" s="0" t="str">
        <f aca="false">IF(R211="","",IF(R211&lt;Faixas!$C$3,"vermelho",IF(R211&lt;Faixas!$C$4,"amarelo","verde")))</f>
        <v/>
      </c>
      <c r="T211" s="9" t="str">
        <f aca="false">IF($A211="","",IF(N211="",0,N211*Dimensoes!$C$2)+IF(O211="",0,O211*Dimensoes!$C$3)+IF(P211="",0,P211*Dimensoes!$C$4)+IF(Q211="",0,Q211*Dimensoes!$C$5))</f>
        <v/>
      </c>
      <c r="U211" s="0" t="str">
        <f aca="false">IF($A211="","",IF(OR(E211="concluida",E211="incompleta"),1,0))</f>
        <v/>
      </c>
    </row>
    <row r="212" customFormat="false" ht="15" hidden="false" customHeight="false" outlineLevel="0" collapsed="false">
      <c r="A212" s="0" t="str">
        <f aca="false">IF(Visitas!A212="","",Visitas!A212)</f>
        <v/>
      </c>
      <c r="B212" s="0" t="str">
        <f aca="false">IF($A212="","",Visitas!C212)</f>
        <v/>
      </c>
      <c r="C212" s="7" t="str">
        <f aca="false">IF($A212="","",Visitas!D212)</f>
        <v/>
      </c>
      <c r="D212" s="0" t="str">
        <f aca="false">IF($A212="","",Visitas!B212)</f>
        <v/>
      </c>
      <c r="E212" s="0" t="str">
        <f aca="false">IF($A212="","",Visitas!F212)</f>
        <v/>
      </c>
      <c r="F212" s="0" t="str">
        <f aca="false">IF($A212="","",SUMIFS(Avaliacoes!$G$2:$G$6000,Avaliacoes!$A$2:$A$6000,$A212,Avaliacoes!$F$2:$F$6000,"I",Avaliacoes!$H$2:$H$6000,0))</f>
        <v/>
      </c>
      <c r="G212" s="0" t="str">
        <f aca="false">IF($A212="","",SUMIFS(Avaliacoes!$G$2:$G$6000,Avaliacoes!$A$2:$A$6000,$A212,Avaliacoes!$F$2:$F$6000,"II",Avaliacoes!$H$2:$H$6000,0))</f>
        <v/>
      </c>
      <c r="H212" s="0" t="str">
        <f aca="false">IF($A212="","",SUMIFS(Avaliacoes!$G$2:$G$6000,Avaliacoes!$A$2:$A$6000,$A212,Avaliacoes!$F$2:$F$6000,"III",Avaliacoes!$H$2:$H$6000,0))</f>
        <v/>
      </c>
      <c r="I212" s="0" t="str">
        <f aca="false">IF($A212="","",SUMIFS(Avaliacoes!$G$2:$G$6000,Avaliacoes!$A$2:$A$6000,$A212,Avaliacoes!$F$2:$F$6000,"IV",Avaliacoes!$H$2:$H$6000,0))</f>
        <v/>
      </c>
      <c r="J212" s="0" t="str">
        <f aca="false">IF($A212="","",COUNTIFS(Avaliacoes!$A$2:$A$6000,$A212,Avaliacoes!$F$2:$F$6000,"I",Avaliacoes!$H$2:$H$6000,0,Avaliacoes!$G$2:$G$6000,"&lt;&gt;")*Dimensoes!$E$2)</f>
        <v/>
      </c>
      <c r="K212" s="0" t="str">
        <f aca="false">IF($A212="","",COUNTIFS(Avaliacoes!$A$2:$A$6000,$A212,Avaliacoes!$F$2:$F$6000,"II",Avaliacoes!$H$2:$H$6000,0,Avaliacoes!$G$2:$G$6000,"&lt;&gt;")*Dimensoes!$E$3)</f>
        <v/>
      </c>
      <c r="L212" s="0" t="str">
        <f aca="false">IF($A212="","",COUNTIFS(Avaliacoes!$A$2:$A$6000,$A212,Avaliacoes!$F$2:$F$6000,"III",Avaliacoes!$H$2:$H$6000,0,Avaliacoes!$G$2:$G$6000,"&lt;&gt;")*Dimensoes!$E$4)</f>
        <v/>
      </c>
      <c r="M212" s="0" t="str">
        <f aca="false">IF($A212="","",COUNTIFS(Avaliacoes!$A$2:$A$6000,$A212,Avaliacoes!$F$2:$F$6000,"IV",Avaliacoes!$H$2:$H$6000,0,Avaliacoes!$G$2:$G$6000,"&lt;&gt;")*Dimensoes!$E$5)</f>
        <v/>
      </c>
      <c r="N212" s="9" t="str">
        <f aca="false">IF($A212="","",IF(J212&gt;0,F212/J212,""))</f>
        <v/>
      </c>
      <c r="O212" s="9" t="str">
        <f aca="false">IF($A212="","",IF(K212&gt;0,G212/K212,""))</f>
        <v/>
      </c>
      <c r="P212" s="9" t="str">
        <f aca="false">IF($A212="","",IF(L212&gt;0,H212/L212,""))</f>
        <v/>
      </c>
      <c r="Q212" s="9" t="str">
        <f aca="false">IF($A212="","",IF(M212&gt;0,I212/M212,""))</f>
        <v/>
      </c>
      <c r="R212" s="17" t="str">
        <f aca="false">IF($A212="","",IF((IF(N212="",0,Dimensoes!$C$2)+IF(O212="",0,Dimensoes!$C$3)+IF(P212="",0,Dimensoes!$C$4)+IF(Q212="",0,Dimensoes!$C$5))=0,"",(IF(N212="",0,N212*Dimensoes!$C$2)+IF(O212="",0,O212*Dimensoes!$C$3)+IF(P212="",0,P212*Dimensoes!$C$4)+IF(Q212="",0,Q212*Dimensoes!$C$5))/(IF(N212="",0,Dimensoes!$C$2)+IF(O212="",0,Dimensoes!$C$3)+IF(P212="",0,Dimensoes!$C$4)+IF(Q212="",0,Dimensoes!$C$5))))</f>
        <v/>
      </c>
      <c r="S212" s="0" t="str">
        <f aca="false">IF(R212="","",IF(R212&lt;Faixas!$C$3,"vermelho",IF(R212&lt;Faixas!$C$4,"amarelo","verde")))</f>
        <v/>
      </c>
      <c r="T212" s="9" t="str">
        <f aca="false">IF($A212="","",IF(N212="",0,N212*Dimensoes!$C$2)+IF(O212="",0,O212*Dimensoes!$C$3)+IF(P212="",0,P212*Dimensoes!$C$4)+IF(Q212="",0,Q212*Dimensoes!$C$5))</f>
        <v/>
      </c>
      <c r="U212" s="0" t="str">
        <f aca="false">IF($A212="","",IF(OR(E212="concluida",E212="incompleta"),1,0))</f>
        <v/>
      </c>
    </row>
    <row r="213" customFormat="false" ht="15" hidden="false" customHeight="false" outlineLevel="0" collapsed="false">
      <c r="A213" s="0" t="str">
        <f aca="false">IF(Visitas!A213="","",Visitas!A213)</f>
        <v/>
      </c>
      <c r="B213" s="0" t="str">
        <f aca="false">IF($A213="","",Visitas!C213)</f>
        <v/>
      </c>
      <c r="C213" s="7" t="str">
        <f aca="false">IF($A213="","",Visitas!D213)</f>
        <v/>
      </c>
      <c r="D213" s="0" t="str">
        <f aca="false">IF($A213="","",Visitas!B213)</f>
        <v/>
      </c>
      <c r="E213" s="0" t="str">
        <f aca="false">IF($A213="","",Visitas!F213)</f>
        <v/>
      </c>
      <c r="F213" s="0" t="str">
        <f aca="false">IF($A213="","",SUMIFS(Avaliacoes!$G$2:$G$6000,Avaliacoes!$A$2:$A$6000,$A213,Avaliacoes!$F$2:$F$6000,"I",Avaliacoes!$H$2:$H$6000,0))</f>
        <v/>
      </c>
      <c r="G213" s="0" t="str">
        <f aca="false">IF($A213="","",SUMIFS(Avaliacoes!$G$2:$G$6000,Avaliacoes!$A$2:$A$6000,$A213,Avaliacoes!$F$2:$F$6000,"II",Avaliacoes!$H$2:$H$6000,0))</f>
        <v/>
      </c>
      <c r="H213" s="0" t="str">
        <f aca="false">IF($A213="","",SUMIFS(Avaliacoes!$G$2:$G$6000,Avaliacoes!$A$2:$A$6000,$A213,Avaliacoes!$F$2:$F$6000,"III",Avaliacoes!$H$2:$H$6000,0))</f>
        <v/>
      </c>
      <c r="I213" s="0" t="str">
        <f aca="false">IF($A213="","",SUMIFS(Avaliacoes!$G$2:$G$6000,Avaliacoes!$A$2:$A$6000,$A213,Avaliacoes!$F$2:$F$6000,"IV",Avaliacoes!$H$2:$H$6000,0))</f>
        <v/>
      </c>
      <c r="J213" s="0" t="str">
        <f aca="false">IF($A213="","",COUNTIFS(Avaliacoes!$A$2:$A$6000,$A213,Avaliacoes!$F$2:$F$6000,"I",Avaliacoes!$H$2:$H$6000,0,Avaliacoes!$G$2:$G$6000,"&lt;&gt;")*Dimensoes!$E$2)</f>
        <v/>
      </c>
      <c r="K213" s="0" t="str">
        <f aca="false">IF($A213="","",COUNTIFS(Avaliacoes!$A$2:$A$6000,$A213,Avaliacoes!$F$2:$F$6000,"II",Avaliacoes!$H$2:$H$6000,0,Avaliacoes!$G$2:$G$6000,"&lt;&gt;")*Dimensoes!$E$3)</f>
        <v/>
      </c>
      <c r="L213" s="0" t="str">
        <f aca="false">IF($A213="","",COUNTIFS(Avaliacoes!$A$2:$A$6000,$A213,Avaliacoes!$F$2:$F$6000,"III",Avaliacoes!$H$2:$H$6000,0,Avaliacoes!$G$2:$G$6000,"&lt;&gt;")*Dimensoes!$E$4)</f>
        <v/>
      </c>
      <c r="M213" s="0" t="str">
        <f aca="false">IF($A213="","",COUNTIFS(Avaliacoes!$A$2:$A$6000,$A213,Avaliacoes!$F$2:$F$6000,"IV",Avaliacoes!$H$2:$H$6000,0,Avaliacoes!$G$2:$G$6000,"&lt;&gt;")*Dimensoes!$E$5)</f>
        <v/>
      </c>
      <c r="N213" s="9" t="str">
        <f aca="false">IF($A213="","",IF(J213&gt;0,F213/J213,""))</f>
        <v/>
      </c>
      <c r="O213" s="9" t="str">
        <f aca="false">IF($A213="","",IF(K213&gt;0,G213/K213,""))</f>
        <v/>
      </c>
      <c r="P213" s="9" t="str">
        <f aca="false">IF($A213="","",IF(L213&gt;0,H213/L213,""))</f>
        <v/>
      </c>
      <c r="Q213" s="9" t="str">
        <f aca="false">IF($A213="","",IF(M213&gt;0,I213/M213,""))</f>
        <v/>
      </c>
      <c r="R213" s="17" t="str">
        <f aca="false">IF($A213="","",IF((IF(N213="",0,Dimensoes!$C$2)+IF(O213="",0,Dimensoes!$C$3)+IF(P213="",0,Dimensoes!$C$4)+IF(Q213="",0,Dimensoes!$C$5))=0,"",(IF(N213="",0,N213*Dimensoes!$C$2)+IF(O213="",0,O213*Dimensoes!$C$3)+IF(P213="",0,P213*Dimensoes!$C$4)+IF(Q213="",0,Q213*Dimensoes!$C$5))/(IF(N213="",0,Dimensoes!$C$2)+IF(O213="",0,Dimensoes!$C$3)+IF(P213="",0,Dimensoes!$C$4)+IF(Q213="",0,Dimensoes!$C$5))))</f>
        <v/>
      </c>
      <c r="S213" s="0" t="str">
        <f aca="false">IF(R213="","",IF(R213&lt;Faixas!$C$3,"vermelho",IF(R213&lt;Faixas!$C$4,"amarelo","verde")))</f>
        <v/>
      </c>
      <c r="T213" s="9" t="str">
        <f aca="false">IF($A213="","",IF(N213="",0,N213*Dimensoes!$C$2)+IF(O213="",0,O213*Dimensoes!$C$3)+IF(P213="",0,P213*Dimensoes!$C$4)+IF(Q213="",0,Q213*Dimensoes!$C$5))</f>
        <v/>
      </c>
      <c r="U213" s="0" t="str">
        <f aca="false">IF($A213="","",IF(OR(E213="concluida",E213="incompleta"),1,0))</f>
        <v/>
      </c>
    </row>
    <row r="214" customFormat="false" ht="15" hidden="false" customHeight="false" outlineLevel="0" collapsed="false">
      <c r="A214" s="0" t="str">
        <f aca="false">IF(Visitas!A214="","",Visitas!A214)</f>
        <v/>
      </c>
      <c r="B214" s="0" t="str">
        <f aca="false">IF($A214="","",Visitas!C214)</f>
        <v/>
      </c>
      <c r="C214" s="7" t="str">
        <f aca="false">IF($A214="","",Visitas!D214)</f>
        <v/>
      </c>
      <c r="D214" s="0" t="str">
        <f aca="false">IF($A214="","",Visitas!B214)</f>
        <v/>
      </c>
      <c r="E214" s="0" t="str">
        <f aca="false">IF($A214="","",Visitas!F214)</f>
        <v/>
      </c>
      <c r="F214" s="0" t="str">
        <f aca="false">IF($A214="","",SUMIFS(Avaliacoes!$G$2:$G$6000,Avaliacoes!$A$2:$A$6000,$A214,Avaliacoes!$F$2:$F$6000,"I",Avaliacoes!$H$2:$H$6000,0))</f>
        <v/>
      </c>
      <c r="G214" s="0" t="str">
        <f aca="false">IF($A214="","",SUMIFS(Avaliacoes!$G$2:$G$6000,Avaliacoes!$A$2:$A$6000,$A214,Avaliacoes!$F$2:$F$6000,"II",Avaliacoes!$H$2:$H$6000,0))</f>
        <v/>
      </c>
      <c r="H214" s="0" t="str">
        <f aca="false">IF($A214="","",SUMIFS(Avaliacoes!$G$2:$G$6000,Avaliacoes!$A$2:$A$6000,$A214,Avaliacoes!$F$2:$F$6000,"III",Avaliacoes!$H$2:$H$6000,0))</f>
        <v/>
      </c>
      <c r="I214" s="0" t="str">
        <f aca="false">IF($A214="","",SUMIFS(Avaliacoes!$G$2:$G$6000,Avaliacoes!$A$2:$A$6000,$A214,Avaliacoes!$F$2:$F$6000,"IV",Avaliacoes!$H$2:$H$6000,0))</f>
        <v/>
      </c>
      <c r="J214" s="0" t="str">
        <f aca="false">IF($A214="","",COUNTIFS(Avaliacoes!$A$2:$A$6000,$A214,Avaliacoes!$F$2:$F$6000,"I",Avaliacoes!$H$2:$H$6000,0,Avaliacoes!$G$2:$G$6000,"&lt;&gt;")*Dimensoes!$E$2)</f>
        <v/>
      </c>
      <c r="K214" s="0" t="str">
        <f aca="false">IF($A214="","",COUNTIFS(Avaliacoes!$A$2:$A$6000,$A214,Avaliacoes!$F$2:$F$6000,"II",Avaliacoes!$H$2:$H$6000,0,Avaliacoes!$G$2:$G$6000,"&lt;&gt;")*Dimensoes!$E$3)</f>
        <v/>
      </c>
      <c r="L214" s="0" t="str">
        <f aca="false">IF($A214="","",COUNTIFS(Avaliacoes!$A$2:$A$6000,$A214,Avaliacoes!$F$2:$F$6000,"III",Avaliacoes!$H$2:$H$6000,0,Avaliacoes!$G$2:$G$6000,"&lt;&gt;")*Dimensoes!$E$4)</f>
        <v/>
      </c>
      <c r="M214" s="0" t="str">
        <f aca="false">IF($A214="","",COUNTIFS(Avaliacoes!$A$2:$A$6000,$A214,Avaliacoes!$F$2:$F$6000,"IV",Avaliacoes!$H$2:$H$6000,0,Avaliacoes!$G$2:$G$6000,"&lt;&gt;")*Dimensoes!$E$5)</f>
        <v/>
      </c>
      <c r="N214" s="9" t="str">
        <f aca="false">IF($A214="","",IF(J214&gt;0,F214/J214,""))</f>
        <v/>
      </c>
      <c r="O214" s="9" t="str">
        <f aca="false">IF($A214="","",IF(K214&gt;0,G214/K214,""))</f>
        <v/>
      </c>
      <c r="P214" s="9" t="str">
        <f aca="false">IF($A214="","",IF(L214&gt;0,H214/L214,""))</f>
        <v/>
      </c>
      <c r="Q214" s="9" t="str">
        <f aca="false">IF($A214="","",IF(M214&gt;0,I214/M214,""))</f>
        <v/>
      </c>
      <c r="R214" s="17" t="str">
        <f aca="false">IF($A214="","",IF((IF(N214="",0,Dimensoes!$C$2)+IF(O214="",0,Dimensoes!$C$3)+IF(P214="",0,Dimensoes!$C$4)+IF(Q214="",0,Dimensoes!$C$5))=0,"",(IF(N214="",0,N214*Dimensoes!$C$2)+IF(O214="",0,O214*Dimensoes!$C$3)+IF(P214="",0,P214*Dimensoes!$C$4)+IF(Q214="",0,Q214*Dimensoes!$C$5))/(IF(N214="",0,Dimensoes!$C$2)+IF(O214="",0,Dimensoes!$C$3)+IF(P214="",0,Dimensoes!$C$4)+IF(Q214="",0,Dimensoes!$C$5))))</f>
        <v/>
      </c>
      <c r="S214" s="0" t="str">
        <f aca="false">IF(R214="","",IF(R214&lt;Faixas!$C$3,"vermelho",IF(R214&lt;Faixas!$C$4,"amarelo","verde")))</f>
        <v/>
      </c>
      <c r="T214" s="9" t="str">
        <f aca="false">IF($A214="","",IF(N214="",0,N214*Dimensoes!$C$2)+IF(O214="",0,O214*Dimensoes!$C$3)+IF(P214="",0,P214*Dimensoes!$C$4)+IF(Q214="",0,Q214*Dimensoes!$C$5))</f>
        <v/>
      </c>
      <c r="U214" s="0" t="str">
        <f aca="false">IF($A214="","",IF(OR(E214="concluida",E214="incompleta"),1,0))</f>
        <v/>
      </c>
    </row>
    <row r="215" customFormat="false" ht="15" hidden="false" customHeight="false" outlineLevel="0" collapsed="false">
      <c r="A215" s="0" t="str">
        <f aca="false">IF(Visitas!A215="","",Visitas!A215)</f>
        <v/>
      </c>
      <c r="B215" s="0" t="str">
        <f aca="false">IF($A215="","",Visitas!C215)</f>
        <v/>
      </c>
      <c r="C215" s="7" t="str">
        <f aca="false">IF($A215="","",Visitas!D215)</f>
        <v/>
      </c>
      <c r="D215" s="0" t="str">
        <f aca="false">IF($A215="","",Visitas!B215)</f>
        <v/>
      </c>
      <c r="E215" s="0" t="str">
        <f aca="false">IF($A215="","",Visitas!F215)</f>
        <v/>
      </c>
      <c r="F215" s="0" t="str">
        <f aca="false">IF($A215="","",SUMIFS(Avaliacoes!$G$2:$G$6000,Avaliacoes!$A$2:$A$6000,$A215,Avaliacoes!$F$2:$F$6000,"I",Avaliacoes!$H$2:$H$6000,0))</f>
        <v/>
      </c>
      <c r="G215" s="0" t="str">
        <f aca="false">IF($A215="","",SUMIFS(Avaliacoes!$G$2:$G$6000,Avaliacoes!$A$2:$A$6000,$A215,Avaliacoes!$F$2:$F$6000,"II",Avaliacoes!$H$2:$H$6000,0))</f>
        <v/>
      </c>
      <c r="H215" s="0" t="str">
        <f aca="false">IF($A215="","",SUMIFS(Avaliacoes!$G$2:$G$6000,Avaliacoes!$A$2:$A$6000,$A215,Avaliacoes!$F$2:$F$6000,"III",Avaliacoes!$H$2:$H$6000,0))</f>
        <v/>
      </c>
      <c r="I215" s="0" t="str">
        <f aca="false">IF($A215="","",SUMIFS(Avaliacoes!$G$2:$G$6000,Avaliacoes!$A$2:$A$6000,$A215,Avaliacoes!$F$2:$F$6000,"IV",Avaliacoes!$H$2:$H$6000,0))</f>
        <v/>
      </c>
      <c r="J215" s="0" t="str">
        <f aca="false">IF($A215="","",COUNTIFS(Avaliacoes!$A$2:$A$6000,$A215,Avaliacoes!$F$2:$F$6000,"I",Avaliacoes!$H$2:$H$6000,0,Avaliacoes!$G$2:$G$6000,"&lt;&gt;")*Dimensoes!$E$2)</f>
        <v/>
      </c>
      <c r="K215" s="0" t="str">
        <f aca="false">IF($A215="","",COUNTIFS(Avaliacoes!$A$2:$A$6000,$A215,Avaliacoes!$F$2:$F$6000,"II",Avaliacoes!$H$2:$H$6000,0,Avaliacoes!$G$2:$G$6000,"&lt;&gt;")*Dimensoes!$E$3)</f>
        <v/>
      </c>
      <c r="L215" s="0" t="str">
        <f aca="false">IF($A215="","",COUNTIFS(Avaliacoes!$A$2:$A$6000,$A215,Avaliacoes!$F$2:$F$6000,"III",Avaliacoes!$H$2:$H$6000,0,Avaliacoes!$G$2:$G$6000,"&lt;&gt;")*Dimensoes!$E$4)</f>
        <v/>
      </c>
      <c r="M215" s="0" t="str">
        <f aca="false">IF($A215="","",COUNTIFS(Avaliacoes!$A$2:$A$6000,$A215,Avaliacoes!$F$2:$F$6000,"IV",Avaliacoes!$H$2:$H$6000,0,Avaliacoes!$G$2:$G$6000,"&lt;&gt;")*Dimensoes!$E$5)</f>
        <v/>
      </c>
      <c r="N215" s="9" t="str">
        <f aca="false">IF($A215="","",IF(J215&gt;0,F215/J215,""))</f>
        <v/>
      </c>
      <c r="O215" s="9" t="str">
        <f aca="false">IF($A215="","",IF(K215&gt;0,G215/K215,""))</f>
        <v/>
      </c>
      <c r="P215" s="9" t="str">
        <f aca="false">IF($A215="","",IF(L215&gt;0,H215/L215,""))</f>
        <v/>
      </c>
      <c r="Q215" s="9" t="str">
        <f aca="false">IF($A215="","",IF(M215&gt;0,I215/M215,""))</f>
        <v/>
      </c>
      <c r="R215" s="17" t="str">
        <f aca="false">IF($A215="","",IF((IF(N215="",0,Dimensoes!$C$2)+IF(O215="",0,Dimensoes!$C$3)+IF(P215="",0,Dimensoes!$C$4)+IF(Q215="",0,Dimensoes!$C$5))=0,"",(IF(N215="",0,N215*Dimensoes!$C$2)+IF(O215="",0,O215*Dimensoes!$C$3)+IF(P215="",0,P215*Dimensoes!$C$4)+IF(Q215="",0,Q215*Dimensoes!$C$5))/(IF(N215="",0,Dimensoes!$C$2)+IF(O215="",0,Dimensoes!$C$3)+IF(P215="",0,Dimensoes!$C$4)+IF(Q215="",0,Dimensoes!$C$5))))</f>
        <v/>
      </c>
      <c r="S215" s="0" t="str">
        <f aca="false">IF(R215="","",IF(R215&lt;Faixas!$C$3,"vermelho",IF(R215&lt;Faixas!$C$4,"amarelo","verde")))</f>
        <v/>
      </c>
      <c r="T215" s="9" t="str">
        <f aca="false">IF($A215="","",IF(N215="",0,N215*Dimensoes!$C$2)+IF(O215="",0,O215*Dimensoes!$C$3)+IF(P215="",0,P215*Dimensoes!$C$4)+IF(Q215="",0,Q215*Dimensoes!$C$5))</f>
        <v/>
      </c>
      <c r="U215" s="0" t="str">
        <f aca="false">IF($A215="","",IF(OR(E215="concluida",E215="incompleta"),1,0))</f>
        <v/>
      </c>
    </row>
    <row r="216" customFormat="false" ht="15" hidden="false" customHeight="false" outlineLevel="0" collapsed="false">
      <c r="A216" s="0" t="str">
        <f aca="false">IF(Visitas!A216="","",Visitas!A216)</f>
        <v/>
      </c>
      <c r="B216" s="0" t="str">
        <f aca="false">IF($A216="","",Visitas!C216)</f>
        <v/>
      </c>
      <c r="C216" s="7" t="str">
        <f aca="false">IF($A216="","",Visitas!D216)</f>
        <v/>
      </c>
      <c r="D216" s="0" t="str">
        <f aca="false">IF($A216="","",Visitas!B216)</f>
        <v/>
      </c>
      <c r="E216" s="0" t="str">
        <f aca="false">IF($A216="","",Visitas!F216)</f>
        <v/>
      </c>
      <c r="F216" s="0" t="str">
        <f aca="false">IF($A216="","",SUMIFS(Avaliacoes!$G$2:$G$6000,Avaliacoes!$A$2:$A$6000,$A216,Avaliacoes!$F$2:$F$6000,"I",Avaliacoes!$H$2:$H$6000,0))</f>
        <v/>
      </c>
      <c r="G216" s="0" t="str">
        <f aca="false">IF($A216="","",SUMIFS(Avaliacoes!$G$2:$G$6000,Avaliacoes!$A$2:$A$6000,$A216,Avaliacoes!$F$2:$F$6000,"II",Avaliacoes!$H$2:$H$6000,0))</f>
        <v/>
      </c>
      <c r="H216" s="0" t="str">
        <f aca="false">IF($A216="","",SUMIFS(Avaliacoes!$G$2:$G$6000,Avaliacoes!$A$2:$A$6000,$A216,Avaliacoes!$F$2:$F$6000,"III",Avaliacoes!$H$2:$H$6000,0))</f>
        <v/>
      </c>
      <c r="I216" s="0" t="str">
        <f aca="false">IF($A216="","",SUMIFS(Avaliacoes!$G$2:$G$6000,Avaliacoes!$A$2:$A$6000,$A216,Avaliacoes!$F$2:$F$6000,"IV",Avaliacoes!$H$2:$H$6000,0))</f>
        <v/>
      </c>
      <c r="J216" s="0" t="str">
        <f aca="false">IF($A216="","",COUNTIFS(Avaliacoes!$A$2:$A$6000,$A216,Avaliacoes!$F$2:$F$6000,"I",Avaliacoes!$H$2:$H$6000,0,Avaliacoes!$G$2:$G$6000,"&lt;&gt;")*Dimensoes!$E$2)</f>
        <v/>
      </c>
      <c r="K216" s="0" t="str">
        <f aca="false">IF($A216="","",COUNTIFS(Avaliacoes!$A$2:$A$6000,$A216,Avaliacoes!$F$2:$F$6000,"II",Avaliacoes!$H$2:$H$6000,0,Avaliacoes!$G$2:$G$6000,"&lt;&gt;")*Dimensoes!$E$3)</f>
        <v/>
      </c>
      <c r="L216" s="0" t="str">
        <f aca="false">IF($A216="","",COUNTIFS(Avaliacoes!$A$2:$A$6000,$A216,Avaliacoes!$F$2:$F$6000,"III",Avaliacoes!$H$2:$H$6000,0,Avaliacoes!$G$2:$G$6000,"&lt;&gt;")*Dimensoes!$E$4)</f>
        <v/>
      </c>
      <c r="M216" s="0" t="str">
        <f aca="false">IF($A216="","",COUNTIFS(Avaliacoes!$A$2:$A$6000,$A216,Avaliacoes!$F$2:$F$6000,"IV",Avaliacoes!$H$2:$H$6000,0,Avaliacoes!$G$2:$G$6000,"&lt;&gt;")*Dimensoes!$E$5)</f>
        <v/>
      </c>
      <c r="N216" s="9" t="str">
        <f aca="false">IF($A216="","",IF(J216&gt;0,F216/J216,""))</f>
        <v/>
      </c>
      <c r="O216" s="9" t="str">
        <f aca="false">IF($A216="","",IF(K216&gt;0,G216/K216,""))</f>
        <v/>
      </c>
      <c r="P216" s="9" t="str">
        <f aca="false">IF($A216="","",IF(L216&gt;0,H216/L216,""))</f>
        <v/>
      </c>
      <c r="Q216" s="9" t="str">
        <f aca="false">IF($A216="","",IF(M216&gt;0,I216/M216,""))</f>
        <v/>
      </c>
      <c r="R216" s="17" t="str">
        <f aca="false">IF($A216="","",IF((IF(N216="",0,Dimensoes!$C$2)+IF(O216="",0,Dimensoes!$C$3)+IF(P216="",0,Dimensoes!$C$4)+IF(Q216="",0,Dimensoes!$C$5))=0,"",(IF(N216="",0,N216*Dimensoes!$C$2)+IF(O216="",0,O216*Dimensoes!$C$3)+IF(P216="",0,P216*Dimensoes!$C$4)+IF(Q216="",0,Q216*Dimensoes!$C$5))/(IF(N216="",0,Dimensoes!$C$2)+IF(O216="",0,Dimensoes!$C$3)+IF(P216="",0,Dimensoes!$C$4)+IF(Q216="",0,Dimensoes!$C$5))))</f>
        <v/>
      </c>
      <c r="S216" s="0" t="str">
        <f aca="false">IF(R216="","",IF(R216&lt;Faixas!$C$3,"vermelho",IF(R216&lt;Faixas!$C$4,"amarelo","verde")))</f>
        <v/>
      </c>
      <c r="T216" s="9" t="str">
        <f aca="false">IF($A216="","",IF(N216="",0,N216*Dimensoes!$C$2)+IF(O216="",0,O216*Dimensoes!$C$3)+IF(P216="",0,P216*Dimensoes!$C$4)+IF(Q216="",0,Q216*Dimensoes!$C$5))</f>
        <v/>
      </c>
      <c r="U216" s="0" t="str">
        <f aca="false">IF($A216="","",IF(OR(E216="concluida",E216="incompleta"),1,0))</f>
        <v/>
      </c>
    </row>
    <row r="217" customFormat="false" ht="15" hidden="false" customHeight="false" outlineLevel="0" collapsed="false">
      <c r="A217" s="0" t="str">
        <f aca="false">IF(Visitas!A217="","",Visitas!A217)</f>
        <v/>
      </c>
      <c r="B217" s="0" t="str">
        <f aca="false">IF($A217="","",Visitas!C217)</f>
        <v/>
      </c>
      <c r="C217" s="7" t="str">
        <f aca="false">IF($A217="","",Visitas!D217)</f>
        <v/>
      </c>
      <c r="D217" s="0" t="str">
        <f aca="false">IF($A217="","",Visitas!B217)</f>
        <v/>
      </c>
      <c r="E217" s="0" t="str">
        <f aca="false">IF($A217="","",Visitas!F217)</f>
        <v/>
      </c>
      <c r="F217" s="0" t="str">
        <f aca="false">IF($A217="","",SUMIFS(Avaliacoes!$G$2:$G$6000,Avaliacoes!$A$2:$A$6000,$A217,Avaliacoes!$F$2:$F$6000,"I",Avaliacoes!$H$2:$H$6000,0))</f>
        <v/>
      </c>
      <c r="G217" s="0" t="str">
        <f aca="false">IF($A217="","",SUMIFS(Avaliacoes!$G$2:$G$6000,Avaliacoes!$A$2:$A$6000,$A217,Avaliacoes!$F$2:$F$6000,"II",Avaliacoes!$H$2:$H$6000,0))</f>
        <v/>
      </c>
      <c r="H217" s="0" t="str">
        <f aca="false">IF($A217="","",SUMIFS(Avaliacoes!$G$2:$G$6000,Avaliacoes!$A$2:$A$6000,$A217,Avaliacoes!$F$2:$F$6000,"III",Avaliacoes!$H$2:$H$6000,0))</f>
        <v/>
      </c>
      <c r="I217" s="0" t="str">
        <f aca="false">IF($A217="","",SUMIFS(Avaliacoes!$G$2:$G$6000,Avaliacoes!$A$2:$A$6000,$A217,Avaliacoes!$F$2:$F$6000,"IV",Avaliacoes!$H$2:$H$6000,0))</f>
        <v/>
      </c>
      <c r="J217" s="0" t="str">
        <f aca="false">IF($A217="","",COUNTIFS(Avaliacoes!$A$2:$A$6000,$A217,Avaliacoes!$F$2:$F$6000,"I",Avaliacoes!$H$2:$H$6000,0,Avaliacoes!$G$2:$G$6000,"&lt;&gt;")*Dimensoes!$E$2)</f>
        <v/>
      </c>
      <c r="K217" s="0" t="str">
        <f aca="false">IF($A217="","",COUNTIFS(Avaliacoes!$A$2:$A$6000,$A217,Avaliacoes!$F$2:$F$6000,"II",Avaliacoes!$H$2:$H$6000,0,Avaliacoes!$G$2:$G$6000,"&lt;&gt;")*Dimensoes!$E$3)</f>
        <v/>
      </c>
      <c r="L217" s="0" t="str">
        <f aca="false">IF($A217="","",COUNTIFS(Avaliacoes!$A$2:$A$6000,$A217,Avaliacoes!$F$2:$F$6000,"III",Avaliacoes!$H$2:$H$6000,0,Avaliacoes!$G$2:$G$6000,"&lt;&gt;")*Dimensoes!$E$4)</f>
        <v/>
      </c>
      <c r="M217" s="0" t="str">
        <f aca="false">IF($A217="","",COUNTIFS(Avaliacoes!$A$2:$A$6000,$A217,Avaliacoes!$F$2:$F$6000,"IV",Avaliacoes!$H$2:$H$6000,0,Avaliacoes!$G$2:$G$6000,"&lt;&gt;")*Dimensoes!$E$5)</f>
        <v/>
      </c>
      <c r="N217" s="9" t="str">
        <f aca="false">IF($A217="","",IF(J217&gt;0,F217/J217,""))</f>
        <v/>
      </c>
      <c r="O217" s="9" t="str">
        <f aca="false">IF($A217="","",IF(K217&gt;0,G217/K217,""))</f>
        <v/>
      </c>
      <c r="P217" s="9" t="str">
        <f aca="false">IF($A217="","",IF(L217&gt;0,H217/L217,""))</f>
        <v/>
      </c>
      <c r="Q217" s="9" t="str">
        <f aca="false">IF($A217="","",IF(M217&gt;0,I217/M217,""))</f>
        <v/>
      </c>
      <c r="R217" s="17" t="str">
        <f aca="false">IF($A217="","",IF((IF(N217="",0,Dimensoes!$C$2)+IF(O217="",0,Dimensoes!$C$3)+IF(P217="",0,Dimensoes!$C$4)+IF(Q217="",0,Dimensoes!$C$5))=0,"",(IF(N217="",0,N217*Dimensoes!$C$2)+IF(O217="",0,O217*Dimensoes!$C$3)+IF(P217="",0,P217*Dimensoes!$C$4)+IF(Q217="",0,Q217*Dimensoes!$C$5))/(IF(N217="",0,Dimensoes!$C$2)+IF(O217="",0,Dimensoes!$C$3)+IF(P217="",0,Dimensoes!$C$4)+IF(Q217="",0,Dimensoes!$C$5))))</f>
        <v/>
      </c>
      <c r="S217" s="0" t="str">
        <f aca="false">IF(R217="","",IF(R217&lt;Faixas!$C$3,"vermelho",IF(R217&lt;Faixas!$C$4,"amarelo","verde")))</f>
        <v/>
      </c>
      <c r="T217" s="9" t="str">
        <f aca="false">IF($A217="","",IF(N217="",0,N217*Dimensoes!$C$2)+IF(O217="",0,O217*Dimensoes!$C$3)+IF(P217="",0,P217*Dimensoes!$C$4)+IF(Q217="",0,Q217*Dimensoes!$C$5))</f>
        <v/>
      </c>
      <c r="U217" s="0" t="str">
        <f aca="false">IF($A217="","",IF(OR(E217="concluida",E217="incompleta"),1,0))</f>
        <v/>
      </c>
    </row>
    <row r="218" customFormat="false" ht="15" hidden="false" customHeight="false" outlineLevel="0" collapsed="false">
      <c r="A218" s="0" t="str">
        <f aca="false">IF(Visitas!A218="","",Visitas!A218)</f>
        <v/>
      </c>
      <c r="B218" s="0" t="str">
        <f aca="false">IF($A218="","",Visitas!C218)</f>
        <v/>
      </c>
      <c r="C218" s="7" t="str">
        <f aca="false">IF($A218="","",Visitas!D218)</f>
        <v/>
      </c>
      <c r="D218" s="0" t="str">
        <f aca="false">IF($A218="","",Visitas!B218)</f>
        <v/>
      </c>
      <c r="E218" s="0" t="str">
        <f aca="false">IF($A218="","",Visitas!F218)</f>
        <v/>
      </c>
      <c r="F218" s="0" t="str">
        <f aca="false">IF($A218="","",SUMIFS(Avaliacoes!$G$2:$G$6000,Avaliacoes!$A$2:$A$6000,$A218,Avaliacoes!$F$2:$F$6000,"I",Avaliacoes!$H$2:$H$6000,0))</f>
        <v/>
      </c>
      <c r="G218" s="0" t="str">
        <f aca="false">IF($A218="","",SUMIFS(Avaliacoes!$G$2:$G$6000,Avaliacoes!$A$2:$A$6000,$A218,Avaliacoes!$F$2:$F$6000,"II",Avaliacoes!$H$2:$H$6000,0))</f>
        <v/>
      </c>
      <c r="H218" s="0" t="str">
        <f aca="false">IF($A218="","",SUMIFS(Avaliacoes!$G$2:$G$6000,Avaliacoes!$A$2:$A$6000,$A218,Avaliacoes!$F$2:$F$6000,"III",Avaliacoes!$H$2:$H$6000,0))</f>
        <v/>
      </c>
      <c r="I218" s="0" t="str">
        <f aca="false">IF($A218="","",SUMIFS(Avaliacoes!$G$2:$G$6000,Avaliacoes!$A$2:$A$6000,$A218,Avaliacoes!$F$2:$F$6000,"IV",Avaliacoes!$H$2:$H$6000,0))</f>
        <v/>
      </c>
      <c r="J218" s="0" t="str">
        <f aca="false">IF($A218="","",COUNTIFS(Avaliacoes!$A$2:$A$6000,$A218,Avaliacoes!$F$2:$F$6000,"I",Avaliacoes!$H$2:$H$6000,0,Avaliacoes!$G$2:$G$6000,"&lt;&gt;")*Dimensoes!$E$2)</f>
        <v/>
      </c>
      <c r="K218" s="0" t="str">
        <f aca="false">IF($A218="","",COUNTIFS(Avaliacoes!$A$2:$A$6000,$A218,Avaliacoes!$F$2:$F$6000,"II",Avaliacoes!$H$2:$H$6000,0,Avaliacoes!$G$2:$G$6000,"&lt;&gt;")*Dimensoes!$E$3)</f>
        <v/>
      </c>
      <c r="L218" s="0" t="str">
        <f aca="false">IF($A218="","",COUNTIFS(Avaliacoes!$A$2:$A$6000,$A218,Avaliacoes!$F$2:$F$6000,"III",Avaliacoes!$H$2:$H$6000,0,Avaliacoes!$G$2:$G$6000,"&lt;&gt;")*Dimensoes!$E$4)</f>
        <v/>
      </c>
      <c r="M218" s="0" t="str">
        <f aca="false">IF($A218="","",COUNTIFS(Avaliacoes!$A$2:$A$6000,$A218,Avaliacoes!$F$2:$F$6000,"IV",Avaliacoes!$H$2:$H$6000,0,Avaliacoes!$G$2:$G$6000,"&lt;&gt;")*Dimensoes!$E$5)</f>
        <v/>
      </c>
      <c r="N218" s="9" t="str">
        <f aca="false">IF($A218="","",IF(J218&gt;0,F218/J218,""))</f>
        <v/>
      </c>
      <c r="O218" s="9" t="str">
        <f aca="false">IF($A218="","",IF(K218&gt;0,G218/K218,""))</f>
        <v/>
      </c>
      <c r="P218" s="9" t="str">
        <f aca="false">IF($A218="","",IF(L218&gt;0,H218/L218,""))</f>
        <v/>
      </c>
      <c r="Q218" s="9" t="str">
        <f aca="false">IF($A218="","",IF(M218&gt;0,I218/M218,""))</f>
        <v/>
      </c>
      <c r="R218" s="17" t="str">
        <f aca="false">IF($A218="","",IF((IF(N218="",0,Dimensoes!$C$2)+IF(O218="",0,Dimensoes!$C$3)+IF(P218="",0,Dimensoes!$C$4)+IF(Q218="",0,Dimensoes!$C$5))=0,"",(IF(N218="",0,N218*Dimensoes!$C$2)+IF(O218="",0,O218*Dimensoes!$C$3)+IF(P218="",0,P218*Dimensoes!$C$4)+IF(Q218="",0,Q218*Dimensoes!$C$5))/(IF(N218="",0,Dimensoes!$C$2)+IF(O218="",0,Dimensoes!$C$3)+IF(P218="",0,Dimensoes!$C$4)+IF(Q218="",0,Dimensoes!$C$5))))</f>
        <v/>
      </c>
      <c r="S218" s="0" t="str">
        <f aca="false">IF(R218="","",IF(R218&lt;Faixas!$C$3,"vermelho",IF(R218&lt;Faixas!$C$4,"amarelo","verde")))</f>
        <v/>
      </c>
      <c r="T218" s="9" t="str">
        <f aca="false">IF($A218="","",IF(N218="",0,N218*Dimensoes!$C$2)+IF(O218="",0,O218*Dimensoes!$C$3)+IF(P218="",0,P218*Dimensoes!$C$4)+IF(Q218="",0,Q218*Dimensoes!$C$5))</f>
        <v/>
      </c>
      <c r="U218" s="0" t="str">
        <f aca="false">IF($A218="","",IF(OR(E218="concluida",E218="incompleta"),1,0))</f>
        <v/>
      </c>
    </row>
    <row r="219" customFormat="false" ht="15" hidden="false" customHeight="false" outlineLevel="0" collapsed="false">
      <c r="A219" s="0" t="str">
        <f aca="false">IF(Visitas!A219="","",Visitas!A219)</f>
        <v/>
      </c>
      <c r="B219" s="0" t="str">
        <f aca="false">IF($A219="","",Visitas!C219)</f>
        <v/>
      </c>
      <c r="C219" s="7" t="str">
        <f aca="false">IF($A219="","",Visitas!D219)</f>
        <v/>
      </c>
      <c r="D219" s="0" t="str">
        <f aca="false">IF($A219="","",Visitas!B219)</f>
        <v/>
      </c>
      <c r="E219" s="0" t="str">
        <f aca="false">IF($A219="","",Visitas!F219)</f>
        <v/>
      </c>
      <c r="F219" s="0" t="str">
        <f aca="false">IF($A219="","",SUMIFS(Avaliacoes!$G$2:$G$6000,Avaliacoes!$A$2:$A$6000,$A219,Avaliacoes!$F$2:$F$6000,"I",Avaliacoes!$H$2:$H$6000,0))</f>
        <v/>
      </c>
      <c r="G219" s="0" t="str">
        <f aca="false">IF($A219="","",SUMIFS(Avaliacoes!$G$2:$G$6000,Avaliacoes!$A$2:$A$6000,$A219,Avaliacoes!$F$2:$F$6000,"II",Avaliacoes!$H$2:$H$6000,0))</f>
        <v/>
      </c>
      <c r="H219" s="0" t="str">
        <f aca="false">IF($A219="","",SUMIFS(Avaliacoes!$G$2:$G$6000,Avaliacoes!$A$2:$A$6000,$A219,Avaliacoes!$F$2:$F$6000,"III",Avaliacoes!$H$2:$H$6000,0))</f>
        <v/>
      </c>
      <c r="I219" s="0" t="str">
        <f aca="false">IF($A219="","",SUMIFS(Avaliacoes!$G$2:$G$6000,Avaliacoes!$A$2:$A$6000,$A219,Avaliacoes!$F$2:$F$6000,"IV",Avaliacoes!$H$2:$H$6000,0))</f>
        <v/>
      </c>
      <c r="J219" s="0" t="str">
        <f aca="false">IF($A219="","",COUNTIFS(Avaliacoes!$A$2:$A$6000,$A219,Avaliacoes!$F$2:$F$6000,"I",Avaliacoes!$H$2:$H$6000,0,Avaliacoes!$G$2:$G$6000,"&lt;&gt;")*Dimensoes!$E$2)</f>
        <v/>
      </c>
      <c r="K219" s="0" t="str">
        <f aca="false">IF($A219="","",COUNTIFS(Avaliacoes!$A$2:$A$6000,$A219,Avaliacoes!$F$2:$F$6000,"II",Avaliacoes!$H$2:$H$6000,0,Avaliacoes!$G$2:$G$6000,"&lt;&gt;")*Dimensoes!$E$3)</f>
        <v/>
      </c>
      <c r="L219" s="0" t="str">
        <f aca="false">IF($A219="","",COUNTIFS(Avaliacoes!$A$2:$A$6000,$A219,Avaliacoes!$F$2:$F$6000,"III",Avaliacoes!$H$2:$H$6000,0,Avaliacoes!$G$2:$G$6000,"&lt;&gt;")*Dimensoes!$E$4)</f>
        <v/>
      </c>
      <c r="M219" s="0" t="str">
        <f aca="false">IF($A219="","",COUNTIFS(Avaliacoes!$A$2:$A$6000,$A219,Avaliacoes!$F$2:$F$6000,"IV",Avaliacoes!$H$2:$H$6000,0,Avaliacoes!$G$2:$G$6000,"&lt;&gt;")*Dimensoes!$E$5)</f>
        <v/>
      </c>
      <c r="N219" s="9" t="str">
        <f aca="false">IF($A219="","",IF(J219&gt;0,F219/J219,""))</f>
        <v/>
      </c>
      <c r="O219" s="9" t="str">
        <f aca="false">IF($A219="","",IF(K219&gt;0,G219/K219,""))</f>
        <v/>
      </c>
      <c r="P219" s="9" t="str">
        <f aca="false">IF($A219="","",IF(L219&gt;0,H219/L219,""))</f>
        <v/>
      </c>
      <c r="Q219" s="9" t="str">
        <f aca="false">IF($A219="","",IF(M219&gt;0,I219/M219,""))</f>
        <v/>
      </c>
      <c r="R219" s="17" t="str">
        <f aca="false">IF($A219="","",IF((IF(N219="",0,Dimensoes!$C$2)+IF(O219="",0,Dimensoes!$C$3)+IF(P219="",0,Dimensoes!$C$4)+IF(Q219="",0,Dimensoes!$C$5))=0,"",(IF(N219="",0,N219*Dimensoes!$C$2)+IF(O219="",0,O219*Dimensoes!$C$3)+IF(P219="",0,P219*Dimensoes!$C$4)+IF(Q219="",0,Q219*Dimensoes!$C$5))/(IF(N219="",0,Dimensoes!$C$2)+IF(O219="",0,Dimensoes!$C$3)+IF(P219="",0,Dimensoes!$C$4)+IF(Q219="",0,Dimensoes!$C$5))))</f>
        <v/>
      </c>
      <c r="S219" s="0" t="str">
        <f aca="false">IF(R219="","",IF(R219&lt;Faixas!$C$3,"vermelho",IF(R219&lt;Faixas!$C$4,"amarelo","verde")))</f>
        <v/>
      </c>
      <c r="T219" s="9" t="str">
        <f aca="false">IF($A219="","",IF(N219="",0,N219*Dimensoes!$C$2)+IF(O219="",0,O219*Dimensoes!$C$3)+IF(P219="",0,P219*Dimensoes!$C$4)+IF(Q219="",0,Q219*Dimensoes!$C$5))</f>
        <v/>
      </c>
      <c r="U219" s="0" t="str">
        <f aca="false">IF($A219="","",IF(OR(E219="concluida",E219="incompleta"),1,0))</f>
        <v/>
      </c>
    </row>
    <row r="220" customFormat="false" ht="15" hidden="false" customHeight="false" outlineLevel="0" collapsed="false">
      <c r="A220" s="0" t="str">
        <f aca="false">IF(Visitas!A220="","",Visitas!A220)</f>
        <v/>
      </c>
      <c r="B220" s="0" t="str">
        <f aca="false">IF($A220="","",Visitas!C220)</f>
        <v/>
      </c>
      <c r="C220" s="7" t="str">
        <f aca="false">IF($A220="","",Visitas!D220)</f>
        <v/>
      </c>
      <c r="D220" s="0" t="str">
        <f aca="false">IF($A220="","",Visitas!B220)</f>
        <v/>
      </c>
      <c r="E220" s="0" t="str">
        <f aca="false">IF($A220="","",Visitas!F220)</f>
        <v/>
      </c>
      <c r="F220" s="0" t="str">
        <f aca="false">IF($A220="","",SUMIFS(Avaliacoes!$G$2:$G$6000,Avaliacoes!$A$2:$A$6000,$A220,Avaliacoes!$F$2:$F$6000,"I",Avaliacoes!$H$2:$H$6000,0))</f>
        <v/>
      </c>
      <c r="G220" s="0" t="str">
        <f aca="false">IF($A220="","",SUMIFS(Avaliacoes!$G$2:$G$6000,Avaliacoes!$A$2:$A$6000,$A220,Avaliacoes!$F$2:$F$6000,"II",Avaliacoes!$H$2:$H$6000,0))</f>
        <v/>
      </c>
      <c r="H220" s="0" t="str">
        <f aca="false">IF($A220="","",SUMIFS(Avaliacoes!$G$2:$G$6000,Avaliacoes!$A$2:$A$6000,$A220,Avaliacoes!$F$2:$F$6000,"III",Avaliacoes!$H$2:$H$6000,0))</f>
        <v/>
      </c>
      <c r="I220" s="0" t="str">
        <f aca="false">IF($A220="","",SUMIFS(Avaliacoes!$G$2:$G$6000,Avaliacoes!$A$2:$A$6000,$A220,Avaliacoes!$F$2:$F$6000,"IV",Avaliacoes!$H$2:$H$6000,0))</f>
        <v/>
      </c>
      <c r="J220" s="0" t="str">
        <f aca="false">IF($A220="","",COUNTIFS(Avaliacoes!$A$2:$A$6000,$A220,Avaliacoes!$F$2:$F$6000,"I",Avaliacoes!$H$2:$H$6000,0,Avaliacoes!$G$2:$G$6000,"&lt;&gt;")*Dimensoes!$E$2)</f>
        <v/>
      </c>
      <c r="K220" s="0" t="str">
        <f aca="false">IF($A220="","",COUNTIFS(Avaliacoes!$A$2:$A$6000,$A220,Avaliacoes!$F$2:$F$6000,"II",Avaliacoes!$H$2:$H$6000,0,Avaliacoes!$G$2:$G$6000,"&lt;&gt;")*Dimensoes!$E$3)</f>
        <v/>
      </c>
      <c r="L220" s="0" t="str">
        <f aca="false">IF($A220="","",COUNTIFS(Avaliacoes!$A$2:$A$6000,$A220,Avaliacoes!$F$2:$F$6000,"III",Avaliacoes!$H$2:$H$6000,0,Avaliacoes!$G$2:$G$6000,"&lt;&gt;")*Dimensoes!$E$4)</f>
        <v/>
      </c>
      <c r="M220" s="0" t="str">
        <f aca="false">IF($A220="","",COUNTIFS(Avaliacoes!$A$2:$A$6000,$A220,Avaliacoes!$F$2:$F$6000,"IV",Avaliacoes!$H$2:$H$6000,0,Avaliacoes!$G$2:$G$6000,"&lt;&gt;")*Dimensoes!$E$5)</f>
        <v/>
      </c>
      <c r="N220" s="9" t="str">
        <f aca="false">IF($A220="","",IF(J220&gt;0,F220/J220,""))</f>
        <v/>
      </c>
      <c r="O220" s="9" t="str">
        <f aca="false">IF($A220="","",IF(K220&gt;0,G220/K220,""))</f>
        <v/>
      </c>
      <c r="P220" s="9" t="str">
        <f aca="false">IF($A220="","",IF(L220&gt;0,H220/L220,""))</f>
        <v/>
      </c>
      <c r="Q220" s="9" t="str">
        <f aca="false">IF($A220="","",IF(M220&gt;0,I220/M220,""))</f>
        <v/>
      </c>
      <c r="R220" s="17" t="str">
        <f aca="false">IF($A220="","",IF((IF(N220="",0,Dimensoes!$C$2)+IF(O220="",0,Dimensoes!$C$3)+IF(P220="",0,Dimensoes!$C$4)+IF(Q220="",0,Dimensoes!$C$5))=0,"",(IF(N220="",0,N220*Dimensoes!$C$2)+IF(O220="",0,O220*Dimensoes!$C$3)+IF(P220="",0,P220*Dimensoes!$C$4)+IF(Q220="",0,Q220*Dimensoes!$C$5))/(IF(N220="",0,Dimensoes!$C$2)+IF(O220="",0,Dimensoes!$C$3)+IF(P220="",0,Dimensoes!$C$4)+IF(Q220="",0,Dimensoes!$C$5))))</f>
        <v/>
      </c>
      <c r="S220" s="0" t="str">
        <f aca="false">IF(R220="","",IF(R220&lt;Faixas!$C$3,"vermelho",IF(R220&lt;Faixas!$C$4,"amarelo","verde")))</f>
        <v/>
      </c>
      <c r="T220" s="9" t="str">
        <f aca="false">IF($A220="","",IF(N220="",0,N220*Dimensoes!$C$2)+IF(O220="",0,O220*Dimensoes!$C$3)+IF(P220="",0,P220*Dimensoes!$C$4)+IF(Q220="",0,Q220*Dimensoes!$C$5))</f>
        <v/>
      </c>
      <c r="U220" s="0" t="str">
        <f aca="false">IF($A220="","",IF(OR(E220="concluida",E220="incompleta"),1,0))</f>
        <v/>
      </c>
    </row>
    <row r="221" customFormat="false" ht="15" hidden="false" customHeight="false" outlineLevel="0" collapsed="false">
      <c r="A221" s="0" t="str">
        <f aca="false">IF(Visitas!A221="","",Visitas!A221)</f>
        <v/>
      </c>
      <c r="B221" s="0" t="str">
        <f aca="false">IF($A221="","",Visitas!C221)</f>
        <v/>
      </c>
      <c r="C221" s="7" t="str">
        <f aca="false">IF($A221="","",Visitas!D221)</f>
        <v/>
      </c>
      <c r="D221" s="0" t="str">
        <f aca="false">IF($A221="","",Visitas!B221)</f>
        <v/>
      </c>
      <c r="E221" s="0" t="str">
        <f aca="false">IF($A221="","",Visitas!F221)</f>
        <v/>
      </c>
      <c r="F221" s="0" t="str">
        <f aca="false">IF($A221="","",SUMIFS(Avaliacoes!$G$2:$G$6000,Avaliacoes!$A$2:$A$6000,$A221,Avaliacoes!$F$2:$F$6000,"I",Avaliacoes!$H$2:$H$6000,0))</f>
        <v/>
      </c>
      <c r="G221" s="0" t="str">
        <f aca="false">IF($A221="","",SUMIFS(Avaliacoes!$G$2:$G$6000,Avaliacoes!$A$2:$A$6000,$A221,Avaliacoes!$F$2:$F$6000,"II",Avaliacoes!$H$2:$H$6000,0))</f>
        <v/>
      </c>
      <c r="H221" s="0" t="str">
        <f aca="false">IF($A221="","",SUMIFS(Avaliacoes!$G$2:$G$6000,Avaliacoes!$A$2:$A$6000,$A221,Avaliacoes!$F$2:$F$6000,"III",Avaliacoes!$H$2:$H$6000,0))</f>
        <v/>
      </c>
      <c r="I221" s="0" t="str">
        <f aca="false">IF($A221="","",SUMIFS(Avaliacoes!$G$2:$G$6000,Avaliacoes!$A$2:$A$6000,$A221,Avaliacoes!$F$2:$F$6000,"IV",Avaliacoes!$H$2:$H$6000,0))</f>
        <v/>
      </c>
      <c r="J221" s="0" t="str">
        <f aca="false">IF($A221="","",COUNTIFS(Avaliacoes!$A$2:$A$6000,$A221,Avaliacoes!$F$2:$F$6000,"I",Avaliacoes!$H$2:$H$6000,0,Avaliacoes!$G$2:$G$6000,"&lt;&gt;")*Dimensoes!$E$2)</f>
        <v/>
      </c>
      <c r="K221" s="0" t="str">
        <f aca="false">IF($A221="","",COUNTIFS(Avaliacoes!$A$2:$A$6000,$A221,Avaliacoes!$F$2:$F$6000,"II",Avaliacoes!$H$2:$H$6000,0,Avaliacoes!$G$2:$G$6000,"&lt;&gt;")*Dimensoes!$E$3)</f>
        <v/>
      </c>
      <c r="L221" s="0" t="str">
        <f aca="false">IF($A221="","",COUNTIFS(Avaliacoes!$A$2:$A$6000,$A221,Avaliacoes!$F$2:$F$6000,"III",Avaliacoes!$H$2:$H$6000,0,Avaliacoes!$G$2:$G$6000,"&lt;&gt;")*Dimensoes!$E$4)</f>
        <v/>
      </c>
      <c r="M221" s="0" t="str">
        <f aca="false">IF($A221="","",COUNTIFS(Avaliacoes!$A$2:$A$6000,$A221,Avaliacoes!$F$2:$F$6000,"IV",Avaliacoes!$H$2:$H$6000,0,Avaliacoes!$G$2:$G$6000,"&lt;&gt;")*Dimensoes!$E$5)</f>
        <v/>
      </c>
      <c r="N221" s="9" t="str">
        <f aca="false">IF($A221="","",IF(J221&gt;0,F221/J221,""))</f>
        <v/>
      </c>
      <c r="O221" s="9" t="str">
        <f aca="false">IF($A221="","",IF(K221&gt;0,G221/K221,""))</f>
        <v/>
      </c>
      <c r="P221" s="9" t="str">
        <f aca="false">IF($A221="","",IF(L221&gt;0,H221/L221,""))</f>
        <v/>
      </c>
      <c r="Q221" s="9" t="str">
        <f aca="false">IF($A221="","",IF(M221&gt;0,I221/M221,""))</f>
        <v/>
      </c>
      <c r="R221" s="17" t="str">
        <f aca="false">IF($A221="","",IF((IF(N221="",0,Dimensoes!$C$2)+IF(O221="",0,Dimensoes!$C$3)+IF(P221="",0,Dimensoes!$C$4)+IF(Q221="",0,Dimensoes!$C$5))=0,"",(IF(N221="",0,N221*Dimensoes!$C$2)+IF(O221="",0,O221*Dimensoes!$C$3)+IF(P221="",0,P221*Dimensoes!$C$4)+IF(Q221="",0,Q221*Dimensoes!$C$5))/(IF(N221="",0,Dimensoes!$C$2)+IF(O221="",0,Dimensoes!$C$3)+IF(P221="",0,Dimensoes!$C$4)+IF(Q221="",0,Dimensoes!$C$5))))</f>
        <v/>
      </c>
      <c r="S221" s="0" t="str">
        <f aca="false">IF(R221="","",IF(R221&lt;Faixas!$C$3,"vermelho",IF(R221&lt;Faixas!$C$4,"amarelo","verde")))</f>
        <v/>
      </c>
      <c r="T221" s="9" t="str">
        <f aca="false">IF($A221="","",IF(N221="",0,N221*Dimensoes!$C$2)+IF(O221="",0,O221*Dimensoes!$C$3)+IF(P221="",0,P221*Dimensoes!$C$4)+IF(Q221="",0,Q221*Dimensoes!$C$5))</f>
        <v/>
      </c>
      <c r="U221" s="0" t="str">
        <f aca="false">IF($A221="","",IF(OR(E221="concluida",E221="incompleta"),1,0))</f>
        <v/>
      </c>
    </row>
    <row r="222" customFormat="false" ht="15" hidden="false" customHeight="false" outlineLevel="0" collapsed="false">
      <c r="A222" s="0" t="str">
        <f aca="false">IF(Visitas!A222="","",Visitas!A222)</f>
        <v/>
      </c>
      <c r="B222" s="0" t="str">
        <f aca="false">IF($A222="","",Visitas!C222)</f>
        <v/>
      </c>
      <c r="C222" s="7" t="str">
        <f aca="false">IF($A222="","",Visitas!D222)</f>
        <v/>
      </c>
      <c r="D222" s="0" t="str">
        <f aca="false">IF($A222="","",Visitas!B222)</f>
        <v/>
      </c>
      <c r="E222" s="0" t="str">
        <f aca="false">IF($A222="","",Visitas!F222)</f>
        <v/>
      </c>
      <c r="F222" s="0" t="str">
        <f aca="false">IF($A222="","",SUMIFS(Avaliacoes!$G$2:$G$6000,Avaliacoes!$A$2:$A$6000,$A222,Avaliacoes!$F$2:$F$6000,"I",Avaliacoes!$H$2:$H$6000,0))</f>
        <v/>
      </c>
      <c r="G222" s="0" t="str">
        <f aca="false">IF($A222="","",SUMIFS(Avaliacoes!$G$2:$G$6000,Avaliacoes!$A$2:$A$6000,$A222,Avaliacoes!$F$2:$F$6000,"II",Avaliacoes!$H$2:$H$6000,0))</f>
        <v/>
      </c>
      <c r="H222" s="0" t="str">
        <f aca="false">IF($A222="","",SUMIFS(Avaliacoes!$G$2:$G$6000,Avaliacoes!$A$2:$A$6000,$A222,Avaliacoes!$F$2:$F$6000,"III",Avaliacoes!$H$2:$H$6000,0))</f>
        <v/>
      </c>
      <c r="I222" s="0" t="str">
        <f aca="false">IF($A222="","",SUMIFS(Avaliacoes!$G$2:$G$6000,Avaliacoes!$A$2:$A$6000,$A222,Avaliacoes!$F$2:$F$6000,"IV",Avaliacoes!$H$2:$H$6000,0))</f>
        <v/>
      </c>
      <c r="J222" s="0" t="str">
        <f aca="false">IF($A222="","",COUNTIFS(Avaliacoes!$A$2:$A$6000,$A222,Avaliacoes!$F$2:$F$6000,"I",Avaliacoes!$H$2:$H$6000,0,Avaliacoes!$G$2:$G$6000,"&lt;&gt;")*Dimensoes!$E$2)</f>
        <v/>
      </c>
      <c r="K222" s="0" t="str">
        <f aca="false">IF($A222="","",COUNTIFS(Avaliacoes!$A$2:$A$6000,$A222,Avaliacoes!$F$2:$F$6000,"II",Avaliacoes!$H$2:$H$6000,0,Avaliacoes!$G$2:$G$6000,"&lt;&gt;")*Dimensoes!$E$3)</f>
        <v/>
      </c>
      <c r="L222" s="0" t="str">
        <f aca="false">IF($A222="","",COUNTIFS(Avaliacoes!$A$2:$A$6000,$A222,Avaliacoes!$F$2:$F$6000,"III",Avaliacoes!$H$2:$H$6000,0,Avaliacoes!$G$2:$G$6000,"&lt;&gt;")*Dimensoes!$E$4)</f>
        <v/>
      </c>
      <c r="M222" s="0" t="str">
        <f aca="false">IF($A222="","",COUNTIFS(Avaliacoes!$A$2:$A$6000,$A222,Avaliacoes!$F$2:$F$6000,"IV",Avaliacoes!$H$2:$H$6000,0,Avaliacoes!$G$2:$G$6000,"&lt;&gt;")*Dimensoes!$E$5)</f>
        <v/>
      </c>
      <c r="N222" s="9" t="str">
        <f aca="false">IF($A222="","",IF(J222&gt;0,F222/J222,""))</f>
        <v/>
      </c>
      <c r="O222" s="9" t="str">
        <f aca="false">IF($A222="","",IF(K222&gt;0,G222/K222,""))</f>
        <v/>
      </c>
      <c r="P222" s="9" t="str">
        <f aca="false">IF($A222="","",IF(L222&gt;0,H222/L222,""))</f>
        <v/>
      </c>
      <c r="Q222" s="9" t="str">
        <f aca="false">IF($A222="","",IF(M222&gt;0,I222/M222,""))</f>
        <v/>
      </c>
      <c r="R222" s="17" t="str">
        <f aca="false">IF($A222="","",IF((IF(N222="",0,Dimensoes!$C$2)+IF(O222="",0,Dimensoes!$C$3)+IF(P222="",0,Dimensoes!$C$4)+IF(Q222="",0,Dimensoes!$C$5))=0,"",(IF(N222="",0,N222*Dimensoes!$C$2)+IF(O222="",0,O222*Dimensoes!$C$3)+IF(P222="",0,P222*Dimensoes!$C$4)+IF(Q222="",0,Q222*Dimensoes!$C$5))/(IF(N222="",0,Dimensoes!$C$2)+IF(O222="",0,Dimensoes!$C$3)+IF(P222="",0,Dimensoes!$C$4)+IF(Q222="",0,Dimensoes!$C$5))))</f>
        <v/>
      </c>
      <c r="S222" s="0" t="str">
        <f aca="false">IF(R222="","",IF(R222&lt;Faixas!$C$3,"vermelho",IF(R222&lt;Faixas!$C$4,"amarelo","verde")))</f>
        <v/>
      </c>
      <c r="T222" s="9" t="str">
        <f aca="false">IF($A222="","",IF(N222="",0,N222*Dimensoes!$C$2)+IF(O222="",0,O222*Dimensoes!$C$3)+IF(P222="",0,P222*Dimensoes!$C$4)+IF(Q222="",0,Q222*Dimensoes!$C$5))</f>
        <v/>
      </c>
      <c r="U222" s="0" t="str">
        <f aca="false">IF($A222="","",IF(OR(E222="concluida",E222="incompleta"),1,0))</f>
        <v/>
      </c>
    </row>
    <row r="223" customFormat="false" ht="15" hidden="false" customHeight="false" outlineLevel="0" collapsed="false">
      <c r="A223" s="0" t="str">
        <f aca="false">IF(Visitas!A223="","",Visitas!A223)</f>
        <v/>
      </c>
      <c r="B223" s="0" t="str">
        <f aca="false">IF($A223="","",Visitas!C223)</f>
        <v/>
      </c>
      <c r="C223" s="7" t="str">
        <f aca="false">IF($A223="","",Visitas!D223)</f>
        <v/>
      </c>
      <c r="D223" s="0" t="str">
        <f aca="false">IF($A223="","",Visitas!B223)</f>
        <v/>
      </c>
      <c r="E223" s="0" t="str">
        <f aca="false">IF($A223="","",Visitas!F223)</f>
        <v/>
      </c>
      <c r="F223" s="0" t="str">
        <f aca="false">IF($A223="","",SUMIFS(Avaliacoes!$G$2:$G$6000,Avaliacoes!$A$2:$A$6000,$A223,Avaliacoes!$F$2:$F$6000,"I",Avaliacoes!$H$2:$H$6000,0))</f>
        <v/>
      </c>
      <c r="G223" s="0" t="str">
        <f aca="false">IF($A223="","",SUMIFS(Avaliacoes!$G$2:$G$6000,Avaliacoes!$A$2:$A$6000,$A223,Avaliacoes!$F$2:$F$6000,"II",Avaliacoes!$H$2:$H$6000,0))</f>
        <v/>
      </c>
      <c r="H223" s="0" t="str">
        <f aca="false">IF($A223="","",SUMIFS(Avaliacoes!$G$2:$G$6000,Avaliacoes!$A$2:$A$6000,$A223,Avaliacoes!$F$2:$F$6000,"III",Avaliacoes!$H$2:$H$6000,0))</f>
        <v/>
      </c>
      <c r="I223" s="0" t="str">
        <f aca="false">IF($A223="","",SUMIFS(Avaliacoes!$G$2:$G$6000,Avaliacoes!$A$2:$A$6000,$A223,Avaliacoes!$F$2:$F$6000,"IV",Avaliacoes!$H$2:$H$6000,0))</f>
        <v/>
      </c>
      <c r="J223" s="0" t="str">
        <f aca="false">IF($A223="","",COUNTIFS(Avaliacoes!$A$2:$A$6000,$A223,Avaliacoes!$F$2:$F$6000,"I",Avaliacoes!$H$2:$H$6000,0,Avaliacoes!$G$2:$G$6000,"&lt;&gt;")*Dimensoes!$E$2)</f>
        <v/>
      </c>
      <c r="K223" s="0" t="str">
        <f aca="false">IF($A223="","",COUNTIFS(Avaliacoes!$A$2:$A$6000,$A223,Avaliacoes!$F$2:$F$6000,"II",Avaliacoes!$H$2:$H$6000,0,Avaliacoes!$G$2:$G$6000,"&lt;&gt;")*Dimensoes!$E$3)</f>
        <v/>
      </c>
      <c r="L223" s="0" t="str">
        <f aca="false">IF($A223="","",COUNTIFS(Avaliacoes!$A$2:$A$6000,$A223,Avaliacoes!$F$2:$F$6000,"III",Avaliacoes!$H$2:$H$6000,0,Avaliacoes!$G$2:$G$6000,"&lt;&gt;")*Dimensoes!$E$4)</f>
        <v/>
      </c>
      <c r="M223" s="0" t="str">
        <f aca="false">IF($A223="","",COUNTIFS(Avaliacoes!$A$2:$A$6000,$A223,Avaliacoes!$F$2:$F$6000,"IV",Avaliacoes!$H$2:$H$6000,0,Avaliacoes!$G$2:$G$6000,"&lt;&gt;")*Dimensoes!$E$5)</f>
        <v/>
      </c>
      <c r="N223" s="9" t="str">
        <f aca="false">IF($A223="","",IF(J223&gt;0,F223/J223,""))</f>
        <v/>
      </c>
      <c r="O223" s="9" t="str">
        <f aca="false">IF($A223="","",IF(K223&gt;0,G223/K223,""))</f>
        <v/>
      </c>
      <c r="P223" s="9" t="str">
        <f aca="false">IF($A223="","",IF(L223&gt;0,H223/L223,""))</f>
        <v/>
      </c>
      <c r="Q223" s="9" t="str">
        <f aca="false">IF($A223="","",IF(M223&gt;0,I223/M223,""))</f>
        <v/>
      </c>
      <c r="R223" s="17" t="str">
        <f aca="false">IF($A223="","",IF((IF(N223="",0,Dimensoes!$C$2)+IF(O223="",0,Dimensoes!$C$3)+IF(P223="",0,Dimensoes!$C$4)+IF(Q223="",0,Dimensoes!$C$5))=0,"",(IF(N223="",0,N223*Dimensoes!$C$2)+IF(O223="",0,O223*Dimensoes!$C$3)+IF(P223="",0,P223*Dimensoes!$C$4)+IF(Q223="",0,Q223*Dimensoes!$C$5))/(IF(N223="",0,Dimensoes!$C$2)+IF(O223="",0,Dimensoes!$C$3)+IF(P223="",0,Dimensoes!$C$4)+IF(Q223="",0,Dimensoes!$C$5))))</f>
        <v/>
      </c>
      <c r="S223" s="0" t="str">
        <f aca="false">IF(R223="","",IF(R223&lt;Faixas!$C$3,"vermelho",IF(R223&lt;Faixas!$C$4,"amarelo","verde")))</f>
        <v/>
      </c>
      <c r="T223" s="9" t="str">
        <f aca="false">IF($A223="","",IF(N223="",0,N223*Dimensoes!$C$2)+IF(O223="",0,O223*Dimensoes!$C$3)+IF(P223="",0,P223*Dimensoes!$C$4)+IF(Q223="",0,Q223*Dimensoes!$C$5))</f>
        <v/>
      </c>
      <c r="U223" s="0" t="str">
        <f aca="false">IF($A223="","",IF(OR(E223="concluida",E223="incompleta"),1,0))</f>
        <v/>
      </c>
    </row>
    <row r="224" customFormat="false" ht="15" hidden="false" customHeight="false" outlineLevel="0" collapsed="false">
      <c r="A224" s="0" t="str">
        <f aca="false">IF(Visitas!A224="","",Visitas!A224)</f>
        <v/>
      </c>
      <c r="B224" s="0" t="str">
        <f aca="false">IF($A224="","",Visitas!C224)</f>
        <v/>
      </c>
      <c r="C224" s="7" t="str">
        <f aca="false">IF($A224="","",Visitas!D224)</f>
        <v/>
      </c>
      <c r="D224" s="0" t="str">
        <f aca="false">IF($A224="","",Visitas!B224)</f>
        <v/>
      </c>
      <c r="E224" s="0" t="str">
        <f aca="false">IF($A224="","",Visitas!F224)</f>
        <v/>
      </c>
      <c r="F224" s="0" t="str">
        <f aca="false">IF($A224="","",SUMIFS(Avaliacoes!$G$2:$G$6000,Avaliacoes!$A$2:$A$6000,$A224,Avaliacoes!$F$2:$F$6000,"I",Avaliacoes!$H$2:$H$6000,0))</f>
        <v/>
      </c>
      <c r="G224" s="0" t="str">
        <f aca="false">IF($A224="","",SUMIFS(Avaliacoes!$G$2:$G$6000,Avaliacoes!$A$2:$A$6000,$A224,Avaliacoes!$F$2:$F$6000,"II",Avaliacoes!$H$2:$H$6000,0))</f>
        <v/>
      </c>
      <c r="H224" s="0" t="str">
        <f aca="false">IF($A224="","",SUMIFS(Avaliacoes!$G$2:$G$6000,Avaliacoes!$A$2:$A$6000,$A224,Avaliacoes!$F$2:$F$6000,"III",Avaliacoes!$H$2:$H$6000,0))</f>
        <v/>
      </c>
      <c r="I224" s="0" t="str">
        <f aca="false">IF($A224="","",SUMIFS(Avaliacoes!$G$2:$G$6000,Avaliacoes!$A$2:$A$6000,$A224,Avaliacoes!$F$2:$F$6000,"IV",Avaliacoes!$H$2:$H$6000,0))</f>
        <v/>
      </c>
      <c r="J224" s="0" t="str">
        <f aca="false">IF($A224="","",COUNTIFS(Avaliacoes!$A$2:$A$6000,$A224,Avaliacoes!$F$2:$F$6000,"I",Avaliacoes!$H$2:$H$6000,0,Avaliacoes!$G$2:$G$6000,"&lt;&gt;")*Dimensoes!$E$2)</f>
        <v/>
      </c>
      <c r="K224" s="0" t="str">
        <f aca="false">IF($A224="","",COUNTIFS(Avaliacoes!$A$2:$A$6000,$A224,Avaliacoes!$F$2:$F$6000,"II",Avaliacoes!$H$2:$H$6000,0,Avaliacoes!$G$2:$G$6000,"&lt;&gt;")*Dimensoes!$E$3)</f>
        <v/>
      </c>
      <c r="L224" s="0" t="str">
        <f aca="false">IF($A224="","",COUNTIFS(Avaliacoes!$A$2:$A$6000,$A224,Avaliacoes!$F$2:$F$6000,"III",Avaliacoes!$H$2:$H$6000,0,Avaliacoes!$G$2:$G$6000,"&lt;&gt;")*Dimensoes!$E$4)</f>
        <v/>
      </c>
      <c r="M224" s="0" t="str">
        <f aca="false">IF($A224="","",COUNTIFS(Avaliacoes!$A$2:$A$6000,$A224,Avaliacoes!$F$2:$F$6000,"IV",Avaliacoes!$H$2:$H$6000,0,Avaliacoes!$G$2:$G$6000,"&lt;&gt;")*Dimensoes!$E$5)</f>
        <v/>
      </c>
      <c r="N224" s="9" t="str">
        <f aca="false">IF($A224="","",IF(J224&gt;0,F224/J224,""))</f>
        <v/>
      </c>
      <c r="O224" s="9" t="str">
        <f aca="false">IF($A224="","",IF(K224&gt;0,G224/K224,""))</f>
        <v/>
      </c>
      <c r="P224" s="9" t="str">
        <f aca="false">IF($A224="","",IF(L224&gt;0,H224/L224,""))</f>
        <v/>
      </c>
      <c r="Q224" s="9" t="str">
        <f aca="false">IF($A224="","",IF(M224&gt;0,I224/M224,""))</f>
        <v/>
      </c>
      <c r="R224" s="17" t="str">
        <f aca="false">IF($A224="","",IF((IF(N224="",0,Dimensoes!$C$2)+IF(O224="",0,Dimensoes!$C$3)+IF(P224="",0,Dimensoes!$C$4)+IF(Q224="",0,Dimensoes!$C$5))=0,"",(IF(N224="",0,N224*Dimensoes!$C$2)+IF(O224="",0,O224*Dimensoes!$C$3)+IF(P224="",0,P224*Dimensoes!$C$4)+IF(Q224="",0,Q224*Dimensoes!$C$5))/(IF(N224="",0,Dimensoes!$C$2)+IF(O224="",0,Dimensoes!$C$3)+IF(P224="",0,Dimensoes!$C$4)+IF(Q224="",0,Dimensoes!$C$5))))</f>
        <v/>
      </c>
      <c r="S224" s="0" t="str">
        <f aca="false">IF(R224="","",IF(R224&lt;Faixas!$C$3,"vermelho",IF(R224&lt;Faixas!$C$4,"amarelo","verde")))</f>
        <v/>
      </c>
      <c r="T224" s="9" t="str">
        <f aca="false">IF($A224="","",IF(N224="",0,N224*Dimensoes!$C$2)+IF(O224="",0,O224*Dimensoes!$C$3)+IF(P224="",0,P224*Dimensoes!$C$4)+IF(Q224="",0,Q224*Dimensoes!$C$5))</f>
        <v/>
      </c>
      <c r="U224" s="0" t="str">
        <f aca="false">IF($A224="","",IF(OR(E224="concluida",E224="incompleta"),1,0))</f>
        <v/>
      </c>
    </row>
    <row r="225" customFormat="false" ht="15" hidden="false" customHeight="false" outlineLevel="0" collapsed="false">
      <c r="A225" s="0" t="str">
        <f aca="false">IF(Visitas!A225="","",Visitas!A225)</f>
        <v/>
      </c>
      <c r="B225" s="0" t="str">
        <f aca="false">IF($A225="","",Visitas!C225)</f>
        <v/>
      </c>
      <c r="C225" s="7" t="str">
        <f aca="false">IF($A225="","",Visitas!D225)</f>
        <v/>
      </c>
      <c r="D225" s="0" t="str">
        <f aca="false">IF($A225="","",Visitas!B225)</f>
        <v/>
      </c>
      <c r="E225" s="0" t="str">
        <f aca="false">IF($A225="","",Visitas!F225)</f>
        <v/>
      </c>
      <c r="F225" s="0" t="str">
        <f aca="false">IF($A225="","",SUMIFS(Avaliacoes!$G$2:$G$6000,Avaliacoes!$A$2:$A$6000,$A225,Avaliacoes!$F$2:$F$6000,"I",Avaliacoes!$H$2:$H$6000,0))</f>
        <v/>
      </c>
      <c r="G225" s="0" t="str">
        <f aca="false">IF($A225="","",SUMIFS(Avaliacoes!$G$2:$G$6000,Avaliacoes!$A$2:$A$6000,$A225,Avaliacoes!$F$2:$F$6000,"II",Avaliacoes!$H$2:$H$6000,0))</f>
        <v/>
      </c>
      <c r="H225" s="0" t="str">
        <f aca="false">IF($A225="","",SUMIFS(Avaliacoes!$G$2:$G$6000,Avaliacoes!$A$2:$A$6000,$A225,Avaliacoes!$F$2:$F$6000,"III",Avaliacoes!$H$2:$H$6000,0))</f>
        <v/>
      </c>
      <c r="I225" s="0" t="str">
        <f aca="false">IF($A225="","",SUMIFS(Avaliacoes!$G$2:$G$6000,Avaliacoes!$A$2:$A$6000,$A225,Avaliacoes!$F$2:$F$6000,"IV",Avaliacoes!$H$2:$H$6000,0))</f>
        <v/>
      </c>
      <c r="J225" s="0" t="str">
        <f aca="false">IF($A225="","",COUNTIFS(Avaliacoes!$A$2:$A$6000,$A225,Avaliacoes!$F$2:$F$6000,"I",Avaliacoes!$H$2:$H$6000,0,Avaliacoes!$G$2:$G$6000,"&lt;&gt;")*Dimensoes!$E$2)</f>
        <v/>
      </c>
      <c r="K225" s="0" t="str">
        <f aca="false">IF($A225="","",COUNTIFS(Avaliacoes!$A$2:$A$6000,$A225,Avaliacoes!$F$2:$F$6000,"II",Avaliacoes!$H$2:$H$6000,0,Avaliacoes!$G$2:$G$6000,"&lt;&gt;")*Dimensoes!$E$3)</f>
        <v/>
      </c>
      <c r="L225" s="0" t="str">
        <f aca="false">IF($A225="","",COUNTIFS(Avaliacoes!$A$2:$A$6000,$A225,Avaliacoes!$F$2:$F$6000,"III",Avaliacoes!$H$2:$H$6000,0,Avaliacoes!$G$2:$G$6000,"&lt;&gt;")*Dimensoes!$E$4)</f>
        <v/>
      </c>
      <c r="M225" s="0" t="str">
        <f aca="false">IF($A225="","",COUNTIFS(Avaliacoes!$A$2:$A$6000,$A225,Avaliacoes!$F$2:$F$6000,"IV",Avaliacoes!$H$2:$H$6000,0,Avaliacoes!$G$2:$G$6000,"&lt;&gt;")*Dimensoes!$E$5)</f>
        <v/>
      </c>
      <c r="N225" s="9" t="str">
        <f aca="false">IF($A225="","",IF(J225&gt;0,F225/J225,""))</f>
        <v/>
      </c>
      <c r="O225" s="9" t="str">
        <f aca="false">IF($A225="","",IF(K225&gt;0,G225/K225,""))</f>
        <v/>
      </c>
      <c r="P225" s="9" t="str">
        <f aca="false">IF($A225="","",IF(L225&gt;0,H225/L225,""))</f>
        <v/>
      </c>
      <c r="Q225" s="9" t="str">
        <f aca="false">IF($A225="","",IF(M225&gt;0,I225/M225,""))</f>
        <v/>
      </c>
      <c r="R225" s="17" t="str">
        <f aca="false">IF($A225="","",IF((IF(N225="",0,Dimensoes!$C$2)+IF(O225="",0,Dimensoes!$C$3)+IF(P225="",0,Dimensoes!$C$4)+IF(Q225="",0,Dimensoes!$C$5))=0,"",(IF(N225="",0,N225*Dimensoes!$C$2)+IF(O225="",0,O225*Dimensoes!$C$3)+IF(P225="",0,P225*Dimensoes!$C$4)+IF(Q225="",0,Q225*Dimensoes!$C$5))/(IF(N225="",0,Dimensoes!$C$2)+IF(O225="",0,Dimensoes!$C$3)+IF(P225="",0,Dimensoes!$C$4)+IF(Q225="",0,Dimensoes!$C$5))))</f>
        <v/>
      </c>
      <c r="S225" s="0" t="str">
        <f aca="false">IF(R225="","",IF(R225&lt;Faixas!$C$3,"vermelho",IF(R225&lt;Faixas!$C$4,"amarelo","verde")))</f>
        <v/>
      </c>
      <c r="T225" s="9" t="str">
        <f aca="false">IF($A225="","",IF(N225="",0,N225*Dimensoes!$C$2)+IF(O225="",0,O225*Dimensoes!$C$3)+IF(P225="",0,P225*Dimensoes!$C$4)+IF(Q225="",0,Q225*Dimensoes!$C$5))</f>
        <v/>
      </c>
      <c r="U225" s="0" t="str">
        <f aca="false">IF($A225="","",IF(OR(E225="concluida",E225="incompleta"),1,0))</f>
        <v/>
      </c>
    </row>
    <row r="226" customFormat="false" ht="15" hidden="false" customHeight="false" outlineLevel="0" collapsed="false">
      <c r="A226" s="0" t="str">
        <f aca="false">IF(Visitas!A226="","",Visitas!A226)</f>
        <v/>
      </c>
      <c r="B226" s="0" t="str">
        <f aca="false">IF($A226="","",Visitas!C226)</f>
        <v/>
      </c>
      <c r="C226" s="7" t="str">
        <f aca="false">IF($A226="","",Visitas!D226)</f>
        <v/>
      </c>
      <c r="D226" s="0" t="str">
        <f aca="false">IF($A226="","",Visitas!B226)</f>
        <v/>
      </c>
      <c r="E226" s="0" t="str">
        <f aca="false">IF($A226="","",Visitas!F226)</f>
        <v/>
      </c>
      <c r="F226" s="0" t="str">
        <f aca="false">IF($A226="","",SUMIFS(Avaliacoes!$G$2:$G$6000,Avaliacoes!$A$2:$A$6000,$A226,Avaliacoes!$F$2:$F$6000,"I",Avaliacoes!$H$2:$H$6000,0))</f>
        <v/>
      </c>
      <c r="G226" s="0" t="str">
        <f aca="false">IF($A226="","",SUMIFS(Avaliacoes!$G$2:$G$6000,Avaliacoes!$A$2:$A$6000,$A226,Avaliacoes!$F$2:$F$6000,"II",Avaliacoes!$H$2:$H$6000,0))</f>
        <v/>
      </c>
      <c r="H226" s="0" t="str">
        <f aca="false">IF($A226="","",SUMIFS(Avaliacoes!$G$2:$G$6000,Avaliacoes!$A$2:$A$6000,$A226,Avaliacoes!$F$2:$F$6000,"III",Avaliacoes!$H$2:$H$6000,0))</f>
        <v/>
      </c>
      <c r="I226" s="0" t="str">
        <f aca="false">IF($A226="","",SUMIFS(Avaliacoes!$G$2:$G$6000,Avaliacoes!$A$2:$A$6000,$A226,Avaliacoes!$F$2:$F$6000,"IV",Avaliacoes!$H$2:$H$6000,0))</f>
        <v/>
      </c>
      <c r="J226" s="0" t="str">
        <f aca="false">IF($A226="","",COUNTIFS(Avaliacoes!$A$2:$A$6000,$A226,Avaliacoes!$F$2:$F$6000,"I",Avaliacoes!$H$2:$H$6000,0,Avaliacoes!$G$2:$G$6000,"&lt;&gt;")*Dimensoes!$E$2)</f>
        <v/>
      </c>
      <c r="K226" s="0" t="str">
        <f aca="false">IF($A226="","",COUNTIFS(Avaliacoes!$A$2:$A$6000,$A226,Avaliacoes!$F$2:$F$6000,"II",Avaliacoes!$H$2:$H$6000,0,Avaliacoes!$G$2:$G$6000,"&lt;&gt;")*Dimensoes!$E$3)</f>
        <v/>
      </c>
      <c r="L226" s="0" t="str">
        <f aca="false">IF($A226="","",COUNTIFS(Avaliacoes!$A$2:$A$6000,$A226,Avaliacoes!$F$2:$F$6000,"III",Avaliacoes!$H$2:$H$6000,0,Avaliacoes!$G$2:$G$6000,"&lt;&gt;")*Dimensoes!$E$4)</f>
        <v/>
      </c>
      <c r="M226" s="0" t="str">
        <f aca="false">IF($A226="","",COUNTIFS(Avaliacoes!$A$2:$A$6000,$A226,Avaliacoes!$F$2:$F$6000,"IV",Avaliacoes!$H$2:$H$6000,0,Avaliacoes!$G$2:$G$6000,"&lt;&gt;")*Dimensoes!$E$5)</f>
        <v/>
      </c>
      <c r="N226" s="9" t="str">
        <f aca="false">IF($A226="","",IF(J226&gt;0,F226/J226,""))</f>
        <v/>
      </c>
      <c r="O226" s="9" t="str">
        <f aca="false">IF($A226="","",IF(K226&gt;0,G226/K226,""))</f>
        <v/>
      </c>
      <c r="P226" s="9" t="str">
        <f aca="false">IF($A226="","",IF(L226&gt;0,H226/L226,""))</f>
        <v/>
      </c>
      <c r="Q226" s="9" t="str">
        <f aca="false">IF($A226="","",IF(M226&gt;0,I226/M226,""))</f>
        <v/>
      </c>
      <c r="R226" s="17" t="str">
        <f aca="false">IF($A226="","",IF((IF(N226="",0,Dimensoes!$C$2)+IF(O226="",0,Dimensoes!$C$3)+IF(P226="",0,Dimensoes!$C$4)+IF(Q226="",0,Dimensoes!$C$5))=0,"",(IF(N226="",0,N226*Dimensoes!$C$2)+IF(O226="",0,O226*Dimensoes!$C$3)+IF(P226="",0,P226*Dimensoes!$C$4)+IF(Q226="",0,Q226*Dimensoes!$C$5))/(IF(N226="",0,Dimensoes!$C$2)+IF(O226="",0,Dimensoes!$C$3)+IF(P226="",0,Dimensoes!$C$4)+IF(Q226="",0,Dimensoes!$C$5))))</f>
        <v/>
      </c>
      <c r="S226" s="0" t="str">
        <f aca="false">IF(R226="","",IF(R226&lt;Faixas!$C$3,"vermelho",IF(R226&lt;Faixas!$C$4,"amarelo","verde")))</f>
        <v/>
      </c>
      <c r="T226" s="9" t="str">
        <f aca="false">IF($A226="","",IF(N226="",0,N226*Dimensoes!$C$2)+IF(O226="",0,O226*Dimensoes!$C$3)+IF(P226="",0,P226*Dimensoes!$C$4)+IF(Q226="",0,Q226*Dimensoes!$C$5))</f>
        <v/>
      </c>
      <c r="U226" s="0" t="str">
        <f aca="false">IF($A226="","",IF(OR(E226="concluida",E226="incompleta"),1,0))</f>
        <v/>
      </c>
    </row>
    <row r="227" customFormat="false" ht="15" hidden="false" customHeight="false" outlineLevel="0" collapsed="false">
      <c r="A227" s="0" t="str">
        <f aca="false">IF(Visitas!A227="","",Visitas!A227)</f>
        <v/>
      </c>
      <c r="B227" s="0" t="str">
        <f aca="false">IF($A227="","",Visitas!C227)</f>
        <v/>
      </c>
      <c r="C227" s="7" t="str">
        <f aca="false">IF($A227="","",Visitas!D227)</f>
        <v/>
      </c>
      <c r="D227" s="0" t="str">
        <f aca="false">IF($A227="","",Visitas!B227)</f>
        <v/>
      </c>
      <c r="E227" s="0" t="str">
        <f aca="false">IF($A227="","",Visitas!F227)</f>
        <v/>
      </c>
      <c r="F227" s="0" t="str">
        <f aca="false">IF($A227="","",SUMIFS(Avaliacoes!$G$2:$G$6000,Avaliacoes!$A$2:$A$6000,$A227,Avaliacoes!$F$2:$F$6000,"I",Avaliacoes!$H$2:$H$6000,0))</f>
        <v/>
      </c>
      <c r="G227" s="0" t="str">
        <f aca="false">IF($A227="","",SUMIFS(Avaliacoes!$G$2:$G$6000,Avaliacoes!$A$2:$A$6000,$A227,Avaliacoes!$F$2:$F$6000,"II",Avaliacoes!$H$2:$H$6000,0))</f>
        <v/>
      </c>
      <c r="H227" s="0" t="str">
        <f aca="false">IF($A227="","",SUMIFS(Avaliacoes!$G$2:$G$6000,Avaliacoes!$A$2:$A$6000,$A227,Avaliacoes!$F$2:$F$6000,"III",Avaliacoes!$H$2:$H$6000,0))</f>
        <v/>
      </c>
      <c r="I227" s="0" t="str">
        <f aca="false">IF($A227="","",SUMIFS(Avaliacoes!$G$2:$G$6000,Avaliacoes!$A$2:$A$6000,$A227,Avaliacoes!$F$2:$F$6000,"IV",Avaliacoes!$H$2:$H$6000,0))</f>
        <v/>
      </c>
      <c r="J227" s="0" t="str">
        <f aca="false">IF($A227="","",COUNTIFS(Avaliacoes!$A$2:$A$6000,$A227,Avaliacoes!$F$2:$F$6000,"I",Avaliacoes!$H$2:$H$6000,0,Avaliacoes!$G$2:$G$6000,"&lt;&gt;")*Dimensoes!$E$2)</f>
        <v/>
      </c>
      <c r="K227" s="0" t="str">
        <f aca="false">IF($A227="","",COUNTIFS(Avaliacoes!$A$2:$A$6000,$A227,Avaliacoes!$F$2:$F$6000,"II",Avaliacoes!$H$2:$H$6000,0,Avaliacoes!$G$2:$G$6000,"&lt;&gt;")*Dimensoes!$E$3)</f>
        <v/>
      </c>
      <c r="L227" s="0" t="str">
        <f aca="false">IF($A227="","",COUNTIFS(Avaliacoes!$A$2:$A$6000,$A227,Avaliacoes!$F$2:$F$6000,"III",Avaliacoes!$H$2:$H$6000,0,Avaliacoes!$G$2:$G$6000,"&lt;&gt;")*Dimensoes!$E$4)</f>
        <v/>
      </c>
      <c r="M227" s="0" t="str">
        <f aca="false">IF($A227="","",COUNTIFS(Avaliacoes!$A$2:$A$6000,$A227,Avaliacoes!$F$2:$F$6000,"IV",Avaliacoes!$H$2:$H$6000,0,Avaliacoes!$G$2:$G$6000,"&lt;&gt;")*Dimensoes!$E$5)</f>
        <v/>
      </c>
      <c r="N227" s="9" t="str">
        <f aca="false">IF($A227="","",IF(J227&gt;0,F227/J227,""))</f>
        <v/>
      </c>
      <c r="O227" s="9" t="str">
        <f aca="false">IF($A227="","",IF(K227&gt;0,G227/K227,""))</f>
        <v/>
      </c>
      <c r="P227" s="9" t="str">
        <f aca="false">IF($A227="","",IF(L227&gt;0,H227/L227,""))</f>
        <v/>
      </c>
      <c r="Q227" s="9" t="str">
        <f aca="false">IF($A227="","",IF(M227&gt;0,I227/M227,""))</f>
        <v/>
      </c>
      <c r="R227" s="17" t="str">
        <f aca="false">IF($A227="","",IF((IF(N227="",0,Dimensoes!$C$2)+IF(O227="",0,Dimensoes!$C$3)+IF(P227="",0,Dimensoes!$C$4)+IF(Q227="",0,Dimensoes!$C$5))=0,"",(IF(N227="",0,N227*Dimensoes!$C$2)+IF(O227="",0,O227*Dimensoes!$C$3)+IF(P227="",0,P227*Dimensoes!$C$4)+IF(Q227="",0,Q227*Dimensoes!$C$5))/(IF(N227="",0,Dimensoes!$C$2)+IF(O227="",0,Dimensoes!$C$3)+IF(P227="",0,Dimensoes!$C$4)+IF(Q227="",0,Dimensoes!$C$5))))</f>
        <v/>
      </c>
      <c r="S227" s="0" t="str">
        <f aca="false">IF(R227="","",IF(R227&lt;Faixas!$C$3,"vermelho",IF(R227&lt;Faixas!$C$4,"amarelo","verde")))</f>
        <v/>
      </c>
      <c r="T227" s="9" t="str">
        <f aca="false">IF($A227="","",IF(N227="",0,N227*Dimensoes!$C$2)+IF(O227="",0,O227*Dimensoes!$C$3)+IF(P227="",0,P227*Dimensoes!$C$4)+IF(Q227="",0,Q227*Dimensoes!$C$5))</f>
        <v/>
      </c>
      <c r="U227" s="0" t="str">
        <f aca="false">IF($A227="","",IF(OR(E227="concluida",E227="incompleta"),1,0))</f>
        <v/>
      </c>
    </row>
    <row r="228" customFormat="false" ht="15" hidden="false" customHeight="false" outlineLevel="0" collapsed="false">
      <c r="A228" s="0" t="str">
        <f aca="false">IF(Visitas!A228="","",Visitas!A228)</f>
        <v/>
      </c>
      <c r="B228" s="0" t="str">
        <f aca="false">IF($A228="","",Visitas!C228)</f>
        <v/>
      </c>
      <c r="C228" s="7" t="str">
        <f aca="false">IF($A228="","",Visitas!D228)</f>
        <v/>
      </c>
      <c r="D228" s="0" t="str">
        <f aca="false">IF($A228="","",Visitas!B228)</f>
        <v/>
      </c>
      <c r="E228" s="0" t="str">
        <f aca="false">IF($A228="","",Visitas!F228)</f>
        <v/>
      </c>
      <c r="F228" s="0" t="str">
        <f aca="false">IF($A228="","",SUMIFS(Avaliacoes!$G$2:$G$6000,Avaliacoes!$A$2:$A$6000,$A228,Avaliacoes!$F$2:$F$6000,"I",Avaliacoes!$H$2:$H$6000,0))</f>
        <v/>
      </c>
      <c r="G228" s="0" t="str">
        <f aca="false">IF($A228="","",SUMIFS(Avaliacoes!$G$2:$G$6000,Avaliacoes!$A$2:$A$6000,$A228,Avaliacoes!$F$2:$F$6000,"II",Avaliacoes!$H$2:$H$6000,0))</f>
        <v/>
      </c>
      <c r="H228" s="0" t="str">
        <f aca="false">IF($A228="","",SUMIFS(Avaliacoes!$G$2:$G$6000,Avaliacoes!$A$2:$A$6000,$A228,Avaliacoes!$F$2:$F$6000,"III",Avaliacoes!$H$2:$H$6000,0))</f>
        <v/>
      </c>
      <c r="I228" s="0" t="str">
        <f aca="false">IF($A228="","",SUMIFS(Avaliacoes!$G$2:$G$6000,Avaliacoes!$A$2:$A$6000,$A228,Avaliacoes!$F$2:$F$6000,"IV",Avaliacoes!$H$2:$H$6000,0))</f>
        <v/>
      </c>
      <c r="J228" s="0" t="str">
        <f aca="false">IF($A228="","",COUNTIFS(Avaliacoes!$A$2:$A$6000,$A228,Avaliacoes!$F$2:$F$6000,"I",Avaliacoes!$H$2:$H$6000,0,Avaliacoes!$G$2:$G$6000,"&lt;&gt;")*Dimensoes!$E$2)</f>
        <v/>
      </c>
      <c r="K228" s="0" t="str">
        <f aca="false">IF($A228="","",COUNTIFS(Avaliacoes!$A$2:$A$6000,$A228,Avaliacoes!$F$2:$F$6000,"II",Avaliacoes!$H$2:$H$6000,0,Avaliacoes!$G$2:$G$6000,"&lt;&gt;")*Dimensoes!$E$3)</f>
        <v/>
      </c>
      <c r="L228" s="0" t="str">
        <f aca="false">IF($A228="","",COUNTIFS(Avaliacoes!$A$2:$A$6000,$A228,Avaliacoes!$F$2:$F$6000,"III",Avaliacoes!$H$2:$H$6000,0,Avaliacoes!$G$2:$G$6000,"&lt;&gt;")*Dimensoes!$E$4)</f>
        <v/>
      </c>
      <c r="M228" s="0" t="str">
        <f aca="false">IF($A228="","",COUNTIFS(Avaliacoes!$A$2:$A$6000,$A228,Avaliacoes!$F$2:$F$6000,"IV",Avaliacoes!$H$2:$H$6000,0,Avaliacoes!$G$2:$G$6000,"&lt;&gt;")*Dimensoes!$E$5)</f>
        <v/>
      </c>
      <c r="N228" s="9" t="str">
        <f aca="false">IF($A228="","",IF(J228&gt;0,F228/J228,""))</f>
        <v/>
      </c>
      <c r="O228" s="9" t="str">
        <f aca="false">IF($A228="","",IF(K228&gt;0,G228/K228,""))</f>
        <v/>
      </c>
      <c r="P228" s="9" t="str">
        <f aca="false">IF($A228="","",IF(L228&gt;0,H228/L228,""))</f>
        <v/>
      </c>
      <c r="Q228" s="9" t="str">
        <f aca="false">IF($A228="","",IF(M228&gt;0,I228/M228,""))</f>
        <v/>
      </c>
      <c r="R228" s="17" t="str">
        <f aca="false">IF($A228="","",IF((IF(N228="",0,Dimensoes!$C$2)+IF(O228="",0,Dimensoes!$C$3)+IF(P228="",0,Dimensoes!$C$4)+IF(Q228="",0,Dimensoes!$C$5))=0,"",(IF(N228="",0,N228*Dimensoes!$C$2)+IF(O228="",0,O228*Dimensoes!$C$3)+IF(P228="",0,P228*Dimensoes!$C$4)+IF(Q228="",0,Q228*Dimensoes!$C$5))/(IF(N228="",0,Dimensoes!$C$2)+IF(O228="",0,Dimensoes!$C$3)+IF(P228="",0,Dimensoes!$C$4)+IF(Q228="",0,Dimensoes!$C$5))))</f>
        <v/>
      </c>
      <c r="S228" s="0" t="str">
        <f aca="false">IF(R228="","",IF(R228&lt;Faixas!$C$3,"vermelho",IF(R228&lt;Faixas!$C$4,"amarelo","verde")))</f>
        <v/>
      </c>
      <c r="T228" s="9" t="str">
        <f aca="false">IF($A228="","",IF(N228="",0,N228*Dimensoes!$C$2)+IF(O228="",0,O228*Dimensoes!$C$3)+IF(P228="",0,P228*Dimensoes!$C$4)+IF(Q228="",0,Q228*Dimensoes!$C$5))</f>
        <v/>
      </c>
      <c r="U228" s="0" t="str">
        <f aca="false">IF($A228="","",IF(OR(E228="concluida",E228="incompleta"),1,0))</f>
        <v/>
      </c>
    </row>
    <row r="229" customFormat="false" ht="15" hidden="false" customHeight="false" outlineLevel="0" collapsed="false">
      <c r="A229" s="0" t="str">
        <f aca="false">IF(Visitas!A229="","",Visitas!A229)</f>
        <v/>
      </c>
      <c r="B229" s="0" t="str">
        <f aca="false">IF($A229="","",Visitas!C229)</f>
        <v/>
      </c>
      <c r="C229" s="7" t="str">
        <f aca="false">IF($A229="","",Visitas!D229)</f>
        <v/>
      </c>
      <c r="D229" s="0" t="str">
        <f aca="false">IF($A229="","",Visitas!B229)</f>
        <v/>
      </c>
      <c r="E229" s="0" t="str">
        <f aca="false">IF($A229="","",Visitas!F229)</f>
        <v/>
      </c>
      <c r="F229" s="0" t="str">
        <f aca="false">IF($A229="","",SUMIFS(Avaliacoes!$G$2:$G$6000,Avaliacoes!$A$2:$A$6000,$A229,Avaliacoes!$F$2:$F$6000,"I",Avaliacoes!$H$2:$H$6000,0))</f>
        <v/>
      </c>
      <c r="G229" s="0" t="str">
        <f aca="false">IF($A229="","",SUMIFS(Avaliacoes!$G$2:$G$6000,Avaliacoes!$A$2:$A$6000,$A229,Avaliacoes!$F$2:$F$6000,"II",Avaliacoes!$H$2:$H$6000,0))</f>
        <v/>
      </c>
      <c r="H229" s="0" t="str">
        <f aca="false">IF($A229="","",SUMIFS(Avaliacoes!$G$2:$G$6000,Avaliacoes!$A$2:$A$6000,$A229,Avaliacoes!$F$2:$F$6000,"III",Avaliacoes!$H$2:$H$6000,0))</f>
        <v/>
      </c>
      <c r="I229" s="0" t="str">
        <f aca="false">IF($A229="","",SUMIFS(Avaliacoes!$G$2:$G$6000,Avaliacoes!$A$2:$A$6000,$A229,Avaliacoes!$F$2:$F$6000,"IV",Avaliacoes!$H$2:$H$6000,0))</f>
        <v/>
      </c>
      <c r="J229" s="0" t="str">
        <f aca="false">IF($A229="","",COUNTIFS(Avaliacoes!$A$2:$A$6000,$A229,Avaliacoes!$F$2:$F$6000,"I",Avaliacoes!$H$2:$H$6000,0,Avaliacoes!$G$2:$G$6000,"&lt;&gt;")*Dimensoes!$E$2)</f>
        <v/>
      </c>
      <c r="K229" s="0" t="str">
        <f aca="false">IF($A229="","",COUNTIFS(Avaliacoes!$A$2:$A$6000,$A229,Avaliacoes!$F$2:$F$6000,"II",Avaliacoes!$H$2:$H$6000,0,Avaliacoes!$G$2:$G$6000,"&lt;&gt;")*Dimensoes!$E$3)</f>
        <v/>
      </c>
      <c r="L229" s="0" t="str">
        <f aca="false">IF($A229="","",COUNTIFS(Avaliacoes!$A$2:$A$6000,$A229,Avaliacoes!$F$2:$F$6000,"III",Avaliacoes!$H$2:$H$6000,0,Avaliacoes!$G$2:$G$6000,"&lt;&gt;")*Dimensoes!$E$4)</f>
        <v/>
      </c>
      <c r="M229" s="0" t="str">
        <f aca="false">IF($A229="","",COUNTIFS(Avaliacoes!$A$2:$A$6000,$A229,Avaliacoes!$F$2:$F$6000,"IV",Avaliacoes!$H$2:$H$6000,0,Avaliacoes!$G$2:$G$6000,"&lt;&gt;")*Dimensoes!$E$5)</f>
        <v/>
      </c>
      <c r="N229" s="9" t="str">
        <f aca="false">IF($A229="","",IF(J229&gt;0,F229/J229,""))</f>
        <v/>
      </c>
      <c r="O229" s="9" t="str">
        <f aca="false">IF($A229="","",IF(K229&gt;0,G229/K229,""))</f>
        <v/>
      </c>
      <c r="P229" s="9" t="str">
        <f aca="false">IF($A229="","",IF(L229&gt;0,H229/L229,""))</f>
        <v/>
      </c>
      <c r="Q229" s="9" t="str">
        <f aca="false">IF($A229="","",IF(M229&gt;0,I229/M229,""))</f>
        <v/>
      </c>
      <c r="R229" s="17" t="str">
        <f aca="false">IF($A229="","",IF((IF(N229="",0,Dimensoes!$C$2)+IF(O229="",0,Dimensoes!$C$3)+IF(P229="",0,Dimensoes!$C$4)+IF(Q229="",0,Dimensoes!$C$5))=0,"",(IF(N229="",0,N229*Dimensoes!$C$2)+IF(O229="",0,O229*Dimensoes!$C$3)+IF(P229="",0,P229*Dimensoes!$C$4)+IF(Q229="",0,Q229*Dimensoes!$C$5))/(IF(N229="",0,Dimensoes!$C$2)+IF(O229="",0,Dimensoes!$C$3)+IF(P229="",0,Dimensoes!$C$4)+IF(Q229="",0,Dimensoes!$C$5))))</f>
        <v/>
      </c>
      <c r="S229" s="0" t="str">
        <f aca="false">IF(R229="","",IF(R229&lt;Faixas!$C$3,"vermelho",IF(R229&lt;Faixas!$C$4,"amarelo","verde")))</f>
        <v/>
      </c>
      <c r="T229" s="9" t="str">
        <f aca="false">IF($A229="","",IF(N229="",0,N229*Dimensoes!$C$2)+IF(O229="",0,O229*Dimensoes!$C$3)+IF(P229="",0,P229*Dimensoes!$C$4)+IF(Q229="",0,Q229*Dimensoes!$C$5))</f>
        <v/>
      </c>
      <c r="U229" s="0" t="str">
        <f aca="false">IF($A229="","",IF(OR(E229="concluida",E229="incompleta"),1,0))</f>
        <v/>
      </c>
    </row>
    <row r="230" customFormat="false" ht="15" hidden="false" customHeight="false" outlineLevel="0" collapsed="false">
      <c r="A230" s="0" t="str">
        <f aca="false">IF(Visitas!A230="","",Visitas!A230)</f>
        <v/>
      </c>
      <c r="B230" s="0" t="str">
        <f aca="false">IF($A230="","",Visitas!C230)</f>
        <v/>
      </c>
      <c r="C230" s="7" t="str">
        <f aca="false">IF($A230="","",Visitas!D230)</f>
        <v/>
      </c>
      <c r="D230" s="0" t="str">
        <f aca="false">IF($A230="","",Visitas!B230)</f>
        <v/>
      </c>
      <c r="E230" s="0" t="str">
        <f aca="false">IF($A230="","",Visitas!F230)</f>
        <v/>
      </c>
      <c r="F230" s="0" t="str">
        <f aca="false">IF($A230="","",SUMIFS(Avaliacoes!$G$2:$G$6000,Avaliacoes!$A$2:$A$6000,$A230,Avaliacoes!$F$2:$F$6000,"I",Avaliacoes!$H$2:$H$6000,0))</f>
        <v/>
      </c>
      <c r="G230" s="0" t="str">
        <f aca="false">IF($A230="","",SUMIFS(Avaliacoes!$G$2:$G$6000,Avaliacoes!$A$2:$A$6000,$A230,Avaliacoes!$F$2:$F$6000,"II",Avaliacoes!$H$2:$H$6000,0))</f>
        <v/>
      </c>
      <c r="H230" s="0" t="str">
        <f aca="false">IF($A230="","",SUMIFS(Avaliacoes!$G$2:$G$6000,Avaliacoes!$A$2:$A$6000,$A230,Avaliacoes!$F$2:$F$6000,"III",Avaliacoes!$H$2:$H$6000,0))</f>
        <v/>
      </c>
      <c r="I230" s="0" t="str">
        <f aca="false">IF($A230="","",SUMIFS(Avaliacoes!$G$2:$G$6000,Avaliacoes!$A$2:$A$6000,$A230,Avaliacoes!$F$2:$F$6000,"IV",Avaliacoes!$H$2:$H$6000,0))</f>
        <v/>
      </c>
      <c r="J230" s="0" t="str">
        <f aca="false">IF($A230="","",COUNTIFS(Avaliacoes!$A$2:$A$6000,$A230,Avaliacoes!$F$2:$F$6000,"I",Avaliacoes!$H$2:$H$6000,0,Avaliacoes!$G$2:$G$6000,"&lt;&gt;")*Dimensoes!$E$2)</f>
        <v/>
      </c>
      <c r="K230" s="0" t="str">
        <f aca="false">IF($A230="","",COUNTIFS(Avaliacoes!$A$2:$A$6000,$A230,Avaliacoes!$F$2:$F$6000,"II",Avaliacoes!$H$2:$H$6000,0,Avaliacoes!$G$2:$G$6000,"&lt;&gt;")*Dimensoes!$E$3)</f>
        <v/>
      </c>
      <c r="L230" s="0" t="str">
        <f aca="false">IF($A230="","",COUNTIFS(Avaliacoes!$A$2:$A$6000,$A230,Avaliacoes!$F$2:$F$6000,"III",Avaliacoes!$H$2:$H$6000,0,Avaliacoes!$G$2:$G$6000,"&lt;&gt;")*Dimensoes!$E$4)</f>
        <v/>
      </c>
      <c r="M230" s="0" t="str">
        <f aca="false">IF($A230="","",COUNTIFS(Avaliacoes!$A$2:$A$6000,$A230,Avaliacoes!$F$2:$F$6000,"IV",Avaliacoes!$H$2:$H$6000,0,Avaliacoes!$G$2:$G$6000,"&lt;&gt;")*Dimensoes!$E$5)</f>
        <v/>
      </c>
      <c r="N230" s="9" t="str">
        <f aca="false">IF($A230="","",IF(J230&gt;0,F230/J230,""))</f>
        <v/>
      </c>
      <c r="O230" s="9" t="str">
        <f aca="false">IF($A230="","",IF(K230&gt;0,G230/K230,""))</f>
        <v/>
      </c>
      <c r="P230" s="9" t="str">
        <f aca="false">IF($A230="","",IF(L230&gt;0,H230/L230,""))</f>
        <v/>
      </c>
      <c r="Q230" s="9" t="str">
        <f aca="false">IF($A230="","",IF(M230&gt;0,I230/M230,""))</f>
        <v/>
      </c>
      <c r="R230" s="17" t="str">
        <f aca="false">IF($A230="","",IF((IF(N230="",0,Dimensoes!$C$2)+IF(O230="",0,Dimensoes!$C$3)+IF(P230="",0,Dimensoes!$C$4)+IF(Q230="",0,Dimensoes!$C$5))=0,"",(IF(N230="",0,N230*Dimensoes!$C$2)+IF(O230="",0,O230*Dimensoes!$C$3)+IF(P230="",0,P230*Dimensoes!$C$4)+IF(Q230="",0,Q230*Dimensoes!$C$5))/(IF(N230="",0,Dimensoes!$C$2)+IF(O230="",0,Dimensoes!$C$3)+IF(P230="",0,Dimensoes!$C$4)+IF(Q230="",0,Dimensoes!$C$5))))</f>
        <v/>
      </c>
      <c r="S230" s="0" t="str">
        <f aca="false">IF(R230="","",IF(R230&lt;Faixas!$C$3,"vermelho",IF(R230&lt;Faixas!$C$4,"amarelo","verde")))</f>
        <v/>
      </c>
      <c r="T230" s="9" t="str">
        <f aca="false">IF($A230="","",IF(N230="",0,N230*Dimensoes!$C$2)+IF(O230="",0,O230*Dimensoes!$C$3)+IF(P230="",0,P230*Dimensoes!$C$4)+IF(Q230="",0,Q230*Dimensoes!$C$5))</f>
        <v/>
      </c>
      <c r="U230" s="0" t="str">
        <f aca="false">IF($A230="","",IF(OR(E230="concluida",E230="incompleta"),1,0))</f>
        <v/>
      </c>
    </row>
    <row r="231" customFormat="false" ht="15" hidden="false" customHeight="false" outlineLevel="0" collapsed="false">
      <c r="A231" s="0" t="str">
        <f aca="false">IF(Visitas!A231="","",Visitas!A231)</f>
        <v/>
      </c>
      <c r="B231" s="0" t="str">
        <f aca="false">IF($A231="","",Visitas!C231)</f>
        <v/>
      </c>
      <c r="C231" s="7" t="str">
        <f aca="false">IF($A231="","",Visitas!D231)</f>
        <v/>
      </c>
      <c r="D231" s="0" t="str">
        <f aca="false">IF($A231="","",Visitas!B231)</f>
        <v/>
      </c>
      <c r="E231" s="0" t="str">
        <f aca="false">IF($A231="","",Visitas!F231)</f>
        <v/>
      </c>
      <c r="F231" s="0" t="str">
        <f aca="false">IF($A231="","",SUMIFS(Avaliacoes!$G$2:$G$6000,Avaliacoes!$A$2:$A$6000,$A231,Avaliacoes!$F$2:$F$6000,"I",Avaliacoes!$H$2:$H$6000,0))</f>
        <v/>
      </c>
      <c r="G231" s="0" t="str">
        <f aca="false">IF($A231="","",SUMIFS(Avaliacoes!$G$2:$G$6000,Avaliacoes!$A$2:$A$6000,$A231,Avaliacoes!$F$2:$F$6000,"II",Avaliacoes!$H$2:$H$6000,0))</f>
        <v/>
      </c>
      <c r="H231" s="0" t="str">
        <f aca="false">IF($A231="","",SUMIFS(Avaliacoes!$G$2:$G$6000,Avaliacoes!$A$2:$A$6000,$A231,Avaliacoes!$F$2:$F$6000,"III",Avaliacoes!$H$2:$H$6000,0))</f>
        <v/>
      </c>
      <c r="I231" s="0" t="str">
        <f aca="false">IF($A231="","",SUMIFS(Avaliacoes!$G$2:$G$6000,Avaliacoes!$A$2:$A$6000,$A231,Avaliacoes!$F$2:$F$6000,"IV",Avaliacoes!$H$2:$H$6000,0))</f>
        <v/>
      </c>
      <c r="J231" s="0" t="str">
        <f aca="false">IF($A231="","",COUNTIFS(Avaliacoes!$A$2:$A$6000,$A231,Avaliacoes!$F$2:$F$6000,"I",Avaliacoes!$H$2:$H$6000,0,Avaliacoes!$G$2:$G$6000,"&lt;&gt;")*Dimensoes!$E$2)</f>
        <v/>
      </c>
      <c r="K231" s="0" t="str">
        <f aca="false">IF($A231="","",COUNTIFS(Avaliacoes!$A$2:$A$6000,$A231,Avaliacoes!$F$2:$F$6000,"II",Avaliacoes!$H$2:$H$6000,0,Avaliacoes!$G$2:$G$6000,"&lt;&gt;")*Dimensoes!$E$3)</f>
        <v/>
      </c>
      <c r="L231" s="0" t="str">
        <f aca="false">IF($A231="","",COUNTIFS(Avaliacoes!$A$2:$A$6000,$A231,Avaliacoes!$F$2:$F$6000,"III",Avaliacoes!$H$2:$H$6000,0,Avaliacoes!$G$2:$G$6000,"&lt;&gt;")*Dimensoes!$E$4)</f>
        <v/>
      </c>
      <c r="M231" s="0" t="str">
        <f aca="false">IF($A231="","",COUNTIFS(Avaliacoes!$A$2:$A$6000,$A231,Avaliacoes!$F$2:$F$6000,"IV",Avaliacoes!$H$2:$H$6000,0,Avaliacoes!$G$2:$G$6000,"&lt;&gt;")*Dimensoes!$E$5)</f>
        <v/>
      </c>
      <c r="N231" s="9" t="str">
        <f aca="false">IF($A231="","",IF(J231&gt;0,F231/J231,""))</f>
        <v/>
      </c>
      <c r="O231" s="9" t="str">
        <f aca="false">IF($A231="","",IF(K231&gt;0,G231/K231,""))</f>
        <v/>
      </c>
      <c r="P231" s="9" t="str">
        <f aca="false">IF($A231="","",IF(L231&gt;0,H231/L231,""))</f>
        <v/>
      </c>
      <c r="Q231" s="9" t="str">
        <f aca="false">IF($A231="","",IF(M231&gt;0,I231/M231,""))</f>
        <v/>
      </c>
      <c r="R231" s="17" t="str">
        <f aca="false">IF($A231="","",IF((IF(N231="",0,Dimensoes!$C$2)+IF(O231="",0,Dimensoes!$C$3)+IF(P231="",0,Dimensoes!$C$4)+IF(Q231="",0,Dimensoes!$C$5))=0,"",(IF(N231="",0,N231*Dimensoes!$C$2)+IF(O231="",0,O231*Dimensoes!$C$3)+IF(P231="",0,P231*Dimensoes!$C$4)+IF(Q231="",0,Q231*Dimensoes!$C$5))/(IF(N231="",0,Dimensoes!$C$2)+IF(O231="",0,Dimensoes!$C$3)+IF(P231="",0,Dimensoes!$C$4)+IF(Q231="",0,Dimensoes!$C$5))))</f>
        <v/>
      </c>
      <c r="S231" s="0" t="str">
        <f aca="false">IF(R231="","",IF(R231&lt;Faixas!$C$3,"vermelho",IF(R231&lt;Faixas!$C$4,"amarelo","verde")))</f>
        <v/>
      </c>
      <c r="T231" s="9" t="str">
        <f aca="false">IF($A231="","",IF(N231="",0,N231*Dimensoes!$C$2)+IF(O231="",0,O231*Dimensoes!$C$3)+IF(P231="",0,P231*Dimensoes!$C$4)+IF(Q231="",0,Q231*Dimensoes!$C$5))</f>
        <v/>
      </c>
      <c r="U231" s="0" t="str">
        <f aca="false">IF($A231="","",IF(OR(E231="concluida",E231="incompleta"),1,0))</f>
        <v/>
      </c>
    </row>
    <row r="232" customFormat="false" ht="15" hidden="false" customHeight="false" outlineLevel="0" collapsed="false">
      <c r="A232" s="0" t="str">
        <f aca="false">IF(Visitas!A232="","",Visitas!A232)</f>
        <v/>
      </c>
      <c r="B232" s="0" t="str">
        <f aca="false">IF($A232="","",Visitas!C232)</f>
        <v/>
      </c>
      <c r="C232" s="7" t="str">
        <f aca="false">IF($A232="","",Visitas!D232)</f>
        <v/>
      </c>
      <c r="D232" s="0" t="str">
        <f aca="false">IF($A232="","",Visitas!B232)</f>
        <v/>
      </c>
      <c r="E232" s="0" t="str">
        <f aca="false">IF($A232="","",Visitas!F232)</f>
        <v/>
      </c>
      <c r="F232" s="0" t="str">
        <f aca="false">IF($A232="","",SUMIFS(Avaliacoes!$G$2:$G$6000,Avaliacoes!$A$2:$A$6000,$A232,Avaliacoes!$F$2:$F$6000,"I",Avaliacoes!$H$2:$H$6000,0))</f>
        <v/>
      </c>
      <c r="G232" s="0" t="str">
        <f aca="false">IF($A232="","",SUMIFS(Avaliacoes!$G$2:$G$6000,Avaliacoes!$A$2:$A$6000,$A232,Avaliacoes!$F$2:$F$6000,"II",Avaliacoes!$H$2:$H$6000,0))</f>
        <v/>
      </c>
      <c r="H232" s="0" t="str">
        <f aca="false">IF($A232="","",SUMIFS(Avaliacoes!$G$2:$G$6000,Avaliacoes!$A$2:$A$6000,$A232,Avaliacoes!$F$2:$F$6000,"III",Avaliacoes!$H$2:$H$6000,0))</f>
        <v/>
      </c>
      <c r="I232" s="0" t="str">
        <f aca="false">IF($A232="","",SUMIFS(Avaliacoes!$G$2:$G$6000,Avaliacoes!$A$2:$A$6000,$A232,Avaliacoes!$F$2:$F$6000,"IV",Avaliacoes!$H$2:$H$6000,0))</f>
        <v/>
      </c>
      <c r="J232" s="0" t="str">
        <f aca="false">IF($A232="","",COUNTIFS(Avaliacoes!$A$2:$A$6000,$A232,Avaliacoes!$F$2:$F$6000,"I",Avaliacoes!$H$2:$H$6000,0,Avaliacoes!$G$2:$G$6000,"&lt;&gt;")*Dimensoes!$E$2)</f>
        <v/>
      </c>
      <c r="K232" s="0" t="str">
        <f aca="false">IF($A232="","",COUNTIFS(Avaliacoes!$A$2:$A$6000,$A232,Avaliacoes!$F$2:$F$6000,"II",Avaliacoes!$H$2:$H$6000,0,Avaliacoes!$G$2:$G$6000,"&lt;&gt;")*Dimensoes!$E$3)</f>
        <v/>
      </c>
      <c r="L232" s="0" t="str">
        <f aca="false">IF($A232="","",COUNTIFS(Avaliacoes!$A$2:$A$6000,$A232,Avaliacoes!$F$2:$F$6000,"III",Avaliacoes!$H$2:$H$6000,0,Avaliacoes!$G$2:$G$6000,"&lt;&gt;")*Dimensoes!$E$4)</f>
        <v/>
      </c>
      <c r="M232" s="0" t="str">
        <f aca="false">IF($A232="","",COUNTIFS(Avaliacoes!$A$2:$A$6000,$A232,Avaliacoes!$F$2:$F$6000,"IV",Avaliacoes!$H$2:$H$6000,0,Avaliacoes!$G$2:$G$6000,"&lt;&gt;")*Dimensoes!$E$5)</f>
        <v/>
      </c>
      <c r="N232" s="9" t="str">
        <f aca="false">IF($A232="","",IF(J232&gt;0,F232/J232,""))</f>
        <v/>
      </c>
      <c r="O232" s="9" t="str">
        <f aca="false">IF($A232="","",IF(K232&gt;0,G232/K232,""))</f>
        <v/>
      </c>
      <c r="P232" s="9" t="str">
        <f aca="false">IF($A232="","",IF(L232&gt;0,H232/L232,""))</f>
        <v/>
      </c>
      <c r="Q232" s="9" t="str">
        <f aca="false">IF($A232="","",IF(M232&gt;0,I232/M232,""))</f>
        <v/>
      </c>
      <c r="R232" s="17" t="str">
        <f aca="false">IF($A232="","",IF((IF(N232="",0,Dimensoes!$C$2)+IF(O232="",0,Dimensoes!$C$3)+IF(P232="",0,Dimensoes!$C$4)+IF(Q232="",0,Dimensoes!$C$5))=0,"",(IF(N232="",0,N232*Dimensoes!$C$2)+IF(O232="",0,O232*Dimensoes!$C$3)+IF(P232="",0,P232*Dimensoes!$C$4)+IF(Q232="",0,Q232*Dimensoes!$C$5))/(IF(N232="",0,Dimensoes!$C$2)+IF(O232="",0,Dimensoes!$C$3)+IF(P232="",0,Dimensoes!$C$4)+IF(Q232="",0,Dimensoes!$C$5))))</f>
        <v/>
      </c>
      <c r="S232" s="0" t="str">
        <f aca="false">IF(R232="","",IF(R232&lt;Faixas!$C$3,"vermelho",IF(R232&lt;Faixas!$C$4,"amarelo","verde")))</f>
        <v/>
      </c>
      <c r="T232" s="9" t="str">
        <f aca="false">IF($A232="","",IF(N232="",0,N232*Dimensoes!$C$2)+IF(O232="",0,O232*Dimensoes!$C$3)+IF(P232="",0,P232*Dimensoes!$C$4)+IF(Q232="",0,Q232*Dimensoes!$C$5))</f>
        <v/>
      </c>
      <c r="U232" s="0" t="str">
        <f aca="false">IF($A232="","",IF(OR(E232="concluida",E232="incompleta"),1,0))</f>
        <v/>
      </c>
    </row>
    <row r="233" customFormat="false" ht="15" hidden="false" customHeight="false" outlineLevel="0" collapsed="false">
      <c r="A233" s="0" t="str">
        <f aca="false">IF(Visitas!A233="","",Visitas!A233)</f>
        <v/>
      </c>
      <c r="B233" s="0" t="str">
        <f aca="false">IF($A233="","",Visitas!C233)</f>
        <v/>
      </c>
      <c r="C233" s="7" t="str">
        <f aca="false">IF($A233="","",Visitas!D233)</f>
        <v/>
      </c>
      <c r="D233" s="0" t="str">
        <f aca="false">IF($A233="","",Visitas!B233)</f>
        <v/>
      </c>
      <c r="E233" s="0" t="str">
        <f aca="false">IF($A233="","",Visitas!F233)</f>
        <v/>
      </c>
      <c r="F233" s="0" t="str">
        <f aca="false">IF($A233="","",SUMIFS(Avaliacoes!$G$2:$G$6000,Avaliacoes!$A$2:$A$6000,$A233,Avaliacoes!$F$2:$F$6000,"I",Avaliacoes!$H$2:$H$6000,0))</f>
        <v/>
      </c>
      <c r="G233" s="0" t="str">
        <f aca="false">IF($A233="","",SUMIFS(Avaliacoes!$G$2:$G$6000,Avaliacoes!$A$2:$A$6000,$A233,Avaliacoes!$F$2:$F$6000,"II",Avaliacoes!$H$2:$H$6000,0))</f>
        <v/>
      </c>
      <c r="H233" s="0" t="str">
        <f aca="false">IF($A233="","",SUMIFS(Avaliacoes!$G$2:$G$6000,Avaliacoes!$A$2:$A$6000,$A233,Avaliacoes!$F$2:$F$6000,"III",Avaliacoes!$H$2:$H$6000,0))</f>
        <v/>
      </c>
      <c r="I233" s="0" t="str">
        <f aca="false">IF($A233="","",SUMIFS(Avaliacoes!$G$2:$G$6000,Avaliacoes!$A$2:$A$6000,$A233,Avaliacoes!$F$2:$F$6000,"IV",Avaliacoes!$H$2:$H$6000,0))</f>
        <v/>
      </c>
      <c r="J233" s="0" t="str">
        <f aca="false">IF($A233="","",COUNTIFS(Avaliacoes!$A$2:$A$6000,$A233,Avaliacoes!$F$2:$F$6000,"I",Avaliacoes!$H$2:$H$6000,0,Avaliacoes!$G$2:$G$6000,"&lt;&gt;")*Dimensoes!$E$2)</f>
        <v/>
      </c>
      <c r="K233" s="0" t="str">
        <f aca="false">IF($A233="","",COUNTIFS(Avaliacoes!$A$2:$A$6000,$A233,Avaliacoes!$F$2:$F$6000,"II",Avaliacoes!$H$2:$H$6000,0,Avaliacoes!$G$2:$G$6000,"&lt;&gt;")*Dimensoes!$E$3)</f>
        <v/>
      </c>
      <c r="L233" s="0" t="str">
        <f aca="false">IF($A233="","",COUNTIFS(Avaliacoes!$A$2:$A$6000,$A233,Avaliacoes!$F$2:$F$6000,"III",Avaliacoes!$H$2:$H$6000,0,Avaliacoes!$G$2:$G$6000,"&lt;&gt;")*Dimensoes!$E$4)</f>
        <v/>
      </c>
      <c r="M233" s="0" t="str">
        <f aca="false">IF($A233="","",COUNTIFS(Avaliacoes!$A$2:$A$6000,$A233,Avaliacoes!$F$2:$F$6000,"IV",Avaliacoes!$H$2:$H$6000,0,Avaliacoes!$G$2:$G$6000,"&lt;&gt;")*Dimensoes!$E$5)</f>
        <v/>
      </c>
      <c r="N233" s="9" t="str">
        <f aca="false">IF($A233="","",IF(J233&gt;0,F233/J233,""))</f>
        <v/>
      </c>
      <c r="O233" s="9" t="str">
        <f aca="false">IF($A233="","",IF(K233&gt;0,G233/K233,""))</f>
        <v/>
      </c>
      <c r="P233" s="9" t="str">
        <f aca="false">IF($A233="","",IF(L233&gt;0,H233/L233,""))</f>
        <v/>
      </c>
      <c r="Q233" s="9" t="str">
        <f aca="false">IF($A233="","",IF(M233&gt;0,I233/M233,""))</f>
        <v/>
      </c>
      <c r="R233" s="17" t="str">
        <f aca="false">IF($A233="","",IF((IF(N233="",0,Dimensoes!$C$2)+IF(O233="",0,Dimensoes!$C$3)+IF(P233="",0,Dimensoes!$C$4)+IF(Q233="",0,Dimensoes!$C$5))=0,"",(IF(N233="",0,N233*Dimensoes!$C$2)+IF(O233="",0,O233*Dimensoes!$C$3)+IF(P233="",0,P233*Dimensoes!$C$4)+IF(Q233="",0,Q233*Dimensoes!$C$5))/(IF(N233="",0,Dimensoes!$C$2)+IF(O233="",0,Dimensoes!$C$3)+IF(P233="",0,Dimensoes!$C$4)+IF(Q233="",0,Dimensoes!$C$5))))</f>
        <v/>
      </c>
      <c r="S233" s="0" t="str">
        <f aca="false">IF(R233="","",IF(R233&lt;Faixas!$C$3,"vermelho",IF(R233&lt;Faixas!$C$4,"amarelo","verde")))</f>
        <v/>
      </c>
      <c r="T233" s="9" t="str">
        <f aca="false">IF($A233="","",IF(N233="",0,N233*Dimensoes!$C$2)+IF(O233="",0,O233*Dimensoes!$C$3)+IF(P233="",0,P233*Dimensoes!$C$4)+IF(Q233="",0,Q233*Dimensoes!$C$5))</f>
        <v/>
      </c>
      <c r="U233" s="0" t="str">
        <f aca="false">IF($A233="","",IF(OR(E233="concluida",E233="incompleta"),1,0))</f>
        <v/>
      </c>
    </row>
    <row r="234" customFormat="false" ht="15" hidden="false" customHeight="false" outlineLevel="0" collapsed="false">
      <c r="A234" s="0" t="str">
        <f aca="false">IF(Visitas!A234="","",Visitas!A234)</f>
        <v/>
      </c>
      <c r="B234" s="0" t="str">
        <f aca="false">IF($A234="","",Visitas!C234)</f>
        <v/>
      </c>
      <c r="C234" s="7" t="str">
        <f aca="false">IF($A234="","",Visitas!D234)</f>
        <v/>
      </c>
      <c r="D234" s="0" t="str">
        <f aca="false">IF($A234="","",Visitas!B234)</f>
        <v/>
      </c>
      <c r="E234" s="0" t="str">
        <f aca="false">IF($A234="","",Visitas!F234)</f>
        <v/>
      </c>
      <c r="F234" s="0" t="str">
        <f aca="false">IF($A234="","",SUMIFS(Avaliacoes!$G$2:$G$6000,Avaliacoes!$A$2:$A$6000,$A234,Avaliacoes!$F$2:$F$6000,"I",Avaliacoes!$H$2:$H$6000,0))</f>
        <v/>
      </c>
      <c r="G234" s="0" t="str">
        <f aca="false">IF($A234="","",SUMIFS(Avaliacoes!$G$2:$G$6000,Avaliacoes!$A$2:$A$6000,$A234,Avaliacoes!$F$2:$F$6000,"II",Avaliacoes!$H$2:$H$6000,0))</f>
        <v/>
      </c>
      <c r="H234" s="0" t="str">
        <f aca="false">IF($A234="","",SUMIFS(Avaliacoes!$G$2:$G$6000,Avaliacoes!$A$2:$A$6000,$A234,Avaliacoes!$F$2:$F$6000,"III",Avaliacoes!$H$2:$H$6000,0))</f>
        <v/>
      </c>
      <c r="I234" s="0" t="str">
        <f aca="false">IF($A234="","",SUMIFS(Avaliacoes!$G$2:$G$6000,Avaliacoes!$A$2:$A$6000,$A234,Avaliacoes!$F$2:$F$6000,"IV",Avaliacoes!$H$2:$H$6000,0))</f>
        <v/>
      </c>
      <c r="J234" s="0" t="str">
        <f aca="false">IF($A234="","",COUNTIFS(Avaliacoes!$A$2:$A$6000,$A234,Avaliacoes!$F$2:$F$6000,"I",Avaliacoes!$H$2:$H$6000,0,Avaliacoes!$G$2:$G$6000,"&lt;&gt;")*Dimensoes!$E$2)</f>
        <v/>
      </c>
      <c r="K234" s="0" t="str">
        <f aca="false">IF($A234="","",COUNTIFS(Avaliacoes!$A$2:$A$6000,$A234,Avaliacoes!$F$2:$F$6000,"II",Avaliacoes!$H$2:$H$6000,0,Avaliacoes!$G$2:$G$6000,"&lt;&gt;")*Dimensoes!$E$3)</f>
        <v/>
      </c>
      <c r="L234" s="0" t="str">
        <f aca="false">IF($A234="","",COUNTIFS(Avaliacoes!$A$2:$A$6000,$A234,Avaliacoes!$F$2:$F$6000,"III",Avaliacoes!$H$2:$H$6000,0,Avaliacoes!$G$2:$G$6000,"&lt;&gt;")*Dimensoes!$E$4)</f>
        <v/>
      </c>
      <c r="M234" s="0" t="str">
        <f aca="false">IF($A234="","",COUNTIFS(Avaliacoes!$A$2:$A$6000,$A234,Avaliacoes!$F$2:$F$6000,"IV",Avaliacoes!$H$2:$H$6000,0,Avaliacoes!$G$2:$G$6000,"&lt;&gt;")*Dimensoes!$E$5)</f>
        <v/>
      </c>
      <c r="N234" s="9" t="str">
        <f aca="false">IF($A234="","",IF(J234&gt;0,F234/J234,""))</f>
        <v/>
      </c>
      <c r="O234" s="9" t="str">
        <f aca="false">IF($A234="","",IF(K234&gt;0,G234/K234,""))</f>
        <v/>
      </c>
      <c r="P234" s="9" t="str">
        <f aca="false">IF($A234="","",IF(L234&gt;0,H234/L234,""))</f>
        <v/>
      </c>
      <c r="Q234" s="9" t="str">
        <f aca="false">IF($A234="","",IF(M234&gt;0,I234/M234,""))</f>
        <v/>
      </c>
      <c r="R234" s="17" t="str">
        <f aca="false">IF($A234="","",IF((IF(N234="",0,Dimensoes!$C$2)+IF(O234="",0,Dimensoes!$C$3)+IF(P234="",0,Dimensoes!$C$4)+IF(Q234="",0,Dimensoes!$C$5))=0,"",(IF(N234="",0,N234*Dimensoes!$C$2)+IF(O234="",0,O234*Dimensoes!$C$3)+IF(P234="",0,P234*Dimensoes!$C$4)+IF(Q234="",0,Q234*Dimensoes!$C$5))/(IF(N234="",0,Dimensoes!$C$2)+IF(O234="",0,Dimensoes!$C$3)+IF(P234="",0,Dimensoes!$C$4)+IF(Q234="",0,Dimensoes!$C$5))))</f>
        <v/>
      </c>
      <c r="S234" s="0" t="str">
        <f aca="false">IF(R234="","",IF(R234&lt;Faixas!$C$3,"vermelho",IF(R234&lt;Faixas!$C$4,"amarelo","verde")))</f>
        <v/>
      </c>
      <c r="T234" s="9" t="str">
        <f aca="false">IF($A234="","",IF(N234="",0,N234*Dimensoes!$C$2)+IF(O234="",0,O234*Dimensoes!$C$3)+IF(P234="",0,P234*Dimensoes!$C$4)+IF(Q234="",0,Q234*Dimensoes!$C$5))</f>
        <v/>
      </c>
      <c r="U234" s="0" t="str">
        <f aca="false">IF($A234="","",IF(OR(E234="concluida",E234="incompleta"),1,0))</f>
        <v/>
      </c>
    </row>
    <row r="235" customFormat="false" ht="15" hidden="false" customHeight="false" outlineLevel="0" collapsed="false">
      <c r="A235" s="0" t="str">
        <f aca="false">IF(Visitas!A235="","",Visitas!A235)</f>
        <v/>
      </c>
      <c r="B235" s="0" t="str">
        <f aca="false">IF($A235="","",Visitas!C235)</f>
        <v/>
      </c>
      <c r="C235" s="7" t="str">
        <f aca="false">IF($A235="","",Visitas!D235)</f>
        <v/>
      </c>
      <c r="D235" s="0" t="str">
        <f aca="false">IF($A235="","",Visitas!B235)</f>
        <v/>
      </c>
      <c r="E235" s="0" t="str">
        <f aca="false">IF($A235="","",Visitas!F235)</f>
        <v/>
      </c>
      <c r="F235" s="0" t="str">
        <f aca="false">IF($A235="","",SUMIFS(Avaliacoes!$G$2:$G$6000,Avaliacoes!$A$2:$A$6000,$A235,Avaliacoes!$F$2:$F$6000,"I",Avaliacoes!$H$2:$H$6000,0))</f>
        <v/>
      </c>
      <c r="G235" s="0" t="str">
        <f aca="false">IF($A235="","",SUMIFS(Avaliacoes!$G$2:$G$6000,Avaliacoes!$A$2:$A$6000,$A235,Avaliacoes!$F$2:$F$6000,"II",Avaliacoes!$H$2:$H$6000,0))</f>
        <v/>
      </c>
      <c r="H235" s="0" t="str">
        <f aca="false">IF($A235="","",SUMIFS(Avaliacoes!$G$2:$G$6000,Avaliacoes!$A$2:$A$6000,$A235,Avaliacoes!$F$2:$F$6000,"III",Avaliacoes!$H$2:$H$6000,0))</f>
        <v/>
      </c>
      <c r="I235" s="0" t="str">
        <f aca="false">IF($A235="","",SUMIFS(Avaliacoes!$G$2:$G$6000,Avaliacoes!$A$2:$A$6000,$A235,Avaliacoes!$F$2:$F$6000,"IV",Avaliacoes!$H$2:$H$6000,0))</f>
        <v/>
      </c>
      <c r="J235" s="0" t="str">
        <f aca="false">IF($A235="","",COUNTIFS(Avaliacoes!$A$2:$A$6000,$A235,Avaliacoes!$F$2:$F$6000,"I",Avaliacoes!$H$2:$H$6000,0,Avaliacoes!$G$2:$G$6000,"&lt;&gt;")*Dimensoes!$E$2)</f>
        <v/>
      </c>
      <c r="K235" s="0" t="str">
        <f aca="false">IF($A235="","",COUNTIFS(Avaliacoes!$A$2:$A$6000,$A235,Avaliacoes!$F$2:$F$6000,"II",Avaliacoes!$H$2:$H$6000,0,Avaliacoes!$G$2:$G$6000,"&lt;&gt;")*Dimensoes!$E$3)</f>
        <v/>
      </c>
      <c r="L235" s="0" t="str">
        <f aca="false">IF($A235="","",COUNTIFS(Avaliacoes!$A$2:$A$6000,$A235,Avaliacoes!$F$2:$F$6000,"III",Avaliacoes!$H$2:$H$6000,0,Avaliacoes!$G$2:$G$6000,"&lt;&gt;")*Dimensoes!$E$4)</f>
        <v/>
      </c>
      <c r="M235" s="0" t="str">
        <f aca="false">IF($A235="","",COUNTIFS(Avaliacoes!$A$2:$A$6000,$A235,Avaliacoes!$F$2:$F$6000,"IV",Avaliacoes!$H$2:$H$6000,0,Avaliacoes!$G$2:$G$6000,"&lt;&gt;")*Dimensoes!$E$5)</f>
        <v/>
      </c>
      <c r="N235" s="9" t="str">
        <f aca="false">IF($A235="","",IF(J235&gt;0,F235/J235,""))</f>
        <v/>
      </c>
      <c r="O235" s="9" t="str">
        <f aca="false">IF($A235="","",IF(K235&gt;0,G235/K235,""))</f>
        <v/>
      </c>
      <c r="P235" s="9" t="str">
        <f aca="false">IF($A235="","",IF(L235&gt;0,H235/L235,""))</f>
        <v/>
      </c>
      <c r="Q235" s="9" t="str">
        <f aca="false">IF($A235="","",IF(M235&gt;0,I235/M235,""))</f>
        <v/>
      </c>
      <c r="R235" s="17" t="str">
        <f aca="false">IF($A235="","",IF((IF(N235="",0,Dimensoes!$C$2)+IF(O235="",0,Dimensoes!$C$3)+IF(P235="",0,Dimensoes!$C$4)+IF(Q235="",0,Dimensoes!$C$5))=0,"",(IF(N235="",0,N235*Dimensoes!$C$2)+IF(O235="",0,O235*Dimensoes!$C$3)+IF(P235="",0,P235*Dimensoes!$C$4)+IF(Q235="",0,Q235*Dimensoes!$C$5))/(IF(N235="",0,Dimensoes!$C$2)+IF(O235="",0,Dimensoes!$C$3)+IF(P235="",0,Dimensoes!$C$4)+IF(Q235="",0,Dimensoes!$C$5))))</f>
        <v/>
      </c>
      <c r="S235" s="0" t="str">
        <f aca="false">IF(R235="","",IF(R235&lt;Faixas!$C$3,"vermelho",IF(R235&lt;Faixas!$C$4,"amarelo","verde")))</f>
        <v/>
      </c>
      <c r="T235" s="9" t="str">
        <f aca="false">IF($A235="","",IF(N235="",0,N235*Dimensoes!$C$2)+IF(O235="",0,O235*Dimensoes!$C$3)+IF(P235="",0,P235*Dimensoes!$C$4)+IF(Q235="",0,Q235*Dimensoes!$C$5))</f>
        <v/>
      </c>
      <c r="U235" s="0" t="str">
        <f aca="false">IF($A235="","",IF(OR(E235="concluida",E235="incompleta"),1,0))</f>
        <v/>
      </c>
    </row>
    <row r="236" customFormat="false" ht="15" hidden="false" customHeight="false" outlineLevel="0" collapsed="false">
      <c r="A236" s="0" t="str">
        <f aca="false">IF(Visitas!A236="","",Visitas!A236)</f>
        <v/>
      </c>
      <c r="B236" s="0" t="str">
        <f aca="false">IF($A236="","",Visitas!C236)</f>
        <v/>
      </c>
      <c r="C236" s="7" t="str">
        <f aca="false">IF($A236="","",Visitas!D236)</f>
        <v/>
      </c>
      <c r="D236" s="0" t="str">
        <f aca="false">IF($A236="","",Visitas!B236)</f>
        <v/>
      </c>
      <c r="E236" s="0" t="str">
        <f aca="false">IF($A236="","",Visitas!F236)</f>
        <v/>
      </c>
      <c r="F236" s="0" t="str">
        <f aca="false">IF($A236="","",SUMIFS(Avaliacoes!$G$2:$G$6000,Avaliacoes!$A$2:$A$6000,$A236,Avaliacoes!$F$2:$F$6000,"I",Avaliacoes!$H$2:$H$6000,0))</f>
        <v/>
      </c>
      <c r="G236" s="0" t="str">
        <f aca="false">IF($A236="","",SUMIFS(Avaliacoes!$G$2:$G$6000,Avaliacoes!$A$2:$A$6000,$A236,Avaliacoes!$F$2:$F$6000,"II",Avaliacoes!$H$2:$H$6000,0))</f>
        <v/>
      </c>
      <c r="H236" s="0" t="str">
        <f aca="false">IF($A236="","",SUMIFS(Avaliacoes!$G$2:$G$6000,Avaliacoes!$A$2:$A$6000,$A236,Avaliacoes!$F$2:$F$6000,"III",Avaliacoes!$H$2:$H$6000,0))</f>
        <v/>
      </c>
      <c r="I236" s="0" t="str">
        <f aca="false">IF($A236="","",SUMIFS(Avaliacoes!$G$2:$G$6000,Avaliacoes!$A$2:$A$6000,$A236,Avaliacoes!$F$2:$F$6000,"IV",Avaliacoes!$H$2:$H$6000,0))</f>
        <v/>
      </c>
      <c r="J236" s="0" t="str">
        <f aca="false">IF($A236="","",COUNTIFS(Avaliacoes!$A$2:$A$6000,$A236,Avaliacoes!$F$2:$F$6000,"I",Avaliacoes!$H$2:$H$6000,0,Avaliacoes!$G$2:$G$6000,"&lt;&gt;")*Dimensoes!$E$2)</f>
        <v/>
      </c>
      <c r="K236" s="0" t="str">
        <f aca="false">IF($A236="","",COUNTIFS(Avaliacoes!$A$2:$A$6000,$A236,Avaliacoes!$F$2:$F$6000,"II",Avaliacoes!$H$2:$H$6000,0,Avaliacoes!$G$2:$G$6000,"&lt;&gt;")*Dimensoes!$E$3)</f>
        <v/>
      </c>
      <c r="L236" s="0" t="str">
        <f aca="false">IF($A236="","",COUNTIFS(Avaliacoes!$A$2:$A$6000,$A236,Avaliacoes!$F$2:$F$6000,"III",Avaliacoes!$H$2:$H$6000,0,Avaliacoes!$G$2:$G$6000,"&lt;&gt;")*Dimensoes!$E$4)</f>
        <v/>
      </c>
      <c r="M236" s="0" t="str">
        <f aca="false">IF($A236="","",COUNTIFS(Avaliacoes!$A$2:$A$6000,$A236,Avaliacoes!$F$2:$F$6000,"IV",Avaliacoes!$H$2:$H$6000,0,Avaliacoes!$G$2:$G$6000,"&lt;&gt;")*Dimensoes!$E$5)</f>
        <v/>
      </c>
      <c r="N236" s="9" t="str">
        <f aca="false">IF($A236="","",IF(J236&gt;0,F236/J236,""))</f>
        <v/>
      </c>
      <c r="O236" s="9" t="str">
        <f aca="false">IF($A236="","",IF(K236&gt;0,G236/K236,""))</f>
        <v/>
      </c>
      <c r="P236" s="9" t="str">
        <f aca="false">IF($A236="","",IF(L236&gt;0,H236/L236,""))</f>
        <v/>
      </c>
      <c r="Q236" s="9" t="str">
        <f aca="false">IF($A236="","",IF(M236&gt;0,I236/M236,""))</f>
        <v/>
      </c>
      <c r="R236" s="17" t="str">
        <f aca="false">IF($A236="","",IF((IF(N236="",0,Dimensoes!$C$2)+IF(O236="",0,Dimensoes!$C$3)+IF(P236="",0,Dimensoes!$C$4)+IF(Q236="",0,Dimensoes!$C$5))=0,"",(IF(N236="",0,N236*Dimensoes!$C$2)+IF(O236="",0,O236*Dimensoes!$C$3)+IF(P236="",0,P236*Dimensoes!$C$4)+IF(Q236="",0,Q236*Dimensoes!$C$5))/(IF(N236="",0,Dimensoes!$C$2)+IF(O236="",0,Dimensoes!$C$3)+IF(P236="",0,Dimensoes!$C$4)+IF(Q236="",0,Dimensoes!$C$5))))</f>
        <v/>
      </c>
      <c r="S236" s="0" t="str">
        <f aca="false">IF(R236="","",IF(R236&lt;Faixas!$C$3,"vermelho",IF(R236&lt;Faixas!$C$4,"amarelo","verde")))</f>
        <v/>
      </c>
      <c r="T236" s="9" t="str">
        <f aca="false">IF($A236="","",IF(N236="",0,N236*Dimensoes!$C$2)+IF(O236="",0,O236*Dimensoes!$C$3)+IF(P236="",0,P236*Dimensoes!$C$4)+IF(Q236="",0,Q236*Dimensoes!$C$5))</f>
        <v/>
      </c>
      <c r="U236" s="0" t="str">
        <f aca="false">IF($A236="","",IF(OR(E236="concluida",E236="incompleta"),1,0))</f>
        <v/>
      </c>
    </row>
    <row r="237" customFormat="false" ht="15" hidden="false" customHeight="false" outlineLevel="0" collapsed="false">
      <c r="A237" s="0" t="str">
        <f aca="false">IF(Visitas!A237="","",Visitas!A237)</f>
        <v/>
      </c>
      <c r="B237" s="0" t="str">
        <f aca="false">IF($A237="","",Visitas!C237)</f>
        <v/>
      </c>
      <c r="C237" s="7" t="str">
        <f aca="false">IF($A237="","",Visitas!D237)</f>
        <v/>
      </c>
      <c r="D237" s="0" t="str">
        <f aca="false">IF($A237="","",Visitas!B237)</f>
        <v/>
      </c>
      <c r="E237" s="0" t="str">
        <f aca="false">IF($A237="","",Visitas!F237)</f>
        <v/>
      </c>
      <c r="F237" s="0" t="str">
        <f aca="false">IF($A237="","",SUMIFS(Avaliacoes!$G$2:$G$6000,Avaliacoes!$A$2:$A$6000,$A237,Avaliacoes!$F$2:$F$6000,"I",Avaliacoes!$H$2:$H$6000,0))</f>
        <v/>
      </c>
      <c r="G237" s="0" t="str">
        <f aca="false">IF($A237="","",SUMIFS(Avaliacoes!$G$2:$G$6000,Avaliacoes!$A$2:$A$6000,$A237,Avaliacoes!$F$2:$F$6000,"II",Avaliacoes!$H$2:$H$6000,0))</f>
        <v/>
      </c>
      <c r="H237" s="0" t="str">
        <f aca="false">IF($A237="","",SUMIFS(Avaliacoes!$G$2:$G$6000,Avaliacoes!$A$2:$A$6000,$A237,Avaliacoes!$F$2:$F$6000,"III",Avaliacoes!$H$2:$H$6000,0))</f>
        <v/>
      </c>
      <c r="I237" s="0" t="str">
        <f aca="false">IF($A237="","",SUMIFS(Avaliacoes!$G$2:$G$6000,Avaliacoes!$A$2:$A$6000,$A237,Avaliacoes!$F$2:$F$6000,"IV",Avaliacoes!$H$2:$H$6000,0))</f>
        <v/>
      </c>
      <c r="J237" s="0" t="str">
        <f aca="false">IF($A237="","",COUNTIFS(Avaliacoes!$A$2:$A$6000,$A237,Avaliacoes!$F$2:$F$6000,"I",Avaliacoes!$H$2:$H$6000,0,Avaliacoes!$G$2:$G$6000,"&lt;&gt;")*Dimensoes!$E$2)</f>
        <v/>
      </c>
      <c r="K237" s="0" t="str">
        <f aca="false">IF($A237="","",COUNTIFS(Avaliacoes!$A$2:$A$6000,$A237,Avaliacoes!$F$2:$F$6000,"II",Avaliacoes!$H$2:$H$6000,0,Avaliacoes!$G$2:$G$6000,"&lt;&gt;")*Dimensoes!$E$3)</f>
        <v/>
      </c>
      <c r="L237" s="0" t="str">
        <f aca="false">IF($A237="","",COUNTIFS(Avaliacoes!$A$2:$A$6000,$A237,Avaliacoes!$F$2:$F$6000,"III",Avaliacoes!$H$2:$H$6000,0,Avaliacoes!$G$2:$G$6000,"&lt;&gt;")*Dimensoes!$E$4)</f>
        <v/>
      </c>
      <c r="M237" s="0" t="str">
        <f aca="false">IF($A237="","",COUNTIFS(Avaliacoes!$A$2:$A$6000,$A237,Avaliacoes!$F$2:$F$6000,"IV",Avaliacoes!$H$2:$H$6000,0,Avaliacoes!$G$2:$G$6000,"&lt;&gt;")*Dimensoes!$E$5)</f>
        <v/>
      </c>
      <c r="N237" s="9" t="str">
        <f aca="false">IF($A237="","",IF(J237&gt;0,F237/J237,""))</f>
        <v/>
      </c>
      <c r="O237" s="9" t="str">
        <f aca="false">IF($A237="","",IF(K237&gt;0,G237/K237,""))</f>
        <v/>
      </c>
      <c r="P237" s="9" t="str">
        <f aca="false">IF($A237="","",IF(L237&gt;0,H237/L237,""))</f>
        <v/>
      </c>
      <c r="Q237" s="9" t="str">
        <f aca="false">IF($A237="","",IF(M237&gt;0,I237/M237,""))</f>
        <v/>
      </c>
      <c r="R237" s="17" t="str">
        <f aca="false">IF($A237="","",IF((IF(N237="",0,Dimensoes!$C$2)+IF(O237="",0,Dimensoes!$C$3)+IF(P237="",0,Dimensoes!$C$4)+IF(Q237="",0,Dimensoes!$C$5))=0,"",(IF(N237="",0,N237*Dimensoes!$C$2)+IF(O237="",0,O237*Dimensoes!$C$3)+IF(P237="",0,P237*Dimensoes!$C$4)+IF(Q237="",0,Q237*Dimensoes!$C$5))/(IF(N237="",0,Dimensoes!$C$2)+IF(O237="",0,Dimensoes!$C$3)+IF(P237="",0,Dimensoes!$C$4)+IF(Q237="",0,Dimensoes!$C$5))))</f>
        <v/>
      </c>
      <c r="S237" s="0" t="str">
        <f aca="false">IF(R237="","",IF(R237&lt;Faixas!$C$3,"vermelho",IF(R237&lt;Faixas!$C$4,"amarelo","verde")))</f>
        <v/>
      </c>
      <c r="T237" s="9" t="str">
        <f aca="false">IF($A237="","",IF(N237="",0,N237*Dimensoes!$C$2)+IF(O237="",0,O237*Dimensoes!$C$3)+IF(P237="",0,P237*Dimensoes!$C$4)+IF(Q237="",0,Q237*Dimensoes!$C$5))</f>
        <v/>
      </c>
      <c r="U237" s="0" t="str">
        <f aca="false">IF($A237="","",IF(OR(E237="concluida",E237="incompleta"),1,0))</f>
        <v/>
      </c>
    </row>
    <row r="238" customFormat="false" ht="15" hidden="false" customHeight="false" outlineLevel="0" collapsed="false">
      <c r="A238" s="0" t="str">
        <f aca="false">IF(Visitas!A238="","",Visitas!A238)</f>
        <v/>
      </c>
      <c r="B238" s="0" t="str">
        <f aca="false">IF($A238="","",Visitas!C238)</f>
        <v/>
      </c>
      <c r="C238" s="7" t="str">
        <f aca="false">IF($A238="","",Visitas!D238)</f>
        <v/>
      </c>
      <c r="D238" s="0" t="str">
        <f aca="false">IF($A238="","",Visitas!B238)</f>
        <v/>
      </c>
      <c r="E238" s="0" t="str">
        <f aca="false">IF($A238="","",Visitas!F238)</f>
        <v/>
      </c>
      <c r="F238" s="0" t="str">
        <f aca="false">IF($A238="","",SUMIFS(Avaliacoes!$G$2:$G$6000,Avaliacoes!$A$2:$A$6000,$A238,Avaliacoes!$F$2:$F$6000,"I",Avaliacoes!$H$2:$H$6000,0))</f>
        <v/>
      </c>
      <c r="G238" s="0" t="str">
        <f aca="false">IF($A238="","",SUMIFS(Avaliacoes!$G$2:$G$6000,Avaliacoes!$A$2:$A$6000,$A238,Avaliacoes!$F$2:$F$6000,"II",Avaliacoes!$H$2:$H$6000,0))</f>
        <v/>
      </c>
      <c r="H238" s="0" t="str">
        <f aca="false">IF($A238="","",SUMIFS(Avaliacoes!$G$2:$G$6000,Avaliacoes!$A$2:$A$6000,$A238,Avaliacoes!$F$2:$F$6000,"III",Avaliacoes!$H$2:$H$6000,0))</f>
        <v/>
      </c>
      <c r="I238" s="0" t="str">
        <f aca="false">IF($A238="","",SUMIFS(Avaliacoes!$G$2:$G$6000,Avaliacoes!$A$2:$A$6000,$A238,Avaliacoes!$F$2:$F$6000,"IV",Avaliacoes!$H$2:$H$6000,0))</f>
        <v/>
      </c>
      <c r="J238" s="0" t="str">
        <f aca="false">IF($A238="","",COUNTIFS(Avaliacoes!$A$2:$A$6000,$A238,Avaliacoes!$F$2:$F$6000,"I",Avaliacoes!$H$2:$H$6000,0,Avaliacoes!$G$2:$G$6000,"&lt;&gt;")*Dimensoes!$E$2)</f>
        <v/>
      </c>
      <c r="K238" s="0" t="str">
        <f aca="false">IF($A238="","",COUNTIFS(Avaliacoes!$A$2:$A$6000,$A238,Avaliacoes!$F$2:$F$6000,"II",Avaliacoes!$H$2:$H$6000,0,Avaliacoes!$G$2:$G$6000,"&lt;&gt;")*Dimensoes!$E$3)</f>
        <v/>
      </c>
      <c r="L238" s="0" t="str">
        <f aca="false">IF($A238="","",COUNTIFS(Avaliacoes!$A$2:$A$6000,$A238,Avaliacoes!$F$2:$F$6000,"III",Avaliacoes!$H$2:$H$6000,0,Avaliacoes!$G$2:$G$6000,"&lt;&gt;")*Dimensoes!$E$4)</f>
        <v/>
      </c>
      <c r="M238" s="0" t="str">
        <f aca="false">IF($A238="","",COUNTIFS(Avaliacoes!$A$2:$A$6000,$A238,Avaliacoes!$F$2:$F$6000,"IV",Avaliacoes!$H$2:$H$6000,0,Avaliacoes!$G$2:$G$6000,"&lt;&gt;")*Dimensoes!$E$5)</f>
        <v/>
      </c>
      <c r="N238" s="9" t="str">
        <f aca="false">IF($A238="","",IF(J238&gt;0,F238/J238,""))</f>
        <v/>
      </c>
      <c r="O238" s="9" t="str">
        <f aca="false">IF($A238="","",IF(K238&gt;0,G238/K238,""))</f>
        <v/>
      </c>
      <c r="P238" s="9" t="str">
        <f aca="false">IF($A238="","",IF(L238&gt;0,H238/L238,""))</f>
        <v/>
      </c>
      <c r="Q238" s="9" t="str">
        <f aca="false">IF($A238="","",IF(M238&gt;0,I238/M238,""))</f>
        <v/>
      </c>
      <c r="R238" s="17" t="str">
        <f aca="false">IF($A238="","",IF((IF(N238="",0,Dimensoes!$C$2)+IF(O238="",0,Dimensoes!$C$3)+IF(P238="",0,Dimensoes!$C$4)+IF(Q238="",0,Dimensoes!$C$5))=0,"",(IF(N238="",0,N238*Dimensoes!$C$2)+IF(O238="",0,O238*Dimensoes!$C$3)+IF(P238="",0,P238*Dimensoes!$C$4)+IF(Q238="",0,Q238*Dimensoes!$C$5))/(IF(N238="",0,Dimensoes!$C$2)+IF(O238="",0,Dimensoes!$C$3)+IF(P238="",0,Dimensoes!$C$4)+IF(Q238="",0,Dimensoes!$C$5))))</f>
        <v/>
      </c>
      <c r="S238" s="0" t="str">
        <f aca="false">IF(R238="","",IF(R238&lt;Faixas!$C$3,"vermelho",IF(R238&lt;Faixas!$C$4,"amarelo","verde")))</f>
        <v/>
      </c>
      <c r="T238" s="9" t="str">
        <f aca="false">IF($A238="","",IF(N238="",0,N238*Dimensoes!$C$2)+IF(O238="",0,O238*Dimensoes!$C$3)+IF(P238="",0,P238*Dimensoes!$C$4)+IF(Q238="",0,Q238*Dimensoes!$C$5))</f>
        <v/>
      </c>
      <c r="U238" s="0" t="str">
        <f aca="false">IF($A238="","",IF(OR(E238="concluida",E238="incompleta"),1,0))</f>
        <v/>
      </c>
    </row>
    <row r="239" customFormat="false" ht="15" hidden="false" customHeight="false" outlineLevel="0" collapsed="false">
      <c r="A239" s="0" t="str">
        <f aca="false">IF(Visitas!A239="","",Visitas!A239)</f>
        <v/>
      </c>
      <c r="B239" s="0" t="str">
        <f aca="false">IF($A239="","",Visitas!C239)</f>
        <v/>
      </c>
      <c r="C239" s="7" t="str">
        <f aca="false">IF($A239="","",Visitas!D239)</f>
        <v/>
      </c>
      <c r="D239" s="0" t="str">
        <f aca="false">IF($A239="","",Visitas!B239)</f>
        <v/>
      </c>
      <c r="E239" s="0" t="str">
        <f aca="false">IF($A239="","",Visitas!F239)</f>
        <v/>
      </c>
      <c r="F239" s="0" t="str">
        <f aca="false">IF($A239="","",SUMIFS(Avaliacoes!$G$2:$G$6000,Avaliacoes!$A$2:$A$6000,$A239,Avaliacoes!$F$2:$F$6000,"I",Avaliacoes!$H$2:$H$6000,0))</f>
        <v/>
      </c>
      <c r="G239" s="0" t="str">
        <f aca="false">IF($A239="","",SUMIFS(Avaliacoes!$G$2:$G$6000,Avaliacoes!$A$2:$A$6000,$A239,Avaliacoes!$F$2:$F$6000,"II",Avaliacoes!$H$2:$H$6000,0))</f>
        <v/>
      </c>
      <c r="H239" s="0" t="str">
        <f aca="false">IF($A239="","",SUMIFS(Avaliacoes!$G$2:$G$6000,Avaliacoes!$A$2:$A$6000,$A239,Avaliacoes!$F$2:$F$6000,"III",Avaliacoes!$H$2:$H$6000,0))</f>
        <v/>
      </c>
      <c r="I239" s="0" t="str">
        <f aca="false">IF($A239="","",SUMIFS(Avaliacoes!$G$2:$G$6000,Avaliacoes!$A$2:$A$6000,$A239,Avaliacoes!$F$2:$F$6000,"IV",Avaliacoes!$H$2:$H$6000,0))</f>
        <v/>
      </c>
      <c r="J239" s="0" t="str">
        <f aca="false">IF($A239="","",COUNTIFS(Avaliacoes!$A$2:$A$6000,$A239,Avaliacoes!$F$2:$F$6000,"I",Avaliacoes!$H$2:$H$6000,0,Avaliacoes!$G$2:$G$6000,"&lt;&gt;")*Dimensoes!$E$2)</f>
        <v/>
      </c>
      <c r="K239" s="0" t="str">
        <f aca="false">IF($A239="","",COUNTIFS(Avaliacoes!$A$2:$A$6000,$A239,Avaliacoes!$F$2:$F$6000,"II",Avaliacoes!$H$2:$H$6000,0,Avaliacoes!$G$2:$G$6000,"&lt;&gt;")*Dimensoes!$E$3)</f>
        <v/>
      </c>
      <c r="L239" s="0" t="str">
        <f aca="false">IF($A239="","",COUNTIFS(Avaliacoes!$A$2:$A$6000,$A239,Avaliacoes!$F$2:$F$6000,"III",Avaliacoes!$H$2:$H$6000,0,Avaliacoes!$G$2:$G$6000,"&lt;&gt;")*Dimensoes!$E$4)</f>
        <v/>
      </c>
      <c r="M239" s="0" t="str">
        <f aca="false">IF($A239="","",COUNTIFS(Avaliacoes!$A$2:$A$6000,$A239,Avaliacoes!$F$2:$F$6000,"IV",Avaliacoes!$H$2:$H$6000,0,Avaliacoes!$G$2:$G$6000,"&lt;&gt;")*Dimensoes!$E$5)</f>
        <v/>
      </c>
      <c r="N239" s="9" t="str">
        <f aca="false">IF($A239="","",IF(J239&gt;0,F239/J239,""))</f>
        <v/>
      </c>
      <c r="O239" s="9" t="str">
        <f aca="false">IF($A239="","",IF(K239&gt;0,G239/K239,""))</f>
        <v/>
      </c>
      <c r="P239" s="9" t="str">
        <f aca="false">IF($A239="","",IF(L239&gt;0,H239/L239,""))</f>
        <v/>
      </c>
      <c r="Q239" s="9" t="str">
        <f aca="false">IF($A239="","",IF(M239&gt;0,I239/M239,""))</f>
        <v/>
      </c>
      <c r="R239" s="17" t="str">
        <f aca="false">IF($A239="","",IF((IF(N239="",0,Dimensoes!$C$2)+IF(O239="",0,Dimensoes!$C$3)+IF(P239="",0,Dimensoes!$C$4)+IF(Q239="",0,Dimensoes!$C$5))=0,"",(IF(N239="",0,N239*Dimensoes!$C$2)+IF(O239="",0,O239*Dimensoes!$C$3)+IF(P239="",0,P239*Dimensoes!$C$4)+IF(Q239="",0,Q239*Dimensoes!$C$5))/(IF(N239="",0,Dimensoes!$C$2)+IF(O239="",0,Dimensoes!$C$3)+IF(P239="",0,Dimensoes!$C$4)+IF(Q239="",0,Dimensoes!$C$5))))</f>
        <v/>
      </c>
      <c r="S239" s="0" t="str">
        <f aca="false">IF(R239="","",IF(R239&lt;Faixas!$C$3,"vermelho",IF(R239&lt;Faixas!$C$4,"amarelo","verde")))</f>
        <v/>
      </c>
      <c r="T239" s="9" t="str">
        <f aca="false">IF($A239="","",IF(N239="",0,N239*Dimensoes!$C$2)+IF(O239="",0,O239*Dimensoes!$C$3)+IF(P239="",0,P239*Dimensoes!$C$4)+IF(Q239="",0,Q239*Dimensoes!$C$5))</f>
        <v/>
      </c>
      <c r="U239" s="0" t="str">
        <f aca="false">IF($A239="","",IF(OR(E239="concluida",E239="incompleta"),1,0))</f>
        <v/>
      </c>
    </row>
    <row r="240" customFormat="false" ht="15" hidden="false" customHeight="false" outlineLevel="0" collapsed="false">
      <c r="A240" s="0" t="str">
        <f aca="false">IF(Visitas!A240="","",Visitas!A240)</f>
        <v/>
      </c>
      <c r="B240" s="0" t="str">
        <f aca="false">IF($A240="","",Visitas!C240)</f>
        <v/>
      </c>
      <c r="C240" s="7" t="str">
        <f aca="false">IF($A240="","",Visitas!D240)</f>
        <v/>
      </c>
      <c r="D240" s="0" t="str">
        <f aca="false">IF($A240="","",Visitas!B240)</f>
        <v/>
      </c>
      <c r="E240" s="0" t="str">
        <f aca="false">IF($A240="","",Visitas!F240)</f>
        <v/>
      </c>
      <c r="F240" s="0" t="str">
        <f aca="false">IF($A240="","",SUMIFS(Avaliacoes!$G$2:$G$6000,Avaliacoes!$A$2:$A$6000,$A240,Avaliacoes!$F$2:$F$6000,"I",Avaliacoes!$H$2:$H$6000,0))</f>
        <v/>
      </c>
      <c r="G240" s="0" t="str">
        <f aca="false">IF($A240="","",SUMIFS(Avaliacoes!$G$2:$G$6000,Avaliacoes!$A$2:$A$6000,$A240,Avaliacoes!$F$2:$F$6000,"II",Avaliacoes!$H$2:$H$6000,0))</f>
        <v/>
      </c>
      <c r="H240" s="0" t="str">
        <f aca="false">IF($A240="","",SUMIFS(Avaliacoes!$G$2:$G$6000,Avaliacoes!$A$2:$A$6000,$A240,Avaliacoes!$F$2:$F$6000,"III",Avaliacoes!$H$2:$H$6000,0))</f>
        <v/>
      </c>
      <c r="I240" s="0" t="str">
        <f aca="false">IF($A240="","",SUMIFS(Avaliacoes!$G$2:$G$6000,Avaliacoes!$A$2:$A$6000,$A240,Avaliacoes!$F$2:$F$6000,"IV",Avaliacoes!$H$2:$H$6000,0))</f>
        <v/>
      </c>
      <c r="J240" s="0" t="str">
        <f aca="false">IF($A240="","",COUNTIFS(Avaliacoes!$A$2:$A$6000,$A240,Avaliacoes!$F$2:$F$6000,"I",Avaliacoes!$H$2:$H$6000,0,Avaliacoes!$G$2:$G$6000,"&lt;&gt;")*Dimensoes!$E$2)</f>
        <v/>
      </c>
      <c r="K240" s="0" t="str">
        <f aca="false">IF($A240="","",COUNTIFS(Avaliacoes!$A$2:$A$6000,$A240,Avaliacoes!$F$2:$F$6000,"II",Avaliacoes!$H$2:$H$6000,0,Avaliacoes!$G$2:$G$6000,"&lt;&gt;")*Dimensoes!$E$3)</f>
        <v/>
      </c>
      <c r="L240" s="0" t="str">
        <f aca="false">IF($A240="","",COUNTIFS(Avaliacoes!$A$2:$A$6000,$A240,Avaliacoes!$F$2:$F$6000,"III",Avaliacoes!$H$2:$H$6000,0,Avaliacoes!$G$2:$G$6000,"&lt;&gt;")*Dimensoes!$E$4)</f>
        <v/>
      </c>
      <c r="M240" s="0" t="str">
        <f aca="false">IF($A240="","",COUNTIFS(Avaliacoes!$A$2:$A$6000,$A240,Avaliacoes!$F$2:$F$6000,"IV",Avaliacoes!$H$2:$H$6000,0,Avaliacoes!$G$2:$G$6000,"&lt;&gt;")*Dimensoes!$E$5)</f>
        <v/>
      </c>
      <c r="N240" s="9" t="str">
        <f aca="false">IF($A240="","",IF(J240&gt;0,F240/J240,""))</f>
        <v/>
      </c>
      <c r="O240" s="9" t="str">
        <f aca="false">IF($A240="","",IF(K240&gt;0,G240/K240,""))</f>
        <v/>
      </c>
      <c r="P240" s="9" t="str">
        <f aca="false">IF($A240="","",IF(L240&gt;0,H240/L240,""))</f>
        <v/>
      </c>
      <c r="Q240" s="9" t="str">
        <f aca="false">IF($A240="","",IF(M240&gt;0,I240/M240,""))</f>
        <v/>
      </c>
      <c r="R240" s="17" t="str">
        <f aca="false">IF($A240="","",IF((IF(N240="",0,Dimensoes!$C$2)+IF(O240="",0,Dimensoes!$C$3)+IF(P240="",0,Dimensoes!$C$4)+IF(Q240="",0,Dimensoes!$C$5))=0,"",(IF(N240="",0,N240*Dimensoes!$C$2)+IF(O240="",0,O240*Dimensoes!$C$3)+IF(P240="",0,P240*Dimensoes!$C$4)+IF(Q240="",0,Q240*Dimensoes!$C$5))/(IF(N240="",0,Dimensoes!$C$2)+IF(O240="",0,Dimensoes!$C$3)+IF(P240="",0,Dimensoes!$C$4)+IF(Q240="",0,Dimensoes!$C$5))))</f>
        <v/>
      </c>
      <c r="S240" s="0" t="str">
        <f aca="false">IF(R240="","",IF(R240&lt;Faixas!$C$3,"vermelho",IF(R240&lt;Faixas!$C$4,"amarelo","verde")))</f>
        <v/>
      </c>
      <c r="T240" s="9" t="str">
        <f aca="false">IF($A240="","",IF(N240="",0,N240*Dimensoes!$C$2)+IF(O240="",0,O240*Dimensoes!$C$3)+IF(P240="",0,P240*Dimensoes!$C$4)+IF(Q240="",0,Q240*Dimensoes!$C$5))</f>
        <v/>
      </c>
      <c r="U240" s="0" t="str">
        <f aca="false">IF($A240="","",IF(OR(E240="concluida",E240="incompleta"),1,0))</f>
        <v/>
      </c>
    </row>
    <row r="241" customFormat="false" ht="15" hidden="false" customHeight="false" outlineLevel="0" collapsed="false">
      <c r="A241" s="0" t="str">
        <f aca="false">IF(Visitas!A241="","",Visitas!A241)</f>
        <v/>
      </c>
      <c r="B241" s="0" t="str">
        <f aca="false">IF($A241="","",Visitas!C241)</f>
        <v/>
      </c>
      <c r="C241" s="7" t="str">
        <f aca="false">IF($A241="","",Visitas!D241)</f>
        <v/>
      </c>
      <c r="D241" s="0" t="str">
        <f aca="false">IF($A241="","",Visitas!B241)</f>
        <v/>
      </c>
      <c r="E241" s="0" t="str">
        <f aca="false">IF($A241="","",Visitas!F241)</f>
        <v/>
      </c>
      <c r="F241" s="0" t="str">
        <f aca="false">IF($A241="","",SUMIFS(Avaliacoes!$G$2:$G$6000,Avaliacoes!$A$2:$A$6000,$A241,Avaliacoes!$F$2:$F$6000,"I",Avaliacoes!$H$2:$H$6000,0))</f>
        <v/>
      </c>
      <c r="G241" s="0" t="str">
        <f aca="false">IF($A241="","",SUMIFS(Avaliacoes!$G$2:$G$6000,Avaliacoes!$A$2:$A$6000,$A241,Avaliacoes!$F$2:$F$6000,"II",Avaliacoes!$H$2:$H$6000,0))</f>
        <v/>
      </c>
      <c r="H241" s="0" t="str">
        <f aca="false">IF($A241="","",SUMIFS(Avaliacoes!$G$2:$G$6000,Avaliacoes!$A$2:$A$6000,$A241,Avaliacoes!$F$2:$F$6000,"III",Avaliacoes!$H$2:$H$6000,0))</f>
        <v/>
      </c>
      <c r="I241" s="0" t="str">
        <f aca="false">IF($A241="","",SUMIFS(Avaliacoes!$G$2:$G$6000,Avaliacoes!$A$2:$A$6000,$A241,Avaliacoes!$F$2:$F$6000,"IV",Avaliacoes!$H$2:$H$6000,0))</f>
        <v/>
      </c>
      <c r="J241" s="0" t="str">
        <f aca="false">IF($A241="","",COUNTIFS(Avaliacoes!$A$2:$A$6000,$A241,Avaliacoes!$F$2:$F$6000,"I",Avaliacoes!$H$2:$H$6000,0,Avaliacoes!$G$2:$G$6000,"&lt;&gt;")*Dimensoes!$E$2)</f>
        <v/>
      </c>
      <c r="K241" s="0" t="str">
        <f aca="false">IF($A241="","",COUNTIFS(Avaliacoes!$A$2:$A$6000,$A241,Avaliacoes!$F$2:$F$6000,"II",Avaliacoes!$H$2:$H$6000,0,Avaliacoes!$G$2:$G$6000,"&lt;&gt;")*Dimensoes!$E$3)</f>
        <v/>
      </c>
      <c r="L241" s="0" t="str">
        <f aca="false">IF($A241="","",COUNTIFS(Avaliacoes!$A$2:$A$6000,$A241,Avaliacoes!$F$2:$F$6000,"III",Avaliacoes!$H$2:$H$6000,0,Avaliacoes!$G$2:$G$6000,"&lt;&gt;")*Dimensoes!$E$4)</f>
        <v/>
      </c>
      <c r="M241" s="0" t="str">
        <f aca="false">IF($A241="","",COUNTIFS(Avaliacoes!$A$2:$A$6000,$A241,Avaliacoes!$F$2:$F$6000,"IV",Avaliacoes!$H$2:$H$6000,0,Avaliacoes!$G$2:$G$6000,"&lt;&gt;")*Dimensoes!$E$5)</f>
        <v/>
      </c>
      <c r="N241" s="9" t="str">
        <f aca="false">IF($A241="","",IF(J241&gt;0,F241/J241,""))</f>
        <v/>
      </c>
      <c r="O241" s="9" t="str">
        <f aca="false">IF($A241="","",IF(K241&gt;0,G241/K241,""))</f>
        <v/>
      </c>
      <c r="P241" s="9" t="str">
        <f aca="false">IF($A241="","",IF(L241&gt;0,H241/L241,""))</f>
        <v/>
      </c>
      <c r="Q241" s="9" t="str">
        <f aca="false">IF($A241="","",IF(M241&gt;0,I241/M241,""))</f>
        <v/>
      </c>
      <c r="R241" s="17" t="str">
        <f aca="false">IF($A241="","",IF((IF(N241="",0,Dimensoes!$C$2)+IF(O241="",0,Dimensoes!$C$3)+IF(P241="",0,Dimensoes!$C$4)+IF(Q241="",0,Dimensoes!$C$5))=0,"",(IF(N241="",0,N241*Dimensoes!$C$2)+IF(O241="",0,O241*Dimensoes!$C$3)+IF(P241="",0,P241*Dimensoes!$C$4)+IF(Q241="",0,Q241*Dimensoes!$C$5))/(IF(N241="",0,Dimensoes!$C$2)+IF(O241="",0,Dimensoes!$C$3)+IF(P241="",0,Dimensoes!$C$4)+IF(Q241="",0,Dimensoes!$C$5))))</f>
        <v/>
      </c>
      <c r="S241" s="0" t="str">
        <f aca="false">IF(R241="","",IF(R241&lt;Faixas!$C$3,"vermelho",IF(R241&lt;Faixas!$C$4,"amarelo","verde")))</f>
        <v/>
      </c>
      <c r="T241" s="9" t="str">
        <f aca="false">IF($A241="","",IF(N241="",0,N241*Dimensoes!$C$2)+IF(O241="",0,O241*Dimensoes!$C$3)+IF(P241="",0,P241*Dimensoes!$C$4)+IF(Q241="",0,Q241*Dimensoes!$C$5))</f>
        <v/>
      </c>
      <c r="U241" s="0" t="str">
        <f aca="false">IF($A241="","",IF(OR(E241="concluida",E241="incompleta"),1,0))</f>
        <v/>
      </c>
    </row>
    <row r="242" customFormat="false" ht="15" hidden="false" customHeight="false" outlineLevel="0" collapsed="false">
      <c r="A242" s="0" t="str">
        <f aca="false">IF(Visitas!A242="","",Visitas!A242)</f>
        <v/>
      </c>
      <c r="B242" s="0" t="str">
        <f aca="false">IF($A242="","",Visitas!C242)</f>
        <v/>
      </c>
      <c r="C242" s="7" t="str">
        <f aca="false">IF($A242="","",Visitas!D242)</f>
        <v/>
      </c>
      <c r="D242" s="0" t="str">
        <f aca="false">IF($A242="","",Visitas!B242)</f>
        <v/>
      </c>
      <c r="E242" s="0" t="str">
        <f aca="false">IF($A242="","",Visitas!F242)</f>
        <v/>
      </c>
      <c r="F242" s="0" t="str">
        <f aca="false">IF($A242="","",SUMIFS(Avaliacoes!$G$2:$G$6000,Avaliacoes!$A$2:$A$6000,$A242,Avaliacoes!$F$2:$F$6000,"I",Avaliacoes!$H$2:$H$6000,0))</f>
        <v/>
      </c>
      <c r="G242" s="0" t="str">
        <f aca="false">IF($A242="","",SUMIFS(Avaliacoes!$G$2:$G$6000,Avaliacoes!$A$2:$A$6000,$A242,Avaliacoes!$F$2:$F$6000,"II",Avaliacoes!$H$2:$H$6000,0))</f>
        <v/>
      </c>
      <c r="H242" s="0" t="str">
        <f aca="false">IF($A242="","",SUMIFS(Avaliacoes!$G$2:$G$6000,Avaliacoes!$A$2:$A$6000,$A242,Avaliacoes!$F$2:$F$6000,"III",Avaliacoes!$H$2:$H$6000,0))</f>
        <v/>
      </c>
      <c r="I242" s="0" t="str">
        <f aca="false">IF($A242="","",SUMIFS(Avaliacoes!$G$2:$G$6000,Avaliacoes!$A$2:$A$6000,$A242,Avaliacoes!$F$2:$F$6000,"IV",Avaliacoes!$H$2:$H$6000,0))</f>
        <v/>
      </c>
      <c r="J242" s="0" t="str">
        <f aca="false">IF($A242="","",COUNTIFS(Avaliacoes!$A$2:$A$6000,$A242,Avaliacoes!$F$2:$F$6000,"I",Avaliacoes!$H$2:$H$6000,0,Avaliacoes!$G$2:$G$6000,"&lt;&gt;")*Dimensoes!$E$2)</f>
        <v/>
      </c>
      <c r="K242" s="0" t="str">
        <f aca="false">IF($A242="","",COUNTIFS(Avaliacoes!$A$2:$A$6000,$A242,Avaliacoes!$F$2:$F$6000,"II",Avaliacoes!$H$2:$H$6000,0,Avaliacoes!$G$2:$G$6000,"&lt;&gt;")*Dimensoes!$E$3)</f>
        <v/>
      </c>
      <c r="L242" s="0" t="str">
        <f aca="false">IF($A242="","",COUNTIFS(Avaliacoes!$A$2:$A$6000,$A242,Avaliacoes!$F$2:$F$6000,"III",Avaliacoes!$H$2:$H$6000,0,Avaliacoes!$G$2:$G$6000,"&lt;&gt;")*Dimensoes!$E$4)</f>
        <v/>
      </c>
      <c r="M242" s="0" t="str">
        <f aca="false">IF($A242="","",COUNTIFS(Avaliacoes!$A$2:$A$6000,$A242,Avaliacoes!$F$2:$F$6000,"IV",Avaliacoes!$H$2:$H$6000,0,Avaliacoes!$G$2:$G$6000,"&lt;&gt;")*Dimensoes!$E$5)</f>
        <v/>
      </c>
      <c r="N242" s="9" t="str">
        <f aca="false">IF($A242="","",IF(J242&gt;0,F242/J242,""))</f>
        <v/>
      </c>
      <c r="O242" s="9" t="str">
        <f aca="false">IF($A242="","",IF(K242&gt;0,G242/K242,""))</f>
        <v/>
      </c>
      <c r="P242" s="9" t="str">
        <f aca="false">IF($A242="","",IF(L242&gt;0,H242/L242,""))</f>
        <v/>
      </c>
      <c r="Q242" s="9" t="str">
        <f aca="false">IF($A242="","",IF(M242&gt;0,I242/M242,""))</f>
        <v/>
      </c>
      <c r="R242" s="17" t="str">
        <f aca="false">IF($A242="","",IF((IF(N242="",0,Dimensoes!$C$2)+IF(O242="",0,Dimensoes!$C$3)+IF(P242="",0,Dimensoes!$C$4)+IF(Q242="",0,Dimensoes!$C$5))=0,"",(IF(N242="",0,N242*Dimensoes!$C$2)+IF(O242="",0,O242*Dimensoes!$C$3)+IF(P242="",0,P242*Dimensoes!$C$4)+IF(Q242="",0,Q242*Dimensoes!$C$5))/(IF(N242="",0,Dimensoes!$C$2)+IF(O242="",0,Dimensoes!$C$3)+IF(P242="",0,Dimensoes!$C$4)+IF(Q242="",0,Dimensoes!$C$5))))</f>
        <v/>
      </c>
      <c r="S242" s="0" t="str">
        <f aca="false">IF(R242="","",IF(R242&lt;Faixas!$C$3,"vermelho",IF(R242&lt;Faixas!$C$4,"amarelo","verde")))</f>
        <v/>
      </c>
      <c r="T242" s="9" t="str">
        <f aca="false">IF($A242="","",IF(N242="",0,N242*Dimensoes!$C$2)+IF(O242="",0,O242*Dimensoes!$C$3)+IF(P242="",0,P242*Dimensoes!$C$4)+IF(Q242="",0,Q242*Dimensoes!$C$5))</f>
        <v/>
      </c>
      <c r="U242" s="0" t="str">
        <f aca="false">IF($A242="","",IF(OR(E242="concluida",E242="incompleta"),1,0))</f>
        <v/>
      </c>
    </row>
    <row r="243" customFormat="false" ht="15" hidden="false" customHeight="false" outlineLevel="0" collapsed="false">
      <c r="A243" s="0" t="str">
        <f aca="false">IF(Visitas!A243="","",Visitas!A243)</f>
        <v/>
      </c>
      <c r="B243" s="0" t="str">
        <f aca="false">IF($A243="","",Visitas!C243)</f>
        <v/>
      </c>
      <c r="C243" s="7" t="str">
        <f aca="false">IF($A243="","",Visitas!D243)</f>
        <v/>
      </c>
      <c r="D243" s="0" t="str">
        <f aca="false">IF($A243="","",Visitas!B243)</f>
        <v/>
      </c>
      <c r="E243" s="0" t="str">
        <f aca="false">IF($A243="","",Visitas!F243)</f>
        <v/>
      </c>
      <c r="F243" s="0" t="str">
        <f aca="false">IF($A243="","",SUMIFS(Avaliacoes!$G$2:$G$6000,Avaliacoes!$A$2:$A$6000,$A243,Avaliacoes!$F$2:$F$6000,"I",Avaliacoes!$H$2:$H$6000,0))</f>
        <v/>
      </c>
      <c r="G243" s="0" t="str">
        <f aca="false">IF($A243="","",SUMIFS(Avaliacoes!$G$2:$G$6000,Avaliacoes!$A$2:$A$6000,$A243,Avaliacoes!$F$2:$F$6000,"II",Avaliacoes!$H$2:$H$6000,0))</f>
        <v/>
      </c>
      <c r="H243" s="0" t="str">
        <f aca="false">IF($A243="","",SUMIFS(Avaliacoes!$G$2:$G$6000,Avaliacoes!$A$2:$A$6000,$A243,Avaliacoes!$F$2:$F$6000,"III",Avaliacoes!$H$2:$H$6000,0))</f>
        <v/>
      </c>
      <c r="I243" s="0" t="str">
        <f aca="false">IF($A243="","",SUMIFS(Avaliacoes!$G$2:$G$6000,Avaliacoes!$A$2:$A$6000,$A243,Avaliacoes!$F$2:$F$6000,"IV",Avaliacoes!$H$2:$H$6000,0))</f>
        <v/>
      </c>
      <c r="J243" s="0" t="str">
        <f aca="false">IF($A243="","",COUNTIFS(Avaliacoes!$A$2:$A$6000,$A243,Avaliacoes!$F$2:$F$6000,"I",Avaliacoes!$H$2:$H$6000,0,Avaliacoes!$G$2:$G$6000,"&lt;&gt;")*Dimensoes!$E$2)</f>
        <v/>
      </c>
      <c r="K243" s="0" t="str">
        <f aca="false">IF($A243="","",COUNTIFS(Avaliacoes!$A$2:$A$6000,$A243,Avaliacoes!$F$2:$F$6000,"II",Avaliacoes!$H$2:$H$6000,0,Avaliacoes!$G$2:$G$6000,"&lt;&gt;")*Dimensoes!$E$3)</f>
        <v/>
      </c>
      <c r="L243" s="0" t="str">
        <f aca="false">IF($A243="","",COUNTIFS(Avaliacoes!$A$2:$A$6000,$A243,Avaliacoes!$F$2:$F$6000,"III",Avaliacoes!$H$2:$H$6000,0,Avaliacoes!$G$2:$G$6000,"&lt;&gt;")*Dimensoes!$E$4)</f>
        <v/>
      </c>
      <c r="M243" s="0" t="str">
        <f aca="false">IF($A243="","",COUNTIFS(Avaliacoes!$A$2:$A$6000,$A243,Avaliacoes!$F$2:$F$6000,"IV",Avaliacoes!$H$2:$H$6000,0,Avaliacoes!$G$2:$G$6000,"&lt;&gt;")*Dimensoes!$E$5)</f>
        <v/>
      </c>
      <c r="N243" s="9" t="str">
        <f aca="false">IF($A243="","",IF(J243&gt;0,F243/J243,""))</f>
        <v/>
      </c>
      <c r="O243" s="9" t="str">
        <f aca="false">IF($A243="","",IF(K243&gt;0,G243/K243,""))</f>
        <v/>
      </c>
      <c r="P243" s="9" t="str">
        <f aca="false">IF($A243="","",IF(L243&gt;0,H243/L243,""))</f>
        <v/>
      </c>
      <c r="Q243" s="9" t="str">
        <f aca="false">IF($A243="","",IF(M243&gt;0,I243/M243,""))</f>
        <v/>
      </c>
      <c r="R243" s="17" t="str">
        <f aca="false">IF($A243="","",IF((IF(N243="",0,Dimensoes!$C$2)+IF(O243="",0,Dimensoes!$C$3)+IF(P243="",0,Dimensoes!$C$4)+IF(Q243="",0,Dimensoes!$C$5))=0,"",(IF(N243="",0,N243*Dimensoes!$C$2)+IF(O243="",0,O243*Dimensoes!$C$3)+IF(P243="",0,P243*Dimensoes!$C$4)+IF(Q243="",0,Q243*Dimensoes!$C$5))/(IF(N243="",0,Dimensoes!$C$2)+IF(O243="",0,Dimensoes!$C$3)+IF(P243="",0,Dimensoes!$C$4)+IF(Q243="",0,Dimensoes!$C$5))))</f>
        <v/>
      </c>
      <c r="S243" s="0" t="str">
        <f aca="false">IF(R243="","",IF(R243&lt;Faixas!$C$3,"vermelho",IF(R243&lt;Faixas!$C$4,"amarelo","verde")))</f>
        <v/>
      </c>
      <c r="T243" s="9" t="str">
        <f aca="false">IF($A243="","",IF(N243="",0,N243*Dimensoes!$C$2)+IF(O243="",0,O243*Dimensoes!$C$3)+IF(P243="",0,P243*Dimensoes!$C$4)+IF(Q243="",0,Q243*Dimensoes!$C$5))</f>
        <v/>
      </c>
      <c r="U243" s="0" t="str">
        <f aca="false">IF($A243="","",IF(OR(E243="concluida",E243="incompleta"),1,0))</f>
        <v/>
      </c>
    </row>
    <row r="244" customFormat="false" ht="15" hidden="false" customHeight="false" outlineLevel="0" collapsed="false">
      <c r="A244" s="0" t="str">
        <f aca="false">IF(Visitas!A244="","",Visitas!A244)</f>
        <v/>
      </c>
      <c r="B244" s="0" t="str">
        <f aca="false">IF($A244="","",Visitas!C244)</f>
        <v/>
      </c>
      <c r="C244" s="7" t="str">
        <f aca="false">IF($A244="","",Visitas!D244)</f>
        <v/>
      </c>
      <c r="D244" s="0" t="str">
        <f aca="false">IF($A244="","",Visitas!B244)</f>
        <v/>
      </c>
      <c r="E244" s="0" t="str">
        <f aca="false">IF($A244="","",Visitas!F244)</f>
        <v/>
      </c>
      <c r="F244" s="0" t="str">
        <f aca="false">IF($A244="","",SUMIFS(Avaliacoes!$G$2:$G$6000,Avaliacoes!$A$2:$A$6000,$A244,Avaliacoes!$F$2:$F$6000,"I",Avaliacoes!$H$2:$H$6000,0))</f>
        <v/>
      </c>
      <c r="G244" s="0" t="str">
        <f aca="false">IF($A244="","",SUMIFS(Avaliacoes!$G$2:$G$6000,Avaliacoes!$A$2:$A$6000,$A244,Avaliacoes!$F$2:$F$6000,"II",Avaliacoes!$H$2:$H$6000,0))</f>
        <v/>
      </c>
      <c r="H244" s="0" t="str">
        <f aca="false">IF($A244="","",SUMIFS(Avaliacoes!$G$2:$G$6000,Avaliacoes!$A$2:$A$6000,$A244,Avaliacoes!$F$2:$F$6000,"III",Avaliacoes!$H$2:$H$6000,0))</f>
        <v/>
      </c>
      <c r="I244" s="0" t="str">
        <f aca="false">IF($A244="","",SUMIFS(Avaliacoes!$G$2:$G$6000,Avaliacoes!$A$2:$A$6000,$A244,Avaliacoes!$F$2:$F$6000,"IV",Avaliacoes!$H$2:$H$6000,0))</f>
        <v/>
      </c>
      <c r="J244" s="0" t="str">
        <f aca="false">IF($A244="","",COUNTIFS(Avaliacoes!$A$2:$A$6000,$A244,Avaliacoes!$F$2:$F$6000,"I",Avaliacoes!$H$2:$H$6000,0,Avaliacoes!$G$2:$G$6000,"&lt;&gt;")*Dimensoes!$E$2)</f>
        <v/>
      </c>
      <c r="K244" s="0" t="str">
        <f aca="false">IF($A244="","",COUNTIFS(Avaliacoes!$A$2:$A$6000,$A244,Avaliacoes!$F$2:$F$6000,"II",Avaliacoes!$H$2:$H$6000,0,Avaliacoes!$G$2:$G$6000,"&lt;&gt;")*Dimensoes!$E$3)</f>
        <v/>
      </c>
      <c r="L244" s="0" t="str">
        <f aca="false">IF($A244="","",COUNTIFS(Avaliacoes!$A$2:$A$6000,$A244,Avaliacoes!$F$2:$F$6000,"III",Avaliacoes!$H$2:$H$6000,0,Avaliacoes!$G$2:$G$6000,"&lt;&gt;")*Dimensoes!$E$4)</f>
        <v/>
      </c>
      <c r="M244" s="0" t="str">
        <f aca="false">IF($A244="","",COUNTIFS(Avaliacoes!$A$2:$A$6000,$A244,Avaliacoes!$F$2:$F$6000,"IV",Avaliacoes!$H$2:$H$6000,0,Avaliacoes!$G$2:$G$6000,"&lt;&gt;")*Dimensoes!$E$5)</f>
        <v/>
      </c>
      <c r="N244" s="9" t="str">
        <f aca="false">IF($A244="","",IF(J244&gt;0,F244/J244,""))</f>
        <v/>
      </c>
      <c r="O244" s="9" t="str">
        <f aca="false">IF($A244="","",IF(K244&gt;0,G244/K244,""))</f>
        <v/>
      </c>
      <c r="P244" s="9" t="str">
        <f aca="false">IF($A244="","",IF(L244&gt;0,H244/L244,""))</f>
        <v/>
      </c>
      <c r="Q244" s="9" t="str">
        <f aca="false">IF($A244="","",IF(M244&gt;0,I244/M244,""))</f>
        <v/>
      </c>
      <c r="R244" s="17" t="str">
        <f aca="false">IF($A244="","",IF((IF(N244="",0,Dimensoes!$C$2)+IF(O244="",0,Dimensoes!$C$3)+IF(P244="",0,Dimensoes!$C$4)+IF(Q244="",0,Dimensoes!$C$5))=0,"",(IF(N244="",0,N244*Dimensoes!$C$2)+IF(O244="",0,O244*Dimensoes!$C$3)+IF(P244="",0,P244*Dimensoes!$C$4)+IF(Q244="",0,Q244*Dimensoes!$C$5))/(IF(N244="",0,Dimensoes!$C$2)+IF(O244="",0,Dimensoes!$C$3)+IF(P244="",0,Dimensoes!$C$4)+IF(Q244="",0,Dimensoes!$C$5))))</f>
        <v/>
      </c>
      <c r="S244" s="0" t="str">
        <f aca="false">IF(R244="","",IF(R244&lt;Faixas!$C$3,"vermelho",IF(R244&lt;Faixas!$C$4,"amarelo","verde")))</f>
        <v/>
      </c>
      <c r="T244" s="9" t="str">
        <f aca="false">IF($A244="","",IF(N244="",0,N244*Dimensoes!$C$2)+IF(O244="",0,O244*Dimensoes!$C$3)+IF(P244="",0,P244*Dimensoes!$C$4)+IF(Q244="",0,Q244*Dimensoes!$C$5))</f>
        <v/>
      </c>
      <c r="U244" s="0" t="str">
        <f aca="false">IF($A244="","",IF(OR(E244="concluida",E244="incompleta"),1,0))</f>
        <v/>
      </c>
    </row>
    <row r="245" customFormat="false" ht="15" hidden="false" customHeight="false" outlineLevel="0" collapsed="false">
      <c r="A245" s="0" t="str">
        <f aca="false">IF(Visitas!A245="","",Visitas!A245)</f>
        <v/>
      </c>
      <c r="B245" s="0" t="str">
        <f aca="false">IF($A245="","",Visitas!C245)</f>
        <v/>
      </c>
      <c r="C245" s="7" t="str">
        <f aca="false">IF($A245="","",Visitas!D245)</f>
        <v/>
      </c>
      <c r="D245" s="0" t="str">
        <f aca="false">IF($A245="","",Visitas!B245)</f>
        <v/>
      </c>
      <c r="E245" s="0" t="str">
        <f aca="false">IF($A245="","",Visitas!F245)</f>
        <v/>
      </c>
      <c r="F245" s="0" t="str">
        <f aca="false">IF($A245="","",SUMIFS(Avaliacoes!$G$2:$G$6000,Avaliacoes!$A$2:$A$6000,$A245,Avaliacoes!$F$2:$F$6000,"I",Avaliacoes!$H$2:$H$6000,0))</f>
        <v/>
      </c>
      <c r="G245" s="0" t="str">
        <f aca="false">IF($A245="","",SUMIFS(Avaliacoes!$G$2:$G$6000,Avaliacoes!$A$2:$A$6000,$A245,Avaliacoes!$F$2:$F$6000,"II",Avaliacoes!$H$2:$H$6000,0))</f>
        <v/>
      </c>
      <c r="H245" s="0" t="str">
        <f aca="false">IF($A245="","",SUMIFS(Avaliacoes!$G$2:$G$6000,Avaliacoes!$A$2:$A$6000,$A245,Avaliacoes!$F$2:$F$6000,"III",Avaliacoes!$H$2:$H$6000,0))</f>
        <v/>
      </c>
      <c r="I245" s="0" t="str">
        <f aca="false">IF($A245="","",SUMIFS(Avaliacoes!$G$2:$G$6000,Avaliacoes!$A$2:$A$6000,$A245,Avaliacoes!$F$2:$F$6000,"IV",Avaliacoes!$H$2:$H$6000,0))</f>
        <v/>
      </c>
      <c r="J245" s="0" t="str">
        <f aca="false">IF($A245="","",COUNTIFS(Avaliacoes!$A$2:$A$6000,$A245,Avaliacoes!$F$2:$F$6000,"I",Avaliacoes!$H$2:$H$6000,0,Avaliacoes!$G$2:$G$6000,"&lt;&gt;")*Dimensoes!$E$2)</f>
        <v/>
      </c>
      <c r="K245" s="0" t="str">
        <f aca="false">IF($A245="","",COUNTIFS(Avaliacoes!$A$2:$A$6000,$A245,Avaliacoes!$F$2:$F$6000,"II",Avaliacoes!$H$2:$H$6000,0,Avaliacoes!$G$2:$G$6000,"&lt;&gt;")*Dimensoes!$E$3)</f>
        <v/>
      </c>
      <c r="L245" s="0" t="str">
        <f aca="false">IF($A245="","",COUNTIFS(Avaliacoes!$A$2:$A$6000,$A245,Avaliacoes!$F$2:$F$6000,"III",Avaliacoes!$H$2:$H$6000,0,Avaliacoes!$G$2:$G$6000,"&lt;&gt;")*Dimensoes!$E$4)</f>
        <v/>
      </c>
      <c r="M245" s="0" t="str">
        <f aca="false">IF($A245="","",COUNTIFS(Avaliacoes!$A$2:$A$6000,$A245,Avaliacoes!$F$2:$F$6000,"IV",Avaliacoes!$H$2:$H$6000,0,Avaliacoes!$G$2:$G$6000,"&lt;&gt;")*Dimensoes!$E$5)</f>
        <v/>
      </c>
      <c r="N245" s="9" t="str">
        <f aca="false">IF($A245="","",IF(J245&gt;0,F245/J245,""))</f>
        <v/>
      </c>
      <c r="O245" s="9" t="str">
        <f aca="false">IF($A245="","",IF(K245&gt;0,G245/K245,""))</f>
        <v/>
      </c>
      <c r="P245" s="9" t="str">
        <f aca="false">IF($A245="","",IF(L245&gt;0,H245/L245,""))</f>
        <v/>
      </c>
      <c r="Q245" s="9" t="str">
        <f aca="false">IF($A245="","",IF(M245&gt;0,I245/M245,""))</f>
        <v/>
      </c>
      <c r="R245" s="17" t="str">
        <f aca="false">IF($A245="","",IF((IF(N245="",0,Dimensoes!$C$2)+IF(O245="",0,Dimensoes!$C$3)+IF(P245="",0,Dimensoes!$C$4)+IF(Q245="",0,Dimensoes!$C$5))=0,"",(IF(N245="",0,N245*Dimensoes!$C$2)+IF(O245="",0,O245*Dimensoes!$C$3)+IF(P245="",0,P245*Dimensoes!$C$4)+IF(Q245="",0,Q245*Dimensoes!$C$5))/(IF(N245="",0,Dimensoes!$C$2)+IF(O245="",0,Dimensoes!$C$3)+IF(P245="",0,Dimensoes!$C$4)+IF(Q245="",0,Dimensoes!$C$5))))</f>
        <v/>
      </c>
      <c r="S245" s="0" t="str">
        <f aca="false">IF(R245="","",IF(R245&lt;Faixas!$C$3,"vermelho",IF(R245&lt;Faixas!$C$4,"amarelo","verde")))</f>
        <v/>
      </c>
      <c r="T245" s="9" t="str">
        <f aca="false">IF($A245="","",IF(N245="",0,N245*Dimensoes!$C$2)+IF(O245="",0,O245*Dimensoes!$C$3)+IF(P245="",0,P245*Dimensoes!$C$4)+IF(Q245="",0,Q245*Dimensoes!$C$5))</f>
        <v/>
      </c>
      <c r="U245" s="0" t="str">
        <f aca="false">IF($A245="","",IF(OR(E245="concluida",E245="incompleta"),1,0))</f>
        <v/>
      </c>
    </row>
    <row r="246" customFormat="false" ht="15" hidden="false" customHeight="false" outlineLevel="0" collapsed="false">
      <c r="A246" s="0" t="str">
        <f aca="false">IF(Visitas!A246="","",Visitas!A246)</f>
        <v/>
      </c>
      <c r="B246" s="0" t="str">
        <f aca="false">IF($A246="","",Visitas!C246)</f>
        <v/>
      </c>
      <c r="C246" s="7" t="str">
        <f aca="false">IF($A246="","",Visitas!D246)</f>
        <v/>
      </c>
      <c r="D246" s="0" t="str">
        <f aca="false">IF($A246="","",Visitas!B246)</f>
        <v/>
      </c>
      <c r="E246" s="0" t="str">
        <f aca="false">IF($A246="","",Visitas!F246)</f>
        <v/>
      </c>
      <c r="F246" s="0" t="str">
        <f aca="false">IF($A246="","",SUMIFS(Avaliacoes!$G$2:$G$6000,Avaliacoes!$A$2:$A$6000,$A246,Avaliacoes!$F$2:$F$6000,"I",Avaliacoes!$H$2:$H$6000,0))</f>
        <v/>
      </c>
      <c r="G246" s="0" t="str">
        <f aca="false">IF($A246="","",SUMIFS(Avaliacoes!$G$2:$G$6000,Avaliacoes!$A$2:$A$6000,$A246,Avaliacoes!$F$2:$F$6000,"II",Avaliacoes!$H$2:$H$6000,0))</f>
        <v/>
      </c>
      <c r="H246" s="0" t="str">
        <f aca="false">IF($A246="","",SUMIFS(Avaliacoes!$G$2:$G$6000,Avaliacoes!$A$2:$A$6000,$A246,Avaliacoes!$F$2:$F$6000,"III",Avaliacoes!$H$2:$H$6000,0))</f>
        <v/>
      </c>
      <c r="I246" s="0" t="str">
        <f aca="false">IF($A246="","",SUMIFS(Avaliacoes!$G$2:$G$6000,Avaliacoes!$A$2:$A$6000,$A246,Avaliacoes!$F$2:$F$6000,"IV",Avaliacoes!$H$2:$H$6000,0))</f>
        <v/>
      </c>
      <c r="J246" s="0" t="str">
        <f aca="false">IF($A246="","",COUNTIFS(Avaliacoes!$A$2:$A$6000,$A246,Avaliacoes!$F$2:$F$6000,"I",Avaliacoes!$H$2:$H$6000,0,Avaliacoes!$G$2:$G$6000,"&lt;&gt;")*Dimensoes!$E$2)</f>
        <v/>
      </c>
      <c r="K246" s="0" t="str">
        <f aca="false">IF($A246="","",COUNTIFS(Avaliacoes!$A$2:$A$6000,$A246,Avaliacoes!$F$2:$F$6000,"II",Avaliacoes!$H$2:$H$6000,0,Avaliacoes!$G$2:$G$6000,"&lt;&gt;")*Dimensoes!$E$3)</f>
        <v/>
      </c>
      <c r="L246" s="0" t="str">
        <f aca="false">IF($A246="","",COUNTIFS(Avaliacoes!$A$2:$A$6000,$A246,Avaliacoes!$F$2:$F$6000,"III",Avaliacoes!$H$2:$H$6000,0,Avaliacoes!$G$2:$G$6000,"&lt;&gt;")*Dimensoes!$E$4)</f>
        <v/>
      </c>
      <c r="M246" s="0" t="str">
        <f aca="false">IF($A246="","",COUNTIFS(Avaliacoes!$A$2:$A$6000,$A246,Avaliacoes!$F$2:$F$6000,"IV",Avaliacoes!$H$2:$H$6000,0,Avaliacoes!$G$2:$G$6000,"&lt;&gt;")*Dimensoes!$E$5)</f>
        <v/>
      </c>
      <c r="N246" s="9" t="str">
        <f aca="false">IF($A246="","",IF(J246&gt;0,F246/J246,""))</f>
        <v/>
      </c>
      <c r="O246" s="9" t="str">
        <f aca="false">IF($A246="","",IF(K246&gt;0,G246/K246,""))</f>
        <v/>
      </c>
      <c r="P246" s="9" t="str">
        <f aca="false">IF($A246="","",IF(L246&gt;0,H246/L246,""))</f>
        <v/>
      </c>
      <c r="Q246" s="9" t="str">
        <f aca="false">IF($A246="","",IF(M246&gt;0,I246/M246,""))</f>
        <v/>
      </c>
      <c r="R246" s="17" t="str">
        <f aca="false">IF($A246="","",IF((IF(N246="",0,Dimensoes!$C$2)+IF(O246="",0,Dimensoes!$C$3)+IF(P246="",0,Dimensoes!$C$4)+IF(Q246="",0,Dimensoes!$C$5))=0,"",(IF(N246="",0,N246*Dimensoes!$C$2)+IF(O246="",0,O246*Dimensoes!$C$3)+IF(P246="",0,P246*Dimensoes!$C$4)+IF(Q246="",0,Q246*Dimensoes!$C$5))/(IF(N246="",0,Dimensoes!$C$2)+IF(O246="",0,Dimensoes!$C$3)+IF(P246="",0,Dimensoes!$C$4)+IF(Q246="",0,Dimensoes!$C$5))))</f>
        <v/>
      </c>
      <c r="S246" s="0" t="str">
        <f aca="false">IF(R246="","",IF(R246&lt;Faixas!$C$3,"vermelho",IF(R246&lt;Faixas!$C$4,"amarelo","verde")))</f>
        <v/>
      </c>
      <c r="T246" s="9" t="str">
        <f aca="false">IF($A246="","",IF(N246="",0,N246*Dimensoes!$C$2)+IF(O246="",0,O246*Dimensoes!$C$3)+IF(P246="",0,P246*Dimensoes!$C$4)+IF(Q246="",0,Q246*Dimensoes!$C$5))</f>
        <v/>
      </c>
      <c r="U246" s="0" t="str">
        <f aca="false">IF($A246="","",IF(OR(E246="concluida",E246="incompleta"),1,0))</f>
        <v/>
      </c>
    </row>
    <row r="247" customFormat="false" ht="15" hidden="false" customHeight="false" outlineLevel="0" collapsed="false">
      <c r="A247" s="0" t="str">
        <f aca="false">IF(Visitas!A247="","",Visitas!A247)</f>
        <v/>
      </c>
      <c r="B247" s="0" t="str">
        <f aca="false">IF($A247="","",Visitas!C247)</f>
        <v/>
      </c>
      <c r="C247" s="7" t="str">
        <f aca="false">IF($A247="","",Visitas!D247)</f>
        <v/>
      </c>
      <c r="D247" s="0" t="str">
        <f aca="false">IF($A247="","",Visitas!B247)</f>
        <v/>
      </c>
      <c r="E247" s="0" t="str">
        <f aca="false">IF($A247="","",Visitas!F247)</f>
        <v/>
      </c>
      <c r="F247" s="0" t="str">
        <f aca="false">IF($A247="","",SUMIFS(Avaliacoes!$G$2:$G$6000,Avaliacoes!$A$2:$A$6000,$A247,Avaliacoes!$F$2:$F$6000,"I",Avaliacoes!$H$2:$H$6000,0))</f>
        <v/>
      </c>
      <c r="G247" s="0" t="str">
        <f aca="false">IF($A247="","",SUMIFS(Avaliacoes!$G$2:$G$6000,Avaliacoes!$A$2:$A$6000,$A247,Avaliacoes!$F$2:$F$6000,"II",Avaliacoes!$H$2:$H$6000,0))</f>
        <v/>
      </c>
      <c r="H247" s="0" t="str">
        <f aca="false">IF($A247="","",SUMIFS(Avaliacoes!$G$2:$G$6000,Avaliacoes!$A$2:$A$6000,$A247,Avaliacoes!$F$2:$F$6000,"III",Avaliacoes!$H$2:$H$6000,0))</f>
        <v/>
      </c>
      <c r="I247" s="0" t="str">
        <f aca="false">IF($A247="","",SUMIFS(Avaliacoes!$G$2:$G$6000,Avaliacoes!$A$2:$A$6000,$A247,Avaliacoes!$F$2:$F$6000,"IV",Avaliacoes!$H$2:$H$6000,0))</f>
        <v/>
      </c>
      <c r="J247" s="0" t="str">
        <f aca="false">IF($A247="","",COUNTIFS(Avaliacoes!$A$2:$A$6000,$A247,Avaliacoes!$F$2:$F$6000,"I",Avaliacoes!$H$2:$H$6000,0,Avaliacoes!$G$2:$G$6000,"&lt;&gt;")*Dimensoes!$E$2)</f>
        <v/>
      </c>
      <c r="K247" s="0" t="str">
        <f aca="false">IF($A247="","",COUNTIFS(Avaliacoes!$A$2:$A$6000,$A247,Avaliacoes!$F$2:$F$6000,"II",Avaliacoes!$H$2:$H$6000,0,Avaliacoes!$G$2:$G$6000,"&lt;&gt;")*Dimensoes!$E$3)</f>
        <v/>
      </c>
      <c r="L247" s="0" t="str">
        <f aca="false">IF($A247="","",COUNTIFS(Avaliacoes!$A$2:$A$6000,$A247,Avaliacoes!$F$2:$F$6000,"III",Avaliacoes!$H$2:$H$6000,0,Avaliacoes!$G$2:$G$6000,"&lt;&gt;")*Dimensoes!$E$4)</f>
        <v/>
      </c>
      <c r="M247" s="0" t="str">
        <f aca="false">IF($A247="","",COUNTIFS(Avaliacoes!$A$2:$A$6000,$A247,Avaliacoes!$F$2:$F$6000,"IV",Avaliacoes!$H$2:$H$6000,0,Avaliacoes!$G$2:$G$6000,"&lt;&gt;")*Dimensoes!$E$5)</f>
        <v/>
      </c>
      <c r="N247" s="9" t="str">
        <f aca="false">IF($A247="","",IF(J247&gt;0,F247/J247,""))</f>
        <v/>
      </c>
      <c r="O247" s="9" t="str">
        <f aca="false">IF($A247="","",IF(K247&gt;0,G247/K247,""))</f>
        <v/>
      </c>
      <c r="P247" s="9" t="str">
        <f aca="false">IF($A247="","",IF(L247&gt;0,H247/L247,""))</f>
        <v/>
      </c>
      <c r="Q247" s="9" t="str">
        <f aca="false">IF($A247="","",IF(M247&gt;0,I247/M247,""))</f>
        <v/>
      </c>
      <c r="R247" s="17" t="str">
        <f aca="false">IF($A247="","",IF((IF(N247="",0,Dimensoes!$C$2)+IF(O247="",0,Dimensoes!$C$3)+IF(P247="",0,Dimensoes!$C$4)+IF(Q247="",0,Dimensoes!$C$5))=0,"",(IF(N247="",0,N247*Dimensoes!$C$2)+IF(O247="",0,O247*Dimensoes!$C$3)+IF(P247="",0,P247*Dimensoes!$C$4)+IF(Q247="",0,Q247*Dimensoes!$C$5))/(IF(N247="",0,Dimensoes!$C$2)+IF(O247="",0,Dimensoes!$C$3)+IF(P247="",0,Dimensoes!$C$4)+IF(Q247="",0,Dimensoes!$C$5))))</f>
        <v/>
      </c>
      <c r="S247" s="0" t="str">
        <f aca="false">IF(R247="","",IF(R247&lt;Faixas!$C$3,"vermelho",IF(R247&lt;Faixas!$C$4,"amarelo","verde")))</f>
        <v/>
      </c>
      <c r="T247" s="9" t="str">
        <f aca="false">IF($A247="","",IF(N247="",0,N247*Dimensoes!$C$2)+IF(O247="",0,O247*Dimensoes!$C$3)+IF(P247="",0,P247*Dimensoes!$C$4)+IF(Q247="",0,Q247*Dimensoes!$C$5))</f>
        <v/>
      </c>
      <c r="U247" s="0" t="str">
        <f aca="false">IF($A247="","",IF(OR(E247="concluida",E247="incompleta"),1,0))</f>
        <v/>
      </c>
    </row>
    <row r="248" customFormat="false" ht="15" hidden="false" customHeight="false" outlineLevel="0" collapsed="false">
      <c r="A248" s="0" t="str">
        <f aca="false">IF(Visitas!A248="","",Visitas!A248)</f>
        <v/>
      </c>
      <c r="B248" s="0" t="str">
        <f aca="false">IF($A248="","",Visitas!C248)</f>
        <v/>
      </c>
      <c r="C248" s="7" t="str">
        <f aca="false">IF($A248="","",Visitas!D248)</f>
        <v/>
      </c>
      <c r="D248" s="0" t="str">
        <f aca="false">IF($A248="","",Visitas!B248)</f>
        <v/>
      </c>
      <c r="E248" s="0" t="str">
        <f aca="false">IF($A248="","",Visitas!F248)</f>
        <v/>
      </c>
      <c r="F248" s="0" t="str">
        <f aca="false">IF($A248="","",SUMIFS(Avaliacoes!$G$2:$G$6000,Avaliacoes!$A$2:$A$6000,$A248,Avaliacoes!$F$2:$F$6000,"I",Avaliacoes!$H$2:$H$6000,0))</f>
        <v/>
      </c>
      <c r="G248" s="0" t="str">
        <f aca="false">IF($A248="","",SUMIFS(Avaliacoes!$G$2:$G$6000,Avaliacoes!$A$2:$A$6000,$A248,Avaliacoes!$F$2:$F$6000,"II",Avaliacoes!$H$2:$H$6000,0))</f>
        <v/>
      </c>
      <c r="H248" s="0" t="str">
        <f aca="false">IF($A248="","",SUMIFS(Avaliacoes!$G$2:$G$6000,Avaliacoes!$A$2:$A$6000,$A248,Avaliacoes!$F$2:$F$6000,"III",Avaliacoes!$H$2:$H$6000,0))</f>
        <v/>
      </c>
      <c r="I248" s="0" t="str">
        <f aca="false">IF($A248="","",SUMIFS(Avaliacoes!$G$2:$G$6000,Avaliacoes!$A$2:$A$6000,$A248,Avaliacoes!$F$2:$F$6000,"IV",Avaliacoes!$H$2:$H$6000,0))</f>
        <v/>
      </c>
      <c r="J248" s="0" t="str">
        <f aca="false">IF($A248="","",COUNTIFS(Avaliacoes!$A$2:$A$6000,$A248,Avaliacoes!$F$2:$F$6000,"I",Avaliacoes!$H$2:$H$6000,0,Avaliacoes!$G$2:$G$6000,"&lt;&gt;")*Dimensoes!$E$2)</f>
        <v/>
      </c>
      <c r="K248" s="0" t="str">
        <f aca="false">IF($A248="","",COUNTIFS(Avaliacoes!$A$2:$A$6000,$A248,Avaliacoes!$F$2:$F$6000,"II",Avaliacoes!$H$2:$H$6000,0,Avaliacoes!$G$2:$G$6000,"&lt;&gt;")*Dimensoes!$E$3)</f>
        <v/>
      </c>
      <c r="L248" s="0" t="str">
        <f aca="false">IF($A248="","",COUNTIFS(Avaliacoes!$A$2:$A$6000,$A248,Avaliacoes!$F$2:$F$6000,"III",Avaliacoes!$H$2:$H$6000,0,Avaliacoes!$G$2:$G$6000,"&lt;&gt;")*Dimensoes!$E$4)</f>
        <v/>
      </c>
      <c r="M248" s="0" t="str">
        <f aca="false">IF($A248="","",COUNTIFS(Avaliacoes!$A$2:$A$6000,$A248,Avaliacoes!$F$2:$F$6000,"IV",Avaliacoes!$H$2:$H$6000,0,Avaliacoes!$G$2:$G$6000,"&lt;&gt;")*Dimensoes!$E$5)</f>
        <v/>
      </c>
      <c r="N248" s="9" t="str">
        <f aca="false">IF($A248="","",IF(J248&gt;0,F248/J248,""))</f>
        <v/>
      </c>
      <c r="O248" s="9" t="str">
        <f aca="false">IF($A248="","",IF(K248&gt;0,G248/K248,""))</f>
        <v/>
      </c>
      <c r="P248" s="9" t="str">
        <f aca="false">IF($A248="","",IF(L248&gt;0,H248/L248,""))</f>
        <v/>
      </c>
      <c r="Q248" s="9" t="str">
        <f aca="false">IF($A248="","",IF(M248&gt;0,I248/M248,""))</f>
        <v/>
      </c>
      <c r="R248" s="17" t="str">
        <f aca="false">IF($A248="","",IF((IF(N248="",0,Dimensoes!$C$2)+IF(O248="",0,Dimensoes!$C$3)+IF(P248="",0,Dimensoes!$C$4)+IF(Q248="",0,Dimensoes!$C$5))=0,"",(IF(N248="",0,N248*Dimensoes!$C$2)+IF(O248="",0,O248*Dimensoes!$C$3)+IF(P248="",0,P248*Dimensoes!$C$4)+IF(Q248="",0,Q248*Dimensoes!$C$5))/(IF(N248="",0,Dimensoes!$C$2)+IF(O248="",0,Dimensoes!$C$3)+IF(P248="",0,Dimensoes!$C$4)+IF(Q248="",0,Dimensoes!$C$5))))</f>
        <v/>
      </c>
      <c r="S248" s="0" t="str">
        <f aca="false">IF(R248="","",IF(R248&lt;Faixas!$C$3,"vermelho",IF(R248&lt;Faixas!$C$4,"amarelo","verde")))</f>
        <v/>
      </c>
      <c r="T248" s="9" t="str">
        <f aca="false">IF($A248="","",IF(N248="",0,N248*Dimensoes!$C$2)+IF(O248="",0,O248*Dimensoes!$C$3)+IF(P248="",0,P248*Dimensoes!$C$4)+IF(Q248="",0,Q248*Dimensoes!$C$5))</f>
        <v/>
      </c>
      <c r="U248" s="0" t="str">
        <f aca="false">IF($A248="","",IF(OR(E248="concluida",E248="incompleta"),1,0))</f>
        <v/>
      </c>
    </row>
    <row r="249" customFormat="false" ht="15" hidden="false" customHeight="false" outlineLevel="0" collapsed="false">
      <c r="A249" s="0" t="str">
        <f aca="false">IF(Visitas!A249="","",Visitas!A249)</f>
        <v/>
      </c>
      <c r="B249" s="0" t="str">
        <f aca="false">IF($A249="","",Visitas!C249)</f>
        <v/>
      </c>
      <c r="C249" s="7" t="str">
        <f aca="false">IF($A249="","",Visitas!D249)</f>
        <v/>
      </c>
      <c r="D249" s="0" t="str">
        <f aca="false">IF($A249="","",Visitas!B249)</f>
        <v/>
      </c>
      <c r="E249" s="0" t="str">
        <f aca="false">IF($A249="","",Visitas!F249)</f>
        <v/>
      </c>
      <c r="F249" s="0" t="str">
        <f aca="false">IF($A249="","",SUMIFS(Avaliacoes!$G$2:$G$6000,Avaliacoes!$A$2:$A$6000,$A249,Avaliacoes!$F$2:$F$6000,"I",Avaliacoes!$H$2:$H$6000,0))</f>
        <v/>
      </c>
      <c r="G249" s="0" t="str">
        <f aca="false">IF($A249="","",SUMIFS(Avaliacoes!$G$2:$G$6000,Avaliacoes!$A$2:$A$6000,$A249,Avaliacoes!$F$2:$F$6000,"II",Avaliacoes!$H$2:$H$6000,0))</f>
        <v/>
      </c>
      <c r="H249" s="0" t="str">
        <f aca="false">IF($A249="","",SUMIFS(Avaliacoes!$G$2:$G$6000,Avaliacoes!$A$2:$A$6000,$A249,Avaliacoes!$F$2:$F$6000,"III",Avaliacoes!$H$2:$H$6000,0))</f>
        <v/>
      </c>
      <c r="I249" s="0" t="str">
        <f aca="false">IF($A249="","",SUMIFS(Avaliacoes!$G$2:$G$6000,Avaliacoes!$A$2:$A$6000,$A249,Avaliacoes!$F$2:$F$6000,"IV",Avaliacoes!$H$2:$H$6000,0))</f>
        <v/>
      </c>
      <c r="J249" s="0" t="str">
        <f aca="false">IF($A249="","",COUNTIFS(Avaliacoes!$A$2:$A$6000,$A249,Avaliacoes!$F$2:$F$6000,"I",Avaliacoes!$H$2:$H$6000,0,Avaliacoes!$G$2:$G$6000,"&lt;&gt;")*Dimensoes!$E$2)</f>
        <v/>
      </c>
      <c r="K249" s="0" t="str">
        <f aca="false">IF($A249="","",COUNTIFS(Avaliacoes!$A$2:$A$6000,$A249,Avaliacoes!$F$2:$F$6000,"II",Avaliacoes!$H$2:$H$6000,0,Avaliacoes!$G$2:$G$6000,"&lt;&gt;")*Dimensoes!$E$3)</f>
        <v/>
      </c>
      <c r="L249" s="0" t="str">
        <f aca="false">IF($A249="","",COUNTIFS(Avaliacoes!$A$2:$A$6000,$A249,Avaliacoes!$F$2:$F$6000,"III",Avaliacoes!$H$2:$H$6000,0,Avaliacoes!$G$2:$G$6000,"&lt;&gt;")*Dimensoes!$E$4)</f>
        <v/>
      </c>
      <c r="M249" s="0" t="str">
        <f aca="false">IF($A249="","",COUNTIFS(Avaliacoes!$A$2:$A$6000,$A249,Avaliacoes!$F$2:$F$6000,"IV",Avaliacoes!$H$2:$H$6000,0,Avaliacoes!$G$2:$G$6000,"&lt;&gt;")*Dimensoes!$E$5)</f>
        <v/>
      </c>
      <c r="N249" s="9" t="str">
        <f aca="false">IF($A249="","",IF(J249&gt;0,F249/J249,""))</f>
        <v/>
      </c>
      <c r="O249" s="9" t="str">
        <f aca="false">IF($A249="","",IF(K249&gt;0,G249/K249,""))</f>
        <v/>
      </c>
      <c r="P249" s="9" t="str">
        <f aca="false">IF($A249="","",IF(L249&gt;0,H249/L249,""))</f>
        <v/>
      </c>
      <c r="Q249" s="9" t="str">
        <f aca="false">IF($A249="","",IF(M249&gt;0,I249/M249,""))</f>
        <v/>
      </c>
      <c r="R249" s="17" t="str">
        <f aca="false">IF($A249="","",IF((IF(N249="",0,Dimensoes!$C$2)+IF(O249="",0,Dimensoes!$C$3)+IF(P249="",0,Dimensoes!$C$4)+IF(Q249="",0,Dimensoes!$C$5))=0,"",(IF(N249="",0,N249*Dimensoes!$C$2)+IF(O249="",0,O249*Dimensoes!$C$3)+IF(P249="",0,P249*Dimensoes!$C$4)+IF(Q249="",0,Q249*Dimensoes!$C$5))/(IF(N249="",0,Dimensoes!$C$2)+IF(O249="",0,Dimensoes!$C$3)+IF(P249="",0,Dimensoes!$C$4)+IF(Q249="",0,Dimensoes!$C$5))))</f>
        <v/>
      </c>
      <c r="S249" s="0" t="str">
        <f aca="false">IF(R249="","",IF(R249&lt;Faixas!$C$3,"vermelho",IF(R249&lt;Faixas!$C$4,"amarelo","verde")))</f>
        <v/>
      </c>
      <c r="T249" s="9" t="str">
        <f aca="false">IF($A249="","",IF(N249="",0,N249*Dimensoes!$C$2)+IF(O249="",0,O249*Dimensoes!$C$3)+IF(P249="",0,P249*Dimensoes!$C$4)+IF(Q249="",0,Q249*Dimensoes!$C$5))</f>
        <v/>
      </c>
      <c r="U249" s="0" t="str">
        <f aca="false">IF($A249="","",IF(OR(E249="concluida",E249="incompleta"),1,0))</f>
        <v/>
      </c>
    </row>
    <row r="250" customFormat="false" ht="15" hidden="false" customHeight="false" outlineLevel="0" collapsed="false">
      <c r="A250" s="0" t="str">
        <f aca="false">IF(Visitas!A250="","",Visitas!A250)</f>
        <v/>
      </c>
      <c r="B250" s="0" t="str">
        <f aca="false">IF($A250="","",Visitas!C250)</f>
        <v/>
      </c>
      <c r="C250" s="7" t="str">
        <f aca="false">IF($A250="","",Visitas!D250)</f>
        <v/>
      </c>
      <c r="D250" s="0" t="str">
        <f aca="false">IF($A250="","",Visitas!B250)</f>
        <v/>
      </c>
      <c r="E250" s="0" t="str">
        <f aca="false">IF($A250="","",Visitas!F250)</f>
        <v/>
      </c>
      <c r="F250" s="0" t="str">
        <f aca="false">IF($A250="","",SUMIFS(Avaliacoes!$G$2:$G$6000,Avaliacoes!$A$2:$A$6000,$A250,Avaliacoes!$F$2:$F$6000,"I",Avaliacoes!$H$2:$H$6000,0))</f>
        <v/>
      </c>
      <c r="G250" s="0" t="str">
        <f aca="false">IF($A250="","",SUMIFS(Avaliacoes!$G$2:$G$6000,Avaliacoes!$A$2:$A$6000,$A250,Avaliacoes!$F$2:$F$6000,"II",Avaliacoes!$H$2:$H$6000,0))</f>
        <v/>
      </c>
      <c r="H250" s="0" t="str">
        <f aca="false">IF($A250="","",SUMIFS(Avaliacoes!$G$2:$G$6000,Avaliacoes!$A$2:$A$6000,$A250,Avaliacoes!$F$2:$F$6000,"III",Avaliacoes!$H$2:$H$6000,0))</f>
        <v/>
      </c>
      <c r="I250" s="0" t="str">
        <f aca="false">IF($A250="","",SUMIFS(Avaliacoes!$G$2:$G$6000,Avaliacoes!$A$2:$A$6000,$A250,Avaliacoes!$F$2:$F$6000,"IV",Avaliacoes!$H$2:$H$6000,0))</f>
        <v/>
      </c>
      <c r="J250" s="0" t="str">
        <f aca="false">IF($A250="","",COUNTIFS(Avaliacoes!$A$2:$A$6000,$A250,Avaliacoes!$F$2:$F$6000,"I",Avaliacoes!$H$2:$H$6000,0,Avaliacoes!$G$2:$G$6000,"&lt;&gt;")*Dimensoes!$E$2)</f>
        <v/>
      </c>
      <c r="K250" s="0" t="str">
        <f aca="false">IF($A250="","",COUNTIFS(Avaliacoes!$A$2:$A$6000,$A250,Avaliacoes!$F$2:$F$6000,"II",Avaliacoes!$H$2:$H$6000,0,Avaliacoes!$G$2:$G$6000,"&lt;&gt;")*Dimensoes!$E$3)</f>
        <v/>
      </c>
      <c r="L250" s="0" t="str">
        <f aca="false">IF($A250="","",COUNTIFS(Avaliacoes!$A$2:$A$6000,$A250,Avaliacoes!$F$2:$F$6000,"III",Avaliacoes!$H$2:$H$6000,0,Avaliacoes!$G$2:$G$6000,"&lt;&gt;")*Dimensoes!$E$4)</f>
        <v/>
      </c>
      <c r="M250" s="0" t="str">
        <f aca="false">IF($A250="","",COUNTIFS(Avaliacoes!$A$2:$A$6000,$A250,Avaliacoes!$F$2:$F$6000,"IV",Avaliacoes!$H$2:$H$6000,0,Avaliacoes!$G$2:$G$6000,"&lt;&gt;")*Dimensoes!$E$5)</f>
        <v/>
      </c>
      <c r="N250" s="9" t="str">
        <f aca="false">IF($A250="","",IF(J250&gt;0,F250/J250,""))</f>
        <v/>
      </c>
      <c r="O250" s="9" t="str">
        <f aca="false">IF($A250="","",IF(K250&gt;0,G250/K250,""))</f>
        <v/>
      </c>
      <c r="P250" s="9" t="str">
        <f aca="false">IF($A250="","",IF(L250&gt;0,H250/L250,""))</f>
        <v/>
      </c>
      <c r="Q250" s="9" t="str">
        <f aca="false">IF($A250="","",IF(M250&gt;0,I250/M250,""))</f>
        <v/>
      </c>
      <c r="R250" s="17" t="str">
        <f aca="false">IF($A250="","",IF((IF(N250="",0,Dimensoes!$C$2)+IF(O250="",0,Dimensoes!$C$3)+IF(P250="",0,Dimensoes!$C$4)+IF(Q250="",0,Dimensoes!$C$5))=0,"",(IF(N250="",0,N250*Dimensoes!$C$2)+IF(O250="",0,O250*Dimensoes!$C$3)+IF(P250="",0,P250*Dimensoes!$C$4)+IF(Q250="",0,Q250*Dimensoes!$C$5))/(IF(N250="",0,Dimensoes!$C$2)+IF(O250="",0,Dimensoes!$C$3)+IF(P250="",0,Dimensoes!$C$4)+IF(Q250="",0,Dimensoes!$C$5))))</f>
        <v/>
      </c>
      <c r="S250" s="0" t="str">
        <f aca="false">IF(R250="","",IF(R250&lt;Faixas!$C$3,"vermelho",IF(R250&lt;Faixas!$C$4,"amarelo","verde")))</f>
        <v/>
      </c>
      <c r="T250" s="9" t="str">
        <f aca="false">IF($A250="","",IF(N250="",0,N250*Dimensoes!$C$2)+IF(O250="",0,O250*Dimensoes!$C$3)+IF(P250="",0,P250*Dimensoes!$C$4)+IF(Q250="",0,Q250*Dimensoes!$C$5))</f>
        <v/>
      </c>
      <c r="U250" s="0" t="str">
        <f aca="false">IF($A250="","",IF(OR(E250="concluida",E250="incompleta"),1,0))</f>
        <v/>
      </c>
    </row>
    <row r="251" customFormat="false" ht="15" hidden="false" customHeight="false" outlineLevel="0" collapsed="false">
      <c r="A251" s="0" t="str">
        <f aca="false">IF(Visitas!A251="","",Visitas!A251)</f>
        <v/>
      </c>
      <c r="B251" s="0" t="str">
        <f aca="false">IF($A251="","",Visitas!C251)</f>
        <v/>
      </c>
      <c r="C251" s="7" t="str">
        <f aca="false">IF($A251="","",Visitas!D251)</f>
        <v/>
      </c>
      <c r="D251" s="0" t="str">
        <f aca="false">IF($A251="","",Visitas!B251)</f>
        <v/>
      </c>
      <c r="E251" s="0" t="str">
        <f aca="false">IF($A251="","",Visitas!F251)</f>
        <v/>
      </c>
      <c r="F251" s="0" t="str">
        <f aca="false">IF($A251="","",SUMIFS(Avaliacoes!$G$2:$G$6000,Avaliacoes!$A$2:$A$6000,$A251,Avaliacoes!$F$2:$F$6000,"I",Avaliacoes!$H$2:$H$6000,0))</f>
        <v/>
      </c>
      <c r="G251" s="0" t="str">
        <f aca="false">IF($A251="","",SUMIFS(Avaliacoes!$G$2:$G$6000,Avaliacoes!$A$2:$A$6000,$A251,Avaliacoes!$F$2:$F$6000,"II",Avaliacoes!$H$2:$H$6000,0))</f>
        <v/>
      </c>
      <c r="H251" s="0" t="str">
        <f aca="false">IF($A251="","",SUMIFS(Avaliacoes!$G$2:$G$6000,Avaliacoes!$A$2:$A$6000,$A251,Avaliacoes!$F$2:$F$6000,"III",Avaliacoes!$H$2:$H$6000,0))</f>
        <v/>
      </c>
      <c r="I251" s="0" t="str">
        <f aca="false">IF($A251="","",SUMIFS(Avaliacoes!$G$2:$G$6000,Avaliacoes!$A$2:$A$6000,$A251,Avaliacoes!$F$2:$F$6000,"IV",Avaliacoes!$H$2:$H$6000,0))</f>
        <v/>
      </c>
      <c r="J251" s="0" t="str">
        <f aca="false">IF($A251="","",COUNTIFS(Avaliacoes!$A$2:$A$6000,$A251,Avaliacoes!$F$2:$F$6000,"I",Avaliacoes!$H$2:$H$6000,0,Avaliacoes!$G$2:$G$6000,"&lt;&gt;")*Dimensoes!$E$2)</f>
        <v/>
      </c>
      <c r="K251" s="0" t="str">
        <f aca="false">IF($A251="","",COUNTIFS(Avaliacoes!$A$2:$A$6000,$A251,Avaliacoes!$F$2:$F$6000,"II",Avaliacoes!$H$2:$H$6000,0,Avaliacoes!$G$2:$G$6000,"&lt;&gt;")*Dimensoes!$E$3)</f>
        <v/>
      </c>
      <c r="L251" s="0" t="str">
        <f aca="false">IF($A251="","",COUNTIFS(Avaliacoes!$A$2:$A$6000,$A251,Avaliacoes!$F$2:$F$6000,"III",Avaliacoes!$H$2:$H$6000,0,Avaliacoes!$G$2:$G$6000,"&lt;&gt;")*Dimensoes!$E$4)</f>
        <v/>
      </c>
      <c r="M251" s="0" t="str">
        <f aca="false">IF($A251="","",COUNTIFS(Avaliacoes!$A$2:$A$6000,$A251,Avaliacoes!$F$2:$F$6000,"IV",Avaliacoes!$H$2:$H$6000,0,Avaliacoes!$G$2:$G$6000,"&lt;&gt;")*Dimensoes!$E$5)</f>
        <v/>
      </c>
      <c r="N251" s="9" t="str">
        <f aca="false">IF($A251="","",IF(J251&gt;0,F251/J251,""))</f>
        <v/>
      </c>
      <c r="O251" s="9" t="str">
        <f aca="false">IF($A251="","",IF(K251&gt;0,G251/K251,""))</f>
        <v/>
      </c>
      <c r="P251" s="9" t="str">
        <f aca="false">IF($A251="","",IF(L251&gt;0,H251/L251,""))</f>
        <v/>
      </c>
      <c r="Q251" s="9" t="str">
        <f aca="false">IF($A251="","",IF(M251&gt;0,I251/M251,""))</f>
        <v/>
      </c>
      <c r="R251" s="17" t="str">
        <f aca="false">IF($A251="","",IF((IF(N251="",0,Dimensoes!$C$2)+IF(O251="",0,Dimensoes!$C$3)+IF(P251="",0,Dimensoes!$C$4)+IF(Q251="",0,Dimensoes!$C$5))=0,"",(IF(N251="",0,N251*Dimensoes!$C$2)+IF(O251="",0,O251*Dimensoes!$C$3)+IF(P251="",0,P251*Dimensoes!$C$4)+IF(Q251="",0,Q251*Dimensoes!$C$5))/(IF(N251="",0,Dimensoes!$C$2)+IF(O251="",0,Dimensoes!$C$3)+IF(P251="",0,Dimensoes!$C$4)+IF(Q251="",0,Dimensoes!$C$5))))</f>
        <v/>
      </c>
      <c r="S251" s="0" t="str">
        <f aca="false">IF(R251="","",IF(R251&lt;Faixas!$C$3,"vermelho",IF(R251&lt;Faixas!$C$4,"amarelo","verde")))</f>
        <v/>
      </c>
      <c r="T251" s="9" t="str">
        <f aca="false">IF($A251="","",IF(N251="",0,N251*Dimensoes!$C$2)+IF(O251="",0,O251*Dimensoes!$C$3)+IF(P251="",0,P251*Dimensoes!$C$4)+IF(Q251="",0,Q251*Dimensoes!$C$5))</f>
        <v/>
      </c>
      <c r="U251" s="0" t="str">
        <f aca="false">IF($A251="","",IF(OR(E251="concluida",E251="incompleta"),1,0))</f>
        <v/>
      </c>
    </row>
    <row r="252" customFormat="false" ht="15" hidden="false" customHeight="false" outlineLevel="0" collapsed="false">
      <c r="A252" s="0" t="str">
        <f aca="false">IF(Visitas!A252="","",Visitas!A252)</f>
        <v/>
      </c>
      <c r="B252" s="0" t="str">
        <f aca="false">IF($A252="","",Visitas!C252)</f>
        <v/>
      </c>
      <c r="C252" s="7" t="str">
        <f aca="false">IF($A252="","",Visitas!D252)</f>
        <v/>
      </c>
      <c r="D252" s="0" t="str">
        <f aca="false">IF($A252="","",Visitas!B252)</f>
        <v/>
      </c>
      <c r="E252" s="0" t="str">
        <f aca="false">IF($A252="","",Visitas!F252)</f>
        <v/>
      </c>
      <c r="F252" s="0" t="str">
        <f aca="false">IF($A252="","",SUMIFS(Avaliacoes!$G$2:$G$6000,Avaliacoes!$A$2:$A$6000,$A252,Avaliacoes!$F$2:$F$6000,"I",Avaliacoes!$H$2:$H$6000,0))</f>
        <v/>
      </c>
      <c r="G252" s="0" t="str">
        <f aca="false">IF($A252="","",SUMIFS(Avaliacoes!$G$2:$G$6000,Avaliacoes!$A$2:$A$6000,$A252,Avaliacoes!$F$2:$F$6000,"II",Avaliacoes!$H$2:$H$6000,0))</f>
        <v/>
      </c>
      <c r="H252" s="0" t="str">
        <f aca="false">IF($A252="","",SUMIFS(Avaliacoes!$G$2:$G$6000,Avaliacoes!$A$2:$A$6000,$A252,Avaliacoes!$F$2:$F$6000,"III",Avaliacoes!$H$2:$H$6000,0))</f>
        <v/>
      </c>
      <c r="I252" s="0" t="str">
        <f aca="false">IF($A252="","",SUMIFS(Avaliacoes!$G$2:$G$6000,Avaliacoes!$A$2:$A$6000,$A252,Avaliacoes!$F$2:$F$6000,"IV",Avaliacoes!$H$2:$H$6000,0))</f>
        <v/>
      </c>
      <c r="J252" s="0" t="str">
        <f aca="false">IF($A252="","",COUNTIFS(Avaliacoes!$A$2:$A$6000,$A252,Avaliacoes!$F$2:$F$6000,"I",Avaliacoes!$H$2:$H$6000,0,Avaliacoes!$G$2:$G$6000,"&lt;&gt;")*Dimensoes!$E$2)</f>
        <v/>
      </c>
      <c r="K252" s="0" t="str">
        <f aca="false">IF($A252="","",COUNTIFS(Avaliacoes!$A$2:$A$6000,$A252,Avaliacoes!$F$2:$F$6000,"II",Avaliacoes!$H$2:$H$6000,0,Avaliacoes!$G$2:$G$6000,"&lt;&gt;")*Dimensoes!$E$3)</f>
        <v/>
      </c>
      <c r="L252" s="0" t="str">
        <f aca="false">IF($A252="","",COUNTIFS(Avaliacoes!$A$2:$A$6000,$A252,Avaliacoes!$F$2:$F$6000,"III",Avaliacoes!$H$2:$H$6000,0,Avaliacoes!$G$2:$G$6000,"&lt;&gt;")*Dimensoes!$E$4)</f>
        <v/>
      </c>
      <c r="M252" s="0" t="str">
        <f aca="false">IF($A252="","",COUNTIFS(Avaliacoes!$A$2:$A$6000,$A252,Avaliacoes!$F$2:$F$6000,"IV",Avaliacoes!$H$2:$H$6000,0,Avaliacoes!$G$2:$G$6000,"&lt;&gt;")*Dimensoes!$E$5)</f>
        <v/>
      </c>
      <c r="N252" s="9" t="str">
        <f aca="false">IF($A252="","",IF(J252&gt;0,F252/J252,""))</f>
        <v/>
      </c>
      <c r="O252" s="9" t="str">
        <f aca="false">IF($A252="","",IF(K252&gt;0,G252/K252,""))</f>
        <v/>
      </c>
      <c r="P252" s="9" t="str">
        <f aca="false">IF($A252="","",IF(L252&gt;0,H252/L252,""))</f>
        <v/>
      </c>
      <c r="Q252" s="9" t="str">
        <f aca="false">IF($A252="","",IF(M252&gt;0,I252/M252,""))</f>
        <v/>
      </c>
      <c r="R252" s="17" t="str">
        <f aca="false">IF($A252="","",IF((IF(N252="",0,Dimensoes!$C$2)+IF(O252="",0,Dimensoes!$C$3)+IF(P252="",0,Dimensoes!$C$4)+IF(Q252="",0,Dimensoes!$C$5))=0,"",(IF(N252="",0,N252*Dimensoes!$C$2)+IF(O252="",0,O252*Dimensoes!$C$3)+IF(P252="",0,P252*Dimensoes!$C$4)+IF(Q252="",0,Q252*Dimensoes!$C$5))/(IF(N252="",0,Dimensoes!$C$2)+IF(O252="",0,Dimensoes!$C$3)+IF(P252="",0,Dimensoes!$C$4)+IF(Q252="",0,Dimensoes!$C$5))))</f>
        <v/>
      </c>
      <c r="S252" s="0" t="str">
        <f aca="false">IF(R252="","",IF(R252&lt;Faixas!$C$3,"vermelho",IF(R252&lt;Faixas!$C$4,"amarelo","verde")))</f>
        <v/>
      </c>
      <c r="T252" s="9" t="str">
        <f aca="false">IF($A252="","",IF(N252="",0,N252*Dimensoes!$C$2)+IF(O252="",0,O252*Dimensoes!$C$3)+IF(P252="",0,P252*Dimensoes!$C$4)+IF(Q252="",0,Q252*Dimensoes!$C$5))</f>
        <v/>
      </c>
      <c r="U252" s="0" t="str">
        <f aca="false">IF($A252="","",IF(OR(E252="concluida",E252="incompleta"),1,0))</f>
        <v/>
      </c>
    </row>
    <row r="253" customFormat="false" ht="15" hidden="false" customHeight="false" outlineLevel="0" collapsed="false">
      <c r="A253" s="0" t="str">
        <f aca="false">IF(Visitas!A253="","",Visitas!A253)</f>
        <v/>
      </c>
      <c r="B253" s="0" t="str">
        <f aca="false">IF($A253="","",Visitas!C253)</f>
        <v/>
      </c>
      <c r="C253" s="7" t="str">
        <f aca="false">IF($A253="","",Visitas!D253)</f>
        <v/>
      </c>
      <c r="D253" s="0" t="str">
        <f aca="false">IF($A253="","",Visitas!B253)</f>
        <v/>
      </c>
      <c r="E253" s="0" t="str">
        <f aca="false">IF($A253="","",Visitas!F253)</f>
        <v/>
      </c>
      <c r="F253" s="0" t="str">
        <f aca="false">IF($A253="","",SUMIFS(Avaliacoes!$G$2:$G$6000,Avaliacoes!$A$2:$A$6000,$A253,Avaliacoes!$F$2:$F$6000,"I",Avaliacoes!$H$2:$H$6000,0))</f>
        <v/>
      </c>
      <c r="G253" s="0" t="str">
        <f aca="false">IF($A253="","",SUMIFS(Avaliacoes!$G$2:$G$6000,Avaliacoes!$A$2:$A$6000,$A253,Avaliacoes!$F$2:$F$6000,"II",Avaliacoes!$H$2:$H$6000,0))</f>
        <v/>
      </c>
      <c r="H253" s="0" t="str">
        <f aca="false">IF($A253="","",SUMIFS(Avaliacoes!$G$2:$G$6000,Avaliacoes!$A$2:$A$6000,$A253,Avaliacoes!$F$2:$F$6000,"III",Avaliacoes!$H$2:$H$6000,0))</f>
        <v/>
      </c>
      <c r="I253" s="0" t="str">
        <f aca="false">IF($A253="","",SUMIFS(Avaliacoes!$G$2:$G$6000,Avaliacoes!$A$2:$A$6000,$A253,Avaliacoes!$F$2:$F$6000,"IV",Avaliacoes!$H$2:$H$6000,0))</f>
        <v/>
      </c>
      <c r="J253" s="0" t="str">
        <f aca="false">IF($A253="","",COUNTIFS(Avaliacoes!$A$2:$A$6000,$A253,Avaliacoes!$F$2:$F$6000,"I",Avaliacoes!$H$2:$H$6000,0,Avaliacoes!$G$2:$G$6000,"&lt;&gt;")*Dimensoes!$E$2)</f>
        <v/>
      </c>
      <c r="K253" s="0" t="str">
        <f aca="false">IF($A253="","",COUNTIFS(Avaliacoes!$A$2:$A$6000,$A253,Avaliacoes!$F$2:$F$6000,"II",Avaliacoes!$H$2:$H$6000,0,Avaliacoes!$G$2:$G$6000,"&lt;&gt;")*Dimensoes!$E$3)</f>
        <v/>
      </c>
      <c r="L253" s="0" t="str">
        <f aca="false">IF($A253="","",COUNTIFS(Avaliacoes!$A$2:$A$6000,$A253,Avaliacoes!$F$2:$F$6000,"III",Avaliacoes!$H$2:$H$6000,0,Avaliacoes!$G$2:$G$6000,"&lt;&gt;")*Dimensoes!$E$4)</f>
        <v/>
      </c>
      <c r="M253" s="0" t="str">
        <f aca="false">IF($A253="","",COUNTIFS(Avaliacoes!$A$2:$A$6000,$A253,Avaliacoes!$F$2:$F$6000,"IV",Avaliacoes!$H$2:$H$6000,0,Avaliacoes!$G$2:$G$6000,"&lt;&gt;")*Dimensoes!$E$5)</f>
        <v/>
      </c>
      <c r="N253" s="9" t="str">
        <f aca="false">IF($A253="","",IF(J253&gt;0,F253/J253,""))</f>
        <v/>
      </c>
      <c r="O253" s="9" t="str">
        <f aca="false">IF($A253="","",IF(K253&gt;0,G253/K253,""))</f>
        <v/>
      </c>
      <c r="P253" s="9" t="str">
        <f aca="false">IF($A253="","",IF(L253&gt;0,H253/L253,""))</f>
        <v/>
      </c>
      <c r="Q253" s="9" t="str">
        <f aca="false">IF($A253="","",IF(M253&gt;0,I253/M253,""))</f>
        <v/>
      </c>
      <c r="R253" s="17" t="str">
        <f aca="false">IF($A253="","",IF((IF(N253="",0,Dimensoes!$C$2)+IF(O253="",0,Dimensoes!$C$3)+IF(P253="",0,Dimensoes!$C$4)+IF(Q253="",0,Dimensoes!$C$5))=0,"",(IF(N253="",0,N253*Dimensoes!$C$2)+IF(O253="",0,O253*Dimensoes!$C$3)+IF(P253="",0,P253*Dimensoes!$C$4)+IF(Q253="",0,Q253*Dimensoes!$C$5))/(IF(N253="",0,Dimensoes!$C$2)+IF(O253="",0,Dimensoes!$C$3)+IF(P253="",0,Dimensoes!$C$4)+IF(Q253="",0,Dimensoes!$C$5))))</f>
        <v/>
      </c>
      <c r="S253" s="0" t="str">
        <f aca="false">IF(R253="","",IF(R253&lt;Faixas!$C$3,"vermelho",IF(R253&lt;Faixas!$C$4,"amarelo","verde")))</f>
        <v/>
      </c>
      <c r="T253" s="9" t="str">
        <f aca="false">IF($A253="","",IF(N253="",0,N253*Dimensoes!$C$2)+IF(O253="",0,O253*Dimensoes!$C$3)+IF(P253="",0,P253*Dimensoes!$C$4)+IF(Q253="",0,Q253*Dimensoes!$C$5))</f>
        <v/>
      </c>
      <c r="U253" s="0" t="str">
        <f aca="false">IF($A253="","",IF(OR(E253="concluida",E253="incompleta"),1,0))</f>
        <v/>
      </c>
    </row>
    <row r="254" customFormat="false" ht="15" hidden="false" customHeight="false" outlineLevel="0" collapsed="false">
      <c r="A254" s="0" t="str">
        <f aca="false">IF(Visitas!A254="","",Visitas!A254)</f>
        <v/>
      </c>
      <c r="B254" s="0" t="str">
        <f aca="false">IF($A254="","",Visitas!C254)</f>
        <v/>
      </c>
      <c r="C254" s="7" t="str">
        <f aca="false">IF($A254="","",Visitas!D254)</f>
        <v/>
      </c>
      <c r="D254" s="0" t="str">
        <f aca="false">IF($A254="","",Visitas!B254)</f>
        <v/>
      </c>
      <c r="E254" s="0" t="str">
        <f aca="false">IF($A254="","",Visitas!F254)</f>
        <v/>
      </c>
      <c r="F254" s="0" t="str">
        <f aca="false">IF($A254="","",SUMIFS(Avaliacoes!$G$2:$G$6000,Avaliacoes!$A$2:$A$6000,$A254,Avaliacoes!$F$2:$F$6000,"I",Avaliacoes!$H$2:$H$6000,0))</f>
        <v/>
      </c>
      <c r="G254" s="0" t="str">
        <f aca="false">IF($A254="","",SUMIFS(Avaliacoes!$G$2:$G$6000,Avaliacoes!$A$2:$A$6000,$A254,Avaliacoes!$F$2:$F$6000,"II",Avaliacoes!$H$2:$H$6000,0))</f>
        <v/>
      </c>
      <c r="H254" s="0" t="str">
        <f aca="false">IF($A254="","",SUMIFS(Avaliacoes!$G$2:$G$6000,Avaliacoes!$A$2:$A$6000,$A254,Avaliacoes!$F$2:$F$6000,"III",Avaliacoes!$H$2:$H$6000,0))</f>
        <v/>
      </c>
      <c r="I254" s="0" t="str">
        <f aca="false">IF($A254="","",SUMIFS(Avaliacoes!$G$2:$G$6000,Avaliacoes!$A$2:$A$6000,$A254,Avaliacoes!$F$2:$F$6000,"IV",Avaliacoes!$H$2:$H$6000,0))</f>
        <v/>
      </c>
      <c r="J254" s="0" t="str">
        <f aca="false">IF($A254="","",COUNTIFS(Avaliacoes!$A$2:$A$6000,$A254,Avaliacoes!$F$2:$F$6000,"I",Avaliacoes!$H$2:$H$6000,0,Avaliacoes!$G$2:$G$6000,"&lt;&gt;")*Dimensoes!$E$2)</f>
        <v/>
      </c>
      <c r="K254" s="0" t="str">
        <f aca="false">IF($A254="","",COUNTIFS(Avaliacoes!$A$2:$A$6000,$A254,Avaliacoes!$F$2:$F$6000,"II",Avaliacoes!$H$2:$H$6000,0,Avaliacoes!$G$2:$G$6000,"&lt;&gt;")*Dimensoes!$E$3)</f>
        <v/>
      </c>
      <c r="L254" s="0" t="str">
        <f aca="false">IF($A254="","",COUNTIFS(Avaliacoes!$A$2:$A$6000,$A254,Avaliacoes!$F$2:$F$6000,"III",Avaliacoes!$H$2:$H$6000,0,Avaliacoes!$G$2:$G$6000,"&lt;&gt;")*Dimensoes!$E$4)</f>
        <v/>
      </c>
      <c r="M254" s="0" t="str">
        <f aca="false">IF($A254="","",COUNTIFS(Avaliacoes!$A$2:$A$6000,$A254,Avaliacoes!$F$2:$F$6000,"IV",Avaliacoes!$H$2:$H$6000,0,Avaliacoes!$G$2:$G$6000,"&lt;&gt;")*Dimensoes!$E$5)</f>
        <v/>
      </c>
      <c r="N254" s="9" t="str">
        <f aca="false">IF($A254="","",IF(J254&gt;0,F254/J254,""))</f>
        <v/>
      </c>
      <c r="O254" s="9" t="str">
        <f aca="false">IF($A254="","",IF(K254&gt;0,G254/K254,""))</f>
        <v/>
      </c>
      <c r="P254" s="9" t="str">
        <f aca="false">IF($A254="","",IF(L254&gt;0,H254/L254,""))</f>
        <v/>
      </c>
      <c r="Q254" s="9" t="str">
        <f aca="false">IF($A254="","",IF(M254&gt;0,I254/M254,""))</f>
        <v/>
      </c>
      <c r="R254" s="17" t="str">
        <f aca="false">IF($A254="","",IF((IF(N254="",0,Dimensoes!$C$2)+IF(O254="",0,Dimensoes!$C$3)+IF(P254="",0,Dimensoes!$C$4)+IF(Q254="",0,Dimensoes!$C$5))=0,"",(IF(N254="",0,N254*Dimensoes!$C$2)+IF(O254="",0,O254*Dimensoes!$C$3)+IF(P254="",0,P254*Dimensoes!$C$4)+IF(Q254="",0,Q254*Dimensoes!$C$5))/(IF(N254="",0,Dimensoes!$C$2)+IF(O254="",0,Dimensoes!$C$3)+IF(P254="",0,Dimensoes!$C$4)+IF(Q254="",0,Dimensoes!$C$5))))</f>
        <v/>
      </c>
      <c r="S254" s="0" t="str">
        <f aca="false">IF(R254="","",IF(R254&lt;Faixas!$C$3,"vermelho",IF(R254&lt;Faixas!$C$4,"amarelo","verde")))</f>
        <v/>
      </c>
      <c r="T254" s="9" t="str">
        <f aca="false">IF($A254="","",IF(N254="",0,N254*Dimensoes!$C$2)+IF(O254="",0,O254*Dimensoes!$C$3)+IF(P254="",0,P254*Dimensoes!$C$4)+IF(Q254="",0,Q254*Dimensoes!$C$5))</f>
        <v/>
      </c>
      <c r="U254" s="0" t="str">
        <f aca="false">IF($A254="","",IF(OR(E254="concluida",E254="incompleta"),1,0))</f>
        <v/>
      </c>
    </row>
    <row r="255" customFormat="false" ht="15" hidden="false" customHeight="false" outlineLevel="0" collapsed="false">
      <c r="A255" s="0" t="str">
        <f aca="false">IF(Visitas!A255="","",Visitas!A255)</f>
        <v/>
      </c>
      <c r="B255" s="0" t="str">
        <f aca="false">IF($A255="","",Visitas!C255)</f>
        <v/>
      </c>
      <c r="C255" s="7" t="str">
        <f aca="false">IF($A255="","",Visitas!D255)</f>
        <v/>
      </c>
      <c r="D255" s="0" t="str">
        <f aca="false">IF($A255="","",Visitas!B255)</f>
        <v/>
      </c>
      <c r="E255" s="0" t="str">
        <f aca="false">IF($A255="","",Visitas!F255)</f>
        <v/>
      </c>
      <c r="F255" s="0" t="str">
        <f aca="false">IF($A255="","",SUMIFS(Avaliacoes!$G$2:$G$6000,Avaliacoes!$A$2:$A$6000,$A255,Avaliacoes!$F$2:$F$6000,"I",Avaliacoes!$H$2:$H$6000,0))</f>
        <v/>
      </c>
      <c r="G255" s="0" t="str">
        <f aca="false">IF($A255="","",SUMIFS(Avaliacoes!$G$2:$G$6000,Avaliacoes!$A$2:$A$6000,$A255,Avaliacoes!$F$2:$F$6000,"II",Avaliacoes!$H$2:$H$6000,0))</f>
        <v/>
      </c>
      <c r="H255" s="0" t="str">
        <f aca="false">IF($A255="","",SUMIFS(Avaliacoes!$G$2:$G$6000,Avaliacoes!$A$2:$A$6000,$A255,Avaliacoes!$F$2:$F$6000,"III",Avaliacoes!$H$2:$H$6000,0))</f>
        <v/>
      </c>
      <c r="I255" s="0" t="str">
        <f aca="false">IF($A255="","",SUMIFS(Avaliacoes!$G$2:$G$6000,Avaliacoes!$A$2:$A$6000,$A255,Avaliacoes!$F$2:$F$6000,"IV",Avaliacoes!$H$2:$H$6000,0))</f>
        <v/>
      </c>
      <c r="J255" s="0" t="str">
        <f aca="false">IF($A255="","",COUNTIFS(Avaliacoes!$A$2:$A$6000,$A255,Avaliacoes!$F$2:$F$6000,"I",Avaliacoes!$H$2:$H$6000,0,Avaliacoes!$G$2:$G$6000,"&lt;&gt;")*Dimensoes!$E$2)</f>
        <v/>
      </c>
      <c r="K255" s="0" t="str">
        <f aca="false">IF($A255="","",COUNTIFS(Avaliacoes!$A$2:$A$6000,$A255,Avaliacoes!$F$2:$F$6000,"II",Avaliacoes!$H$2:$H$6000,0,Avaliacoes!$G$2:$G$6000,"&lt;&gt;")*Dimensoes!$E$3)</f>
        <v/>
      </c>
      <c r="L255" s="0" t="str">
        <f aca="false">IF($A255="","",COUNTIFS(Avaliacoes!$A$2:$A$6000,$A255,Avaliacoes!$F$2:$F$6000,"III",Avaliacoes!$H$2:$H$6000,0,Avaliacoes!$G$2:$G$6000,"&lt;&gt;")*Dimensoes!$E$4)</f>
        <v/>
      </c>
      <c r="M255" s="0" t="str">
        <f aca="false">IF($A255="","",COUNTIFS(Avaliacoes!$A$2:$A$6000,$A255,Avaliacoes!$F$2:$F$6000,"IV",Avaliacoes!$H$2:$H$6000,0,Avaliacoes!$G$2:$G$6000,"&lt;&gt;")*Dimensoes!$E$5)</f>
        <v/>
      </c>
      <c r="N255" s="9" t="str">
        <f aca="false">IF($A255="","",IF(J255&gt;0,F255/J255,""))</f>
        <v/>
      </c>
      <c r="O255" s="9" t="str">
        <f aca="false">IF($A255="","",IF(K255&gt;0,G255/K255,""))</f>
        <v/>
      </c>
      <c r="P255" s="9" t="str">
        <f aca="false">IF($A255="","",IF(L255&gt;0,H255/L255,""))</f>
        <v/>
      </c>
      <c r="Q255" s="9" t="str">
        <f aca="false">IF($A255="","",IF(M255&gt;0,I255/M255,""))</f>
        <v/>
      </c>
      <c r="R255" s="17" t="str">
        <f aca="false">IF($A255="","",IF((IF(N255="",0,Dimensoes!$C$2)+IF(O255="",0,Dimensoes!$C$3)+IF(P255="",0,Dimensoes!$C$4)+IF(Q255="",0,Dimensoes!$C$5))=0,"",(IF(N255="",0,N255*Dimensoes!$C$2)+IF(O255="",0,O255*Dimensoes!$C$3)+IF(P255="",0,P255*Dimensoes!$C$4)+IF(Q255="",0,Q255*Dimensoes!$C$5))/(IF(N255="",0,Dimensoes!$C$2)+IF(O255="",0,Dimensoes!$C$3)+IF(P255="",0,Dimensoes!$C$4)+IF(Q255="",0,Dimensoes!$C$5))))</f>
        <v/>
      </c>
      <c r="S255" s="0" t="str">
        <f aca="false">IF(R255="","",IF(R255&lt;Faixas!$C$3,"vermelho",IF(R255&lt;Faixas!$C$4,"amarelo","verde")))</f>
        <v/>
      </c>
      <c r="T255" s="9" t="str">
        <f aca="false">IF($A255="","",IF(N255="",0,N255*Dimensoes!$C$2)+IF(O255="",0,O255*Dimensoes!$C$3)+IF(P255="",0,P255*Dimensoes!$C$4)+IF(Q255="",0,Q255*Dimensoes!$C$5))</f>
        <v/>
      </c>
      <c r="U255" s="0" t="str">
        <f aca="false">IF($A255="","",IF(OR(E255="concluida",E255="incompleta"),1,0))</f>
        <v/>
      </c>
    </row>
    <row r="256" customFormat="false" ht="15" hidden="false" customHeight="false" outlineLevel="0" collapsed="false">
      <c r="A256" s="0" t="str">
        <f aca="false">IF(Visitas!A256="","",Visitas!A256)</f>
        <v/>
      </c>
      <c r="B256" s="0" t="str">
        <f aca="false">IF($A256="","",Visitas!C256)</f>
        <v/>
      </c>
      <c r="C256" s="7" t="str">
        <f aca="false">IF($A256="","",Visitas!D256)</f>
        <v/>
      </c>
      <c r="D256" s="0" t="str">
        <f aca="false">IF($A256="","",Visitas!B256)</f>
        <v/>
      </c>
      <c r="E256" s="0" t="str">
        <f aca="false">IF($A256="","",Visitas!F256)</f>
        <v/>
      </c>
      <c r="F256" s="0" t="str">
        <f aca="false">IF($A256="","",SUMIFS(Avaliacoes!$G$2:$G$6000,Avaliacoes!$A$2:$A$6000,$A256,Avaliacoes!$F$2:$F$6000,"I",Avaliacoes!$H$2:$H$6000,0))</f>
        <v/>
      </c>
      <c r="G256" s="0" t="str">
        <f aca="false">IF($A256="","",SUMIFS(Avaliacoes!$G$2:$G$6000,Avaliacoes!$A$2:$A$6000,$A256,Avaliacoes!$F$2:$F$6000,"II",Avaliacoes!$H$2:$H$6000,0))</f>
        <v/>
      </c>
      <c r="H256" s="0" t="str">
        <f aca="false">IF($A256="","",SUMIFS(Avaliacoes!$G$2:$G$6000,Avaliacoes!$A$2:$A$6000,$A256,Avaliacoes!$F$2:$F$6000,"III",Avaliacoes!$H$2:$H$6000,0))</f>
        <v/>
      </c>
      <c r="I256" s="0" t="str">
        <f aca="false">IF($A256="","",SUMIFS(Avaliacoes!$G$2:$G$6000,Avaliacoes!$A$2:$A$6000,$A256,Avaliacoes!$F$2:$F$6000,"IV",Avaliacoes!$H$2:$H$6000,0))</f>
        <v/>
      </c>
      <c r="J256" s="0" t="str">
        <f aca="false">IF($A256="","",COUNTIFS(Avaliacoes!$A$2:$A$6000,$A256,Avaliacoes!$F$2:$F$6000,"I",Avaliacoes!$H$2:$H$6000,0,Avaliacoes!$G$2:$G$6000,"&lt;&gt;")*Dimensoes!$E$2)</f>
        <v/>
      </c>
      <c r="K256" s="0" t="str">
        <f aca="false">IF($A256="","",COUNTIFS(Avaliacoes!$A$2:$A$6000,$A256,Avaliacoes!$F$2:$F$6000,"II",Avaliacoes!$H$2:$H$6000,0,Avaliacoes!$G$2:$G$6000,"&lt;&gt;")*Dimensoes!$E$3)</f>
        <v/>
      </c>
      <c r="L256" s="0" t="str">
        <f aca="false">IF($A256="","",COUNTIFS(Avaliacoes!$A$2:$A$6000,$A256,Avaliacoes!$F$2:$F$6000,"III",Avaliacoes!$H$2:$H$6000,0,Avaliacoes!$G$2:$G$6000,"&lt;&gt;")*Dimensoes!$E$4)</f>
        <v/>
      </c>
      <c r="M256" s="0" t="str">
        <f aca="false">IF($A256="","",COUNTIFS(Avaliacoes!$A$2:$A$6000,$A256,Avaliacoes!$F$2:$F$6000,"IV",Avaliacoes!$H$2:$H$6000,0,Avaliacoes!$G$2:$G$6000,"&lt;&gt;")*Dimensoes!$E$5)</f>
        <v/>
      </c>
      <c r="N256" s="9" t="str">
        <f aca="false">IF($A256="","",IF(J256&gt;0,F256/J256,""))</f>
        <v/>
      </c>
      <c r="O256" s="9" t="str">
        <f aca="false">IF($A256="","",IF(K256&gt;0,G256/K256,""))</f>
        <v/>
      </c>
      <c r="P256" s="9" t="str">
        <f aca="false">IF($A256="","",IF(L256&gt;0,H256/L256,""))</f>
        <v/>
      </c>
      <c r="Q256" s="9" t="str">
        <f aca="false">IF($A256="","",IF(M256&gt;0,I256/M256,""))</f>
        <v/>
      </c>
      <c r="R256" s="17" t="str">
        <f aca="false">IF($A256="","",IF((IF(N256="",0,Dimensoes!$C$2)+IF(O256="",0,Dimensoes!$C$3)+IF(P256="",0,Dimensoes!$C$4)+IF(Q256="",0,Dimensoes!$C$5))=0,"",(IF(N256="",0,N256*Dimensoes!$C$2)+IF(O256="",0,O256*Dimensoes!$C$3)+IF(P256="",0,P256*Dimensoes!$C$4)+IF(Q256="",0,Q256*Dimensoes!$C$5))/(IF(N256="",0,Dimensoes!$C$2)+IF(O256="",0,Dimensoes!$C$3)+IF(P256="",0,Dimensoes!$C$4)+IF(Q256="",0,Dimensoes!$C$5))))</f>
        <v/>
      </c>
      <c r="S256" s="0" t="str">
        <f aca="false">IF(R256="","",IF(R256&lt;Faixas!$C$3,"vermelho",IF(R256&lt;Faixas!$C$4,"amarelo","verde")))</f>
        <v/>
      </c>
      <c r="T256" s="9" t="str">
        <f aca="false">IF($A256="","",IF(N256="",0,N256*Dimensoes!$C$2)+IF(O256="",0,O256*Dimensoes!$C$3)+IF(P256="",0,P256*Dimensoes!$C$4)+IF(Q256="",0,Q256*Dimensoes!$C$5))</f>
        <v/>
      </c>
      <c r="U256" s="0" t="str">
        <f aca="false">IF($A256="","",IF(OR(E256="concluida",E256="incompleta"),1,0))</f>
        <v/>
      </c>
    </row>
    <row r="257" customFormat="false" ht="15" hidden="false" customHeight="false" outlineLevel="0" collapsed="false">
      <c r="A257" s="0" t="str">
        <f aca="false">IF(Visitas!A257="","",Visitas!A257)</f>
        <v/>
      </c>
      <c r="B257" s="0" t="str">
        <f aca="false">IF($A257="","",Visitas!C257)</f>
        <v/>
      </c>
      <c r="C257" s="7" t="str">
        <f aca="false">IF($A257="","",Visitas!D257)</f>
        <v/>
      </c>
      <c r="D257" s="0" t="str">
        <f aca="false">IF($A257="","",Visitas!B257)</f>
        <v/>
      </c>
      <c r="E257" s="0" t="str">
        <f aca="false">IF($A257="","",Visitas!F257)</f>
        <v/>
      </c>
      <c r="F257" s="0" t="str">
        <f aca="false">IF($A257="","",SUMIFS(Avaliacoes!$G$2:$G$6000,Avaliacoes!$A$2:$A$6000,$A257,Avaliacoes!$F$2:$F$6000,"I",Avaliacoes!$H$2:$H$6000,0))</f>
        <v/>
      </c>
      <c r="G257" s="0" t="str">
        <f aca="false">IF($A257="","",SUMIFS(Avaliacoes!$G$2:$G$6000,Avaliacoes!$A$2:$A$6000,$A257,Avaliacoes!$F$2:$F$6000,"II",Avaliacoes!$H$2:$H$6000,0))</f>
        <v/>
      </c>
      <c r="H257" s="0" t="str">
        <f aca="false">IF($A257="","",SUMIFS(Avaliacoes!$G$2:$G$6000,Avaliacoes!$A$2:$A$6000,$A257,Avaliacoes!$F$2:$F$6000,"III",Avaliacoes!$H$2:$H$6000,0))</f>
        <v/>
      </c>
      <c r="I257" s="0" t="str">
        <f aca="false">IF($A257="","",SUMIFS(Avaliacoes!$G$2:$G$6000,Avaliacoes!$A$2:$A$6000,$A257,Avaliacoes!$F$2:$F$6000,"IV",Avaliacoes!$H$2:$H$6000,0))</f>
        <v/>
      </c>
      <c r="J257" s="0" t="str">
        <f aca="false">IF($A257="","",COUNTIFS(Avaliacoes!$A$2:$A$6000,$A257,Avaliacoes!$F$2:$F$6000,"I",Avaliacoes!$H$2:$H$6000,0,Avaliacoes!$G$2:$G$6000,"&lt;&gt;")*Dimensoes!$E$2)</f>
        <v/>
      </c>
      <c r="K257" s="0" t="str">
        <f aca="false">IF($A257="","",COUNTIFS(Avaliacoes!$A$2:$A$6000,$A257,Avaliacoes!$F$2:$F$6000,"II",Avaliacoes!$H$2:$H$6000,0,Avaliacoes!$G$2:$G$6000,"&lt;&gt;")*Dimensoes!$E$3)</f>
        <v/>
      </c>
      <c r="L257" s="0" t="str">
        <f aca="false">IF($A257="","",COUNTIFS(Avaliacoes!$A$2:$A$6000,$A257,Avaliacoes!$F$2:$F$6000,"III",Avaliacoes!$H$2:$H$6000,0,Avaliacoes!$G$2:$G$6000,"&lt;&gt;")*Dimensoes!$E$4)</f>
        <v/>
      </c>
      <c r="M257" s="0" t="str">
        <f aca="false">IF($A257="","",COUNTIFS(Avaliacoes!$A$2:$A$6000,$A257,Avaliacoes!$F$2:$F$6000,"IV",Avaliacoes!$H$2:$H$6000,0,Avaliacoes!$G$2:$G$6000,"&lt;&gt;")*Dimensoes!$E$5)</f>
        <v/>
      </c>
      <c r="N257" s="9" t="str">
        <f aca="false">IF($A257="","",IF(J257&gt;0,F257/J257,""))</f>
        <v/>
      </c>
      <c r="O257" s="9" t="str">
        <f aca="false">IF($A257="","",IF(K257&gt;0,G257/K257,""))</f>
        <v/>
      </c>
      <c r="P257" s="9" t="str">
        <f aca="false">IF($A257="","",IF(L257&gt;0,H257/L257,""))</f>
        <v/>
      </c>
      <c r="Q257" s="9" t="str">
        <f aca="false">IF($A257="","",IF(M257&gt;0,I257/M257,""))</f>
        <v/>
      </c>
      <c r="R257" s="17" t="str">
        <f aca="false">IF($A257="","",IF((IF(N257="",0,Dimensoes!$C$2)+IF(O257="",0,Dimensoes!$C$3)+IF(P257="",0,Dimensoes!$C$4)+IF(Q257="",0,Dimensoes!$C$5))=0,"",(IF(N257="",0,N257*Dimensoes!$C$2)+IF(O257="",0,O257*Dimensoes!$C$3)+IF(P257="",0,P257*Dimensoes!$C$4)+IF(Q257="",0,Q257*Dimensoes!$C$5))/(IF(N257="",0,Dimensoes!$C$2)+IF(O257="",0,Dimensoes!$C$3)+IF(P257="",0,Dimensoes!$C$4)+IF(Q257="",0,Dimensoes!$C$5))))</f>
        <v/>
      </c>
      <c r="S257" s="0" t="str">
        <f aca="false">IF(R257="","",IF(R257&lt;Faixas!$C$3,"vermelho",IF(R257&lt;Faixas!$C$4,"amarelo","verde")))</f>
        <v/>
      </c>
      <c r="T257" s="9" t="str">
        <f aca="false">IF($A257="","",IF(N257="",0,N257*Dimensoes!$C$2)+IF(O257="",0,O257*Dimensoes!$C$3)+IF(P257="",0,P257*Dimensoes!$C$4)+IF(Q257="",0,Q257*Dimensoes!$C$5))</f>
        <v/>
      </c>
      <c r="U257" s="0" t="str">
        <f aca="false">IF($A257="","",IF(OR(E257="concluida",E257="incompleta"),1,0))</f>
        <v/>
      </c>
    </row>
    <row r="258" customFormat="false" ht="15" hidden="false" customHeight="false" outlineLevel="0" collapsed="false">
      <c r="A258" s="0" t="str">
        <f aca="false">IF(Visitas!A258="","",Visitas!A258)</f>
        <v/>
      </c>
      <c r="B258" s="0" t="str">
        <f aca="false">IF($A258="","",Visitas!C258)</f>
        <v/>
      </c>
      <c r="C258" s="7" t="str">
        <f aca="false">IF($A258="","",Visitas!D258)</f>
        <v/>
      </c>
      <c r="D258" s="0" t="str">
        <f aca="false">IF($A258="","",Visitas!B258)</f>
        <v/>
      </c>
      <c r="E258" s="0" t="str">
        <f aca="false">IF($A258="","",Visitas!F258)</f>
        <v/>
      </c>
      <c r="F258" s="0" t="str">
        <f aca="false">IF($A258="","",SUMIFS(Avaliacoes!$G$2:$G$6000,Avaliacoes!$A$2:$A$6000,$A258,Avaliacoes!$F$2:$F$6000,"I",Avaliacoes!$H$2:$H$6000,0))</f>
        <v/>
      </c>
      <c r="G258" s="0" t="str">
        <f aca="false">IF($A258="","",SUMIFS(Avaliacoes!$G$2:$G$6000,Avaliacoes!$A$2:$A$6000,$A258,Avaliacoes!$F$2:$F$6000,"II",Avaliacoes!$H$2:$H$6000,0))</f>
        <v/>
      </c>
      <c r="H258" s="0" t="str">
        <f aca="false">IF($A258="","",SUMIFS(Avaliacoes!$G$2:$G$6000,Avaliacoes!$A$2:$A$6000,$A258,Avaliacoes!$F$2:$F$6000,"III",Avaliacoes!$H$2:$H$6000,0))</f>
        <v/>
      </c>
      <c r="I258" s="0" t="str">
        <f aca="false">IF($A258="","",SUMIFS(Avaliacoes!$G$2:$G$6000,Avaliacoes!$A$2:$A$6000,$A258,Avaliacoes!$F$2:$F$6000,"IV",Avaliacoes!$H$2:$H$6000,0))</f>
        <v/>
      </c>
      <c r="J258" s="0" t="str">
        <f aca="false">IF($A258="","",COUNTIFS(Avaliacoes!$A$2:$A$6000,$A258,Avaliacoes!$F$2:$F$6000,"I",Avaliacoes!$H$2:$H$6000,0,Avaliacoes!$G$2:$G$6000,"&lt;&gt;")*Dimensoes!$E$2)</f>
        <v/>
      </c>
      <c r="K258" s="0" t="str">
        <f aca="false">IF($A258="","",COUNTIFS(Avaliacoes!$A$2:$A$6000,$A258,Avaliacoes!$F$2:$F$6000,"II",Avaliacoes!$H$2:$H$6000,0,Avaliacoes!$G$2:$G$6000,"&lt;&gt;")*Dimensoes!$E$3)</f>
        <v/>
      </c>
      <c r="L258" s="0" t="str">
        <f aca="false">IF($A258="","",COUNTIFS(Avaliacoes!$A$2:$A$6000,$A258,Avaliacoes!$F$2:$F$6000,"III",Avaliacoes!$H$2:$H$6000,0,Avaliacoes!$G$2:$G$6000,"&lt;&gt;")*Dimensoes!$E$4)</f>
        <v/>
      </c>
      <c r="M258" s="0" t="str">
        <f aca="false">IF($A258="","",COUNTIFS(Avaliacoes!$A$2:$A$6000,$A258,Avaliacoes!$F$2:$F$6000,"IV",Avaliacoes!$H$2:$H$6000,0,Avaliacoes!$G$2:$G$6000,"&lt;&gt;")*Dimensoes!$E$5)</f>
        <v/>
      </c>
      <c r="N258" s="9" t="str">
        <f aca="false">IF($A258="","",IF(J258&gt;0,F258/J258,""))</f>
        <v/>
      </c>
      <c r="O258" s="9" t="str">
        <f aca="false">IF($A258="","",IF(K258&gt;0,G258/K258,""))</f>
        <v/>
      </c>
      <c r="P258" s="9" t="str">
        <f aca="false">IF($A258="","",IF(L258&gt;0,H258/L258,""))</f>
        <v/>
      </c>
      <c r="Q258" s="9" t="str">
        <f aca="false">IF($A258="","",IF(M258&gt;0,I258/M258,""))</f>
        <v/>
      </c>
      <c r="R258" s="17" t="str">
        <f aca="false">IF($A258="","",IF((IF(N258="",0,Dimensoes!$C$2)+IF(O258="",0,Dimensoes!$C$3)+IF(P258="",0,Dimensoes!$C$4)+IF(Q258="",0,Dimensoes!$C$5))=0,"",(IF(N258="",0,N258*Dimensoes!$C$2)+IF(O258="",0,O258*Dimensoes!$C$3)+IF(P258="",0,P258*Dimensoes!$C$4)+IF(Q258="",0,Q258*Dimensoes!$C$5))/(IF(N258="",0,Dimensoes!$C$2)+IF(O258="",0,Dimensoes!$C$3)+IF(P258="",0,Dimensoes!$C$4)+IF(Q258="",0,Dimensoes!$C$5))))</f>
        <v/>
      </c>
      <c r="S258" s="0" t="str">
        <f aca="false">IF(R258="","",IF(R258&lt;Faixas!$C$3,"vermelho",IF(R258&lt;Faixas!$C$4,"amarelo","verde")))</f>
        <v/>
      </c>
      <c r="T258" s="9" t="str">
        <f aca="false">IF($A258="","",IF(N258="",0,N258*Dimensoes!$C$2)+IF(O258="",0,O258*Dimensoes!$C$3)+IF(P258="",0,P258*Dimensoes!$C$4)+IF(Q258="",0,Q258*Dimensoes!$C$5))</f>
        <v/>
      </c>
      <c r="U258" s="0" t="str">
        <f aca="false">IF($A258="","",IF(OR(E258="concluida",E258="incompleta"),1,0))</f>
        <v/>
      </c>
    </row>
    <row r="259" customFormat="false" ht="15" hidden="false" customHeight="false" outlineLevel="0" collapsed="false">
      <c r="A259" s="0" t="str">
        <f aca="false">IF(Visitas!A259="","",Visitas!A259)</f>
        <v/>
      </c>
      <c r="B259" s="0" t="str">
        <f aca="false">IF($A259="","",Visitas!C259)</f>
        <v/>
      </c>
      <c r="C259" s="7" t="str">
        <f aca="false">IF($A259="","",Visitas!D259)</f>
        <v/>
      </c>
      <c r="D259" s="0" t="str">
        <f aca="false">IF($A259="","",Visitas!B259)</f>
        <v/>
      </c>
      <c r="E259" s="0" t="str">
        <f aca="false">IF($A259="","",Visitas!F259)</f>
        <v/>
      </c>
      <c r="F259" s="0" t="str">
        <f aca="false">IF($A259="","",SUMIFS(Avaliacoes!$G$2:$G$6000,Avaliacoes!$A$2:$A$6000,$A259,Avaliacoes!$F$2:$F$6000,"I",Avaliacoes!$H$2:$H$6000,0))</f>
        <v/>
      </c>
      <c r="G259" s="0" t="str">
        <f aca="false">IF($A259="","",SUMIFS(Avaliacoes!$G$2:$G$6000,Avaliacoes!$A$2:$A$6000,$A259,Avaliacoes!$F$2:$F$6000,"II",Avaliacoes!$H$2:$H$6000,0))</f>
        <v/>
      </c>
      <c r="H259" s="0" t="str">
        <f aca="false">IF($A259="","",SUMIFS(Avaliacoes!$G$2:$G$6000,Avaliacoes!$A$2:$A$6000,$A259,Avaliacoes!$F$2:$F$6000,"III",Avaliacoes!$H$2:$H$6000,0))</f>
        <v/>
      </c>
      <c r="I259" s="0" t="str">
        <f aca="false">IF($A259="","",SUMIFS(Avaliacoes!$G$2:$G$6000,Avaliacoes!$A$2:$A$6000,$A259,Avaliacoes!$F$2:$F$6000,"IV",Avaliacoes!$H$2:$H$6000,0))</f>
        <v/>
      </c>
      <c r="J259" s="0" t="str">
        <f aca="false">IF($A259="","",COUNTIFS(Avaliacoes!$A$2:$A$6000,$A259,Avaliacoes!$F$2:$F$6000,"I",Avaliacoes!$H$2:$H$6000,0,Avaliacoes!$G$2:$G$6000,"&lt;&gt;")*Dimensoes!$E$2)</f>
        <v/>
      </c>
      <c r="K259" s="0" t="str">
        <f aca="false">IF($A259="","",COUNTIFS(Avaliacoes!$A$2:$A$6000,$A259,Avaliacoes!$F$2:$F$6000,"II",Avaliacoes!$H$2:$H$6000,0,Avaliacoes!$G$2:$G$6000,"&lt;&gt;")*Dimensoes!$E$3)</f>
        <v/>
      </c>
      <c r="L259" s="0" t="str">
        <f aca="false">IF($A259="","",COUNTIFS(Avaliacoes!$A$2:$A$6000,$A259,Avaliacoes!$F$2:$F$6000,"III",Avaliacoes!$H$2:$H$6000,0,Avaliacoes!$G$2:$G$6000,"&lt;&gt;")*Dimensoes!$E$4)</f>
        <v/>
      </c>
      <c r="M259" s="0" t="str">
        <f aca="false">IF($A259="","",COUNTIFS(Avaliacoes!$A$2:$A$6000,$A259,Avaliacoes!$F$2:$F$6000,"IV",Avaliacoes!$H$2:$H$6000,0,Avaliacoes!$G$2:$G$6000,"&lt;&gt;")*Dimensoes!$E$5)</f>
        <v/>
      </c>
      <c r="N259" s="9" t="str">
        <f aca="false">IF($A259="","",IF(J259&gt;0,F259/J259,""))</f>
        <v/>
      </c>
      <c r="O259" s="9" t="str">
        <f aca="false">IF($A259="","",IF(K259&gt;0,G259/K259,""))</f>
        <v/>
      </c>
      <c r="P259" s="9" t="str">
        <f aca="false">IF($A259="","",IF(L259&gt;0,H259/L259,""))</f>
        <v/>
      </c>
      <c r="Q259" s="9" t="str">
        <f aca="false">IF($A259="","",IF(M259&gt;0,I259/M259,""))</f>
        <v/>
      </c>
      <c r="R259" s="17" t="str">
        <f aca="false">IF($A259="","",IF((IF(N259="",0,Dimensoes!$C$2)+IF(O259="",0,Dimensoes!$C$3)+IF(P259="",0,Dimensoes!$C$4)+IF(Q259="",0,Dimensoes!$C$5))=0,"",(IF(N259="",0,N259*Dimensoes!$C$2)+IF(O259="",0,O259*Dimensoes!$C$3)+IF(P259="",0,P259*Dimensoes!$C$4)+IF(Q259="",0,Q259*Dimensoes!$C$5))/(IF(N259="",0,Dimensoes!$C$2)+IF(O259="",0,Dimensoes!$C$3)+IF(P259="",0,Dimensoes!$C$4)+IF(Q259="",0,Dimensoes!$C$5))))</f>
        <v/>
      </c>
      <c r="S259" s="0" t="str">
        <f aca="false">IF(R259="","",IF(R259&lt;Faixas!$C$3,"vermelho",IF(R259&lt;Faixas!$C$4,"amarelo","verde")))</f>
        <v/>
      </c>
      <c r="T259" s="9" t="str">
        <f aca="false">IF($A259="","",IF(N259="",0,N259*Dimensoes!$C$2)+IF(O259="",0,O259*Dimensoes!$C$3)+IF(P259="",0,P259*Dimensoes!$C$4)+IF(Q259="",0,Q259*Dimensoes!$C$5))</f>
        <v/>
      </c>
      <c r="U259" s="0" t="str">
        <f aca="false">IF($A259="","",IF(OR(E259="concluida",E259="incompleta"),1,0))</f>
        <v/>
      </c>
    </row>
    <row r="260" customFormat="false" ht="15" hidden="false" customHeight="false" outlineLevel="0" collapsed="false">
      <c r="A260" s="0" t="str">
        <f aca="false">IF(Visitas!A260="","",Visitas!A260)</f>
        <v/>
      </c>
      <c r="B260" s="0" t="str">
        <f aca="false">IF($A260="","",Visitas!C260)</f>
        <v/>
      </c>
      <c r="C260" s="7" t="str">
        <f aca="false">IF($A260="","",Visitas!D260)</f>
        <v/>
      </c>
      <c r="D260" s="0" t="str">
        <f aca="false">IF($A260="","",Visitas!B260)</f>
        <v/>
      </c>
      <c r="E260" s="0" t="str">
        <f aca="false">IF($A260="","",Visitas!F260)</f>
        <v/>
      </c>
      <c r="F260" s="0" t="str">
        <f aca="false">IF($A260="","",SUMIFS(Avaliacoes!$G$2:$G$6000,Avaliacoes!$A$2:$A$6000,$A260,Avaliacoes!$F$2:$F$6000,"I",Avaliacoes!$H$2:$H$6000,0))</f>
        <v/>
      </c>
      <c r="G260" s="0" t="str">
        <f aca="false">IF($A260="","",SUMIFS(Avaliacoes!$G$2:$G$6000,Avaliacoes!$A$2:$A$6000,$A260,Avaliacoes!$F$2:$F$6000,"II",Avaliacoes!$H$2:$H$6000,0))</f>
        <v/>
      </c>
      <c r="H260" s="0" t="str">
        <f aca="false">IF($A260="","",SUMIFS(Avaliacoes!$G$2:$G$6000,Avaliacoes!$A$2:$A$6000,$A260,Avaliacoes!$F$2:$F$6000,"III",Avaliacoes!$H$2:$H$6000,0))</f>
        <v/>
      </c>
      <c r="I260" s="0" t="str">
        <f aca="false">IF($A260="","",SUMIFS(Avaliacoes!$G$2:$G$6000,Avaliacoes!$A$2:$A$6000,$A260,Avaliacoes!$F$2:$F$6000,"IV",Avaliacoes!$H$2:$H$6000,0))</f>
        <v/>
      </c>
      <c r="J260" s="0" t="str">
        <f aca="false">IF($A260="","",COUNTIFS(Avaliacoes!$A$2:$A$6000,$A260,Avaliacoes!$F$2:$F$6000,"I",Avaliacoes!$H$2:$H$6000,0,Avaliacoes!$G$2:$G$6000,"&lt;&gt;")*Dimensoes!$E$2)</f>
        <v/>
      </c>
      <c r="K260" s="0" t="str">
        <f aca="false">IF($A260="","",COUNTIFS(Avaliacoes!$A$2:$A$6000,$A260,Avaliacoes!$F$2:$F$6000,"II",Avaliacoes!$H$2:$H$6000,0,Avaliacoes!$G$2:$G$6000,"&lt;&gt;")*Dimensoes!$E$3)</f>
        <v/>
      </c>
      <c r="L260" s="0" t="str">
        <f aca="false">IF($A260="","",COUNTIFS(Avaliacoes!$A$2:$A$6000,$A260,Avaliacoes!$F$2:$F$6000,"III",Avaliacoes!$H$2:$H$6000,0,Avaliacoes!$G$2:$G$6000,"&lt;&gt;")*Dimensoes!$E$4)</f>
        <v/>
      </c>
      <c r="M260" s="0" t="str">
        <f aca="false">IF($A260="","",COUNTIFS(Avaliacoes!$A$2:$A$6000,$A260,Avaliacoes!$F$2:$F$6000,"IV",Avaliacoes!$H$2:$H$6000,0,Avaliacoes!$G$2:$G$6000,"&lt;&gt;")*Dimensoes!$E$5)</f>
        <v/>
      </c>
      <c r="N260" s="9" t="str">
        <f aca="false">IF($A260="","",IF(J260&gt;0,F260/J260,""))</f>
        <v/>
      </c>
      <c r="O260" s="9" t="str">
        <f aca="false">IF($A260="","",IF(K260&gt;0,G260/K260,""))</f>
        <v/>
      </c>
      <c r="P260" s="9" t="str">
        <f aca="false">IF($A260="","",IF(L260&gt;0,H260/L260,""))</f>
        <v/>
      </c>
      <c r="Q260" s="9" t="str">
        <f aca="false">IF($A260="","",IF(M260&gt;0,I260/M260,""))</f>
        <v/>
      </c>
      <c r="R260" s="17" t="str">
        <f aca="false">IF($A260="","",IF((IF(N260="",0,Dimensoes!$C$2)+IF(O260="",0,Dimensoes!$C$3)+IF(P260="",0,Dimensoes!$C$4)+IF(Q260="",0,Dimensoes!$C$5))=0,"",(IF(N260="",0,N260*Dimensoes!$C$2)+IF(O260="",0,O260*Dimensoes!$C$3)+IF(P260="",0,P260*Dimensoes!$C$4)+IF(Q260="",0,Q260*Dimensoes!$C$5))/(IF(N260="",0,Dimensoes!$C$2)+IF(O260="",0,Dimensoes!$C$3)+IF(P260="",0,Dimensoes!$C$4)+IF(Q260="",0,Dimensoes!$C$5))))</f>
        <v/>
      </c>
      <c r="S260" s="0" t="str">
        <f aca="false">IF(R260="","",IF(R260&lt;Faixas!$C$3,"vermelho",IF(R260&lt;Faixas!$C$4,"amarelo","verde")))</f>
        <v/>
      </c>
      <c r="T260" s="9" t="str">
        <f aca="false">IF($A260="","",IF(N260="",0,N260*Dimensoes!$C$2)+IF(O260="",0,O260*Dimensoes!$C$3)+IF(P260="",0,P260*Dimensoes!$C$4)+IF(Q260="",0,Q260*Dimensoes!$C$5))</f>
        <v/>
      </c>
      <c r="U260" s="0" t="str">
        <f aca="false">IF($A260="","",IF(OR(E260="concluida",E260="incompleta"),1,0))</f>
        <v/>
      </c>
    </row>
    <row r="261" customFormat="false" ht="15" hidden="false" customHeight="false" outlineLevel="0" collapsed="false">
      <c r="A261" s="0" t="str">
        <f aca="false">IF(Visitas!A261="","",Visitas!A261)</f>
        <v/>
      </c>
      <c r="B261" s="0" t="str">
        <f aca="false">IF($A261="","",Visitas!C261)</f>
        <v/>
      </c>
      <c r="C261" s="7" t="str">
        <f aca="false">IF($A261="","",Visitas!D261)</f>
        <v/>
      </c>
      <c r="D261" s="0" t="str">
        <f aca="false">IF($A261="","",Visitas!B261)</f>
        <v/>
      </c>
      <c r="E261" s="0" t="str">
        <f aca="false">IF($A261="","",Visitas!F261)</f>
        <v/>
      </c>
      <c r="F261" s="0" t="str">
        <f aca="false">IF($A261="","",SUMIFS(Avaliacoes!$G$2:$G$6000,Avaliacoes!$A$2:$A$6000,$A261,Avaliacoes!$F$2:$F$6000,"I",Avaliacoes!$H$2:$H$6000,0))</f>
        <v/>
      </c>
      <c r="G261" s="0" t="str">
        <f aca="false">IF($A261="","",SUMIFS(Avaliacoes!$G$2:$G$6000,Avaliacoes!$A$2:$A$6000,$A261,Avaliacoes!$F$2:$F$6000,"II",Avaliacoes!$H$2:$H$6000,0))</f>
        <v/>
      </c>
      <c r="H261" s="0" t="str">
        <f aca="false">IF($A261="","",SUMIFS(Avaliacoes!$G$2:$G$6000,Avaliacoes!$A$2:$A$6000,$A261,Avaliacoes!$F$2:$F$6000,"III",Avaliacoes!$H$2:$H$6000,0))</f>
        <v/>
      </c>
      <c r="I261" s="0" t="str">
        <f aca="false">IF($A261="","",SUMIFS(Avaliacoes!$G$2:$G$6000,Avaliacoes!$A$2:$A$6000,$A261,Avaliacoes!$F$2:$F$6000,"IV",Avaliacoes!$H$2:$H$6000,0))</f>
        <v/>
      </c>
      <c r="J261" s="0" t="str">
        <f aca="false">IF($A261="","",COUNTIFS(Avaliacoes!$A$2:$A$6000,$A261,Avaliacoes!$F$2:$F$6000,"I",Avaliacoes!$H$2:$H$6000,0,Avaliacoes!$G$2:$G$6000,"&lt;&gt;")*Dimensoes!$E$2)</f>
        <v/>
      </c>
      <c r="K261" s="0" t="str">
        <f aca="false">IF($A261="","",COUNTIFS(Avaliacoes!$A$2:$A$6000,$A261,Avaliacoes!$F$2:$F$6000,"II",Avaliacoes!$H$2:$H$6000,0,Avaliacoes!$G$2:$G$6000,"&lt;&gt;")*Dimensoes!$E$3)</f>
        <v/>
      </c>
      <c r="L261" s="0" t="str">
        <f aca="false">IF($A261="","",COUNTIFS(Avaliacoes!$A$2:$A$6000,$A261,Avaliacoes!$F$2:$F$6000,"III",Avaliacoes!$H$2:$H$6000,0,Avaliacoes!$G$2:$G$6000,"&lt;&gt;")*Dimensoes!$E$4)</f>
        <v/>
      </c>
      <c r="M261" s="0" t="str">
        <f aca="false">IF($A261="","",COUNTIFS(Avaliacoes!$A$2:$A$6000,$A261,Avaliacoes!$F$2:$F$6000,"IV",Avaliacoes!$H$2:$H$6000,0,Avaliacoes!$G$2:$G$6000,"&lt;&gt;")*Dimensoes!$E$5)</f>
        <v/>
      </c>
      <c r="N261" s="9" t="str">
        <f aca="false">IF($A261="","",IF(J261&gt;0,F261/J261,""))</f>
        <v/>
      </c>
      <c r="O261" s="9" t="str">
        <f aca="false">IF($A261="","",IF(K261&gt;0,G261/K261,""))</f>
        <v/>
      </c>
      <c r="P261" s="9" t="str">
        <f aca="false">IF($A261="","",IF(L261&gt;0,H261/L261,""))</f>
        <v/>
      </c>
      <c r="Q261" s="9" t="str">
        <f aca="false">IF($A261="","",IF(M261&gt;0,I261/M261,""))</f>
        <v/>
      </c>
      <c r="R261" s="17" t="str">
        <f aca="false">IF($A261="","",IF((IF(N261="",0,Dimensoes!$C$2)+IF(O261="",0,Dimensoes!$C$3)+IF(P261="",0,Dimensoes!$C$4)+IF(Q261="",0,Dimensoes!$C$5))=0,"",(IF(N261="",0,N261*Dimensoes!$C$2)+IF(O261="",0,O261*Dimensoes!$C$3)+IF(P261="",0,P261*Dimensoes!$C$4)+IF(Q261="",0,Q261*Dimensoes!$C$5))/(IF(N261="",0,Dimensoes!$C$2)+IF(O261="",0,Dimensoes!$C$3)+IF(P261="",0,Dimensoes!$C$4)+IF(Q261="",0,Dimensoes!$C$5))))</f>
        <v/>
      </c>
      <c r="S261" s="0" t="str">
        <f aca="false">IF(R261="","",IF(R261&lt;Faixas!$C$3,"vermelho",IF(R261&lt;Faixas!$C$4,"amarelo","verde")))</f>
        <v/>
      </c>
      <c r="T261" s="9" t="str">
        <f aca="false">IF($A261="","",IF(N261="",0,N261*Dimensoes!$C$2)+IF(O261="",0,O261*Dimensoes!$C$3)+IF(P261="",0,P261*Dimensoes!$C$4)+IF(Q261="",0,Q261*Dimensoes!$C$5))</f>
        <v/>
      </c>
      <c r="U261" s="0" t="str">
        <f aca="false">IF($A261="","",IF(OR(E261="concluida",E261="incompleta"),1,0))</f>
        <v/>
      </c>
    </row>
    <row r="262" customFormat="false" ht="15" hidden="false" customHeight="false" outlineLevel="0" collapsed="false">
      <c r="A262" s="0" t="str">
        <f aca="false">IF(Visitas!A262="","",Visitas!A262)</f>
        <v/>
      </c>
      <c r="B262" s="0" t="str">
        <f aca="false">IF($A262="","",Visitas!C262)</f>
        <v/>
      </c>
      <c r="C262" s="7" t="str">
        <f aca="false">IF($A262="","",Visitas!D262)</f>
        <v/>
      </c>
      <c r="D262" s="0" t="str">
        <f aca="false">IF($A262="","",Visitas!B262)</f>
        <v/>
      </c>
      <c r="E262" s="0" t="str">
        <f aca="false">IF($A262="","",Visitas!F262)</f>
        <v/>
      </c>
      <c r="F262" s="0" t="str">
        <f aca="false">IF($A262="","",SUMIFS(Avaliacoes!$G$2:$G$6000,Avaliacoes!$A$2:$A$6000,$A262,Avaliacoes!$F$2:$F$6000,"I",Avaliacoes!$H$2:$H$6000,0))</f>
        <v/>
      </c>
      <c r="G262" s="0" t="str">
        <f aca="false">IF($A262="","",SUMIFS(Avaliacoes!$G$2:$G$6000,Avaliacoes!$A$2:$A$6000,$A262,Avaliacoes!$F$2:$F$6000,"II",Avaliacoes!$H$2:$H$6000,0))</f>
        <v/>
      </c>
      <c r="H262" s="0" t="str">
        <f aca="false">IF($A262="","",SUMIFS(Avaliacoes!$G$2:$G$6000,Avaliacoes!$A$2:$A$6000,$A262,Avaliacoes!$F$2:$F$6000,"III",Avaliacoes!$H$2:$H$6000,0))</f>
        <v/>
      </c>
      <c r="I262" s="0" t="str">
        <f aca="false">IF($A262="","",SUMIFS(Avaliacoes!$G$2:$G$6000,Avaliacoes!$A$2:$A$6000,$A262,Avaliacoes!$F$2:$F$6000,"IV",Avaliacoes!$H$2:$H$6000,0))</f>
        <v/>
      </c>
      <c r="J262" s="0" t="str">
        <f aca="false">IF($A262="","",COUNTIFS(Avaliacoes!$A$2:$A$6000,$A262,Avaliacoes!$F$2:$F$6000,"I",Avaliacoes!$H$2:$H$6000,0,Avaliacoes!$G$2:$G$6000,"&lt;&gt;")*Dimensoes!$E$2)</f>
        <v/>
      </c>
      <c r="K262" s="0" t="str">
        <f aca="false">IF($A262="","",COUNTIFS(Avaliacoes!$A$2:$A$6000,$A262,Avaliacoes!$F$2:$F$6000,"II",Avaliacoes!$H$2:$H$6000,0,Avaliacoes!$G$2:$G$6000,"&lt;&gt;")*Dimensoes!$E$3)</f>
        <v/>
      </c>
      <c r="L262" s="0" t="str">
        <f aca="false">IF($A262="","",COUNTIFS(Avaliacoes!$A$2:$A$6000,$A262,Avaliacoes!$F$2:$F$6000,"III",Avaliacoes!$H$2:$H$6000,0,Avaliacoes!$G$2:$G$6000,"&lt;&gt;")*Dimensoes!$E$4)</f>
        <v/>
      </c>
      <c r="M262" s="0" t="str">
        <f aca="false">IF($A262="","",COUNTIFS(Avaliacoes!$A$2:$A$6000,$A262,Avaliacoes!$F$2:$F$6000,"IV",Avaliacoes!$H$2:$H$6000,0,Avaliacoes!$G$2:$G$6000,"&lt;&gt;")*Dimensoes!$E$5)</f>
        <v/>
      </c>
      <c r="N262" s="9" t="str">
        <f aca="false">IF($A262="","",IF(J262&gt;0,F262/J262,""))</f>
        <v/>
      </c>
      <c r="O262" s="9" t="str">
        <f aca="false">IF($A262="","",IF(K262&gt;0,G262/K262,""))</f>
        <v/>
      </c>
      <c r="P262" s="9" t="str">
        <f aca="false">IF($A262="","",IF(L262&gt;0,H262/L262,""))</f>
        <v/>
      </c>
      <c r="Q262" s="9" t="str">
        <f aca="false">IF($A262="","",IF(M262&gt;0,I262/M262,""))</f>
        <v/>
      </c>
      <c r="R262" s="17" t="str">
        <f aca="false">IF($A262="","",IF((IF(N262="",0,Dimensoes!$C$2)+IF(O262="",0,Dimensoes!$C$3)+IF(P262="",0,Dimensoes!$C$4)+IF(Q262="",0,Dimensoes!$C$5))=0,"",(IF(N262="",0,N262*Dimensoes!$C$2)+IF(O262="",0,O262*Dimensoes!$C$3)+IF(P262="",0,P262*Dimensoes!$C$4)+IF(Q262="",0,Q262*Dimensoes!$C$5))/(IF(N262="",0,Dimensoes!$C$2)+IF(O262="",0,Dimensoes!$C$3)+IF(P262="",0,Dimensoes!$C$4)+IF(Q262="",0,Dimensoes!$C$5))))</f>
        <v/>
      </c>
      <c r="S262" s="0" t="str">
        <f aca="false">IF(R262="","",IF(R262&lt;Faixas!$C$3,"vermelho",IF(R262&lt;Faixas!$C$4,"amarelo","verde")))</f>
        <v/>
      </c>
      <c r="T262" s="9" t="str">
        <f aca="false">IF($A262="","",IF(N262="",0,N262*Dimensoes!$C$2)+IF(O262="",0,O262*Dimensoes!$C$3)+IF(P262="",0,P262*Dimensoes!$C$4)+IF(Q262="",0,Q262*Dimensoes!$C$5))</f>
        <v/>
      </c>
      <c r="U262" s="0" t="str">
        <f aca="false">IF($A262="","",IF(OR(E262="concluida",E262="incompleta"),1,0))</f>
        <v/>
      </c>
    </row>
    <row r="263" customFormat="false" ht="15" hidden="false" customHeight="false" outlineLevel="0" collapsed="false">
      <c r="A263" s="0" t="str">
        <f aca="false">IF(Visitas!A263="","",Visitas!A263)</f>
        <v/>
      </c>
      <c r="B263" s="0" t="str">
        <f aca="false">IF($A263="","",Visitas!C263)</f>
        <v/>
      </c>
      <c r="C263" s="7" t="str">
        <f aca="false">IF($A263="","",Visitas!D263)</f>
        <v/>
      </c>
      <c r="D263" s="0" t="str">
        <f aca="false">IF($A263="","",Visitas!B263)</f>
        <v/>
      </c>
      <c r="E263" s="0" t="str">
        <f aca="false">IF($A263="","",Visitas!F263)</f>
        <v/>
      </c>
      <c r="F263" s="0" t="str">
        <f aca="false">IF($A263="","",SUMIFS(Avaliacoes!$G$2:$G$6000,Avaliacoes!$A$2:$A$6000,$A263,Avaliacoes!$F$2:$F$6000,"I",Avaliacoes!$H$2:$H$6000,0))</f>
        <v/>
      </c>
      <c r="G263" s="0" t="str">
        <f aca="false">IF($A263="","",SUMIFS(Avaliacoes!$G$2:$G$6000,Avaliacoes!$A$2:$A$6000,$A263,Avaliacoes!$F$2:$F$6000,"II",Avaliacoes!$H$2:$H$6000,0))</f>
        <v/>
      </c>
      <c r="H263" s="0" t="str">
        <f aca="false">IF($A263="","",SUMIFS(Avaliacoes!$G$2:$G$6000,Avaliacoes!$A$2:$A$6000,$A263,Avaliacoes!$F$2:$F$6000,"III",Avaliacoes!$H$2:$H$6000,0))</f>
        <v/>
      </c>
      <c r="I263" s="0" t="str">
        <f aca="false">IF($A263="","",SUMIFS(Avaliacoes!$G$2:$G$6000,Avaliacoes!$A$2:$A$6000,$A263,Avaliacoes!$F$2:$F$6000,"IV",Avaliacoes!$H$2:$H$6000,0))</f>
        <v/>
      </c>
      <c r="J263" s="0" t="str">
        <f aca="false">IF($A263="","",COUNTIFS(Avaliacoes!$A$2:$A$6000,$A263,Avaliacoes!$F$2:$F$6000,"I",Avaliacoes!$H$2:$H$6000,0,Avaliacoes!$G$2:$G$6000,"&lt;&gt;")*Dimensoes!$E$2)</f>
        <v/>
      </c>
      <c r="K263" s="0" t="str">
        <f aca="false">IF($A263="","",COUNTIFS(Avaliacoes!$A$2:$A$6000,$A263,Avaliacoes!$F$2:$F$6000,"II",Avaliacoes!$H$2:$H$6000,0,Avaliacoes!$G$2:$G$6000,"&lt;&gt;")*Dimensoes!$E$3)</f>
        <v/>
      </c>
      <c r="L263" s="0" t="str">
        <f aca="false">IF($A263="","",COUNTIFS(Avaliacoes!$A$2:$A$6000,$A263,Avaliacoes!$F$2:$F$6000,"III",Avaliacoes!$H$2:$H$6000,0,Avaliacoes!$G$2:$G$6000,"&lt;&gt;")*Dimensoes!$E$4)</f>
        <v/>
      </c>
      <c r="M263" s="0" t="str">
        <f aca="false">IF($A263="","",COUNTIFS(Avaliacoes!$A$2:$A$6000,$A263,Avaliacoes!$F$2:$F$6000,"IV",Avaliacoes!$H$2:$H$6000,0,Avaliacoes!$G$2:$G$6000,"&lt;&gt;")*Dimensoes!$E$5)</f>
        <v/>
      </c>
      <c r="N263" s="9" t="str">
        <f aca="false">IF($A263="","",IF(J263&gt;0,F263/J263,""))</f>
        <v/>
      </c>
      <c r="O263" s="9" t="str">
        <f aca="false">IF($A263="","",IF(K263&gt;0,G263/K263,""))</f>
        <v/>
      </c>
      <c r="P263" s="9" t="str">
        <f aca="false">IF($A263="","",IF(L263&gt;0,H263/L263,""))</f>
        <v/>
      </c>
      <c r="Q263" s="9" t="str">
        <f aca="false">IF($A263="","",IF(M263&gt;0,I263/M263,""))</f>
        <v/>
      </c>
      <c r="R263" s="17" t="str">
        <f aca="false">IF($A263="","",IF((IF(N263="",0,Dimensoes!$C$2)+IF(O263="",0,Dimensoes!$C$3)+IF(P263="",0,Dimensoes!$C$4)+IF(Q263="",0,Dimensoes!$C$5))=0,"",(IF(N263="",0,N263*Dimensoes!$C$2)+IF(O263="",0,O263*Dimensoes!$C$3)+IF(P263="",0,P263*Dimensoes!$C$4)+IF(Q263="",0,Q263*Dimensoes!$C$5))/(IF(N263="",0,Dimensoes!$C$2)+IF(O263="",0,Dimensoes!$C$3)+IF(P263="",0,Dimensoes!$C$4)+IF(Q263="",0,Dimensoes!$C$5))))</f>
        <v/>
      </c>
      <c r="S263" s="0" t="str">
        <f aca="false">IF(R263="","",IF(R263&lt;Faixas!$C$3,"vermelho",IF(R263&lt;Faixas!$C$4,"amarelo","verde")))</f>
        <v/>
      </c>
      <c r="T263" s="9" t="str">
        <f aca="false">IF($A263="","",IF(N263="",0,N263*Dimensoes!$C$2)+IF(O263="",0,O263*Dimensoes!$C$3)+IF(P263="",0,P263*Dimensoes!$C$4)+IF(Q263="",0,Q263*Dimensoes!$C$5))</f>
        <v/>
      </c>
      <c r="U263" s="0" t="str">
        <f aca="false">IF($A263="","",IF(OR(E263="concluida",E263="incompleta"),1,0))</f>
        <v/>
      </c>
    </row>
    <row r="264" customFormat="false" ht="15" hidden="false" customHeight="false" outlineLevel="0" collapsed="false">
      <c r="A264" s="0" t="str">
        <f aca="false">IF(Visitas!A264="","",Visitas!A264)</f>
        <v/>
      </c>
      <c r="B264" s="0" t="str">
        <f aca="false">IF($A264="","",Visitas!C264)</f>
        <v/>
      </c>
      <c r="C264" s="7" t="str">
        <f aca="false">IF($A264="","",Visitas!D264)</f>
        <v/>
      </c>
      <c r="D264" s="0" t="str">
        <f aca="false">IF($A264="","",Visitas!B264)</f>
        <v/>
      </c>
      <c r="E264" s="0" t="str">
        <f aca="false">IF($A264="","",Visitas!F264)</f>
        <v/>
      </c>
      <c r="F264" s="0" t="str">
        <f aca="false">IF($A264="","",SUMIFS(Avaliacoes!$G$2:$G$6000,Avaliacoes!$A$2:$A$6000,$A264,Avaliacoes!$F$2:$F$6000,"I",Avaliacoes!$H$2:$H$6000,0))</f>
        <v/>
      </c>
      <c r="G264" s="0" t="str">
        <f aca="false">IF($A264="","",SUMIFS(Avaliacoes!$G$2:$G$6000,Avaliacoes!$A$2:$A$6000,$A264,Avaliacoes!$F$2:$F$6000,"II",Avaliacoes!$H$2:$H$6000,0))</f>
        <v/>
      </c>
      <c r="H264" s="0" t="str">
        <f aca="false">IF($A264="","",SUMIFS(Avaliacoes!$G$2:$G$6000,Avaliacoes!$A$2:$A$6000,$A264,Avaliacoes!$F$2:$F$6000,"III",Avaliacoes!$H$2:$H$6000,0))</f>
        <v/>
      </c>
      <c r="I264" s="0" t="str">
        <f aca="false">IF($A264="","",SUMIFS(Avaliacoes!$G$2:$G$6000,Avaliacoes!$A$2:$A$6000,$A264,Avaliacoes!$F$2:$F$6000,"IV",Avaliacoes!$H$2:$H$6000,0))</f>
        <v/>
      </c>
      <c r="J264" s="0" t="str">
        <f aca="false">IF($A264="","",COUNTIFS(Avaliacoes!$A$2:$A$6000,$A264,Avaliacoes!$F$2:$F$6000,"I",Avaliacoes!$H$2:$H$6000,0,Avaliacoes!$G$2:$G$6000,"&lt;&gt;")*Dimensoes!$E$2)</f>
        <v/>
      </c>
      <c r="K264" s="0" t="str">
        <f aca="false">IF($A264="","",COUNTIFS(Avaliacoes!$A$2:$A$6000,$A264,Avaliacoes!$F$2:$F$6000,"II",Avaliacoes!$H$2:$H$6000,0,Avaliacoes!$G$2:$G$6000,"&lt;&gt;")*Dimensoes!$E$3)</f>
        <v/>
      </c>
      <c r="L264" s="0" t="str">
        <f aca="false">IF($A264="","",COUNTIFS(Avaliacoes!$A$2:$A$6000,$A264,Avaliacoes!$F$2:$F$6000,"III",Avaliacoes!$H$2:$H$6000,0,Avaliacoes!$G$2:$G$6000,"&lt;&gt;")*Dimensoes!$E$4)</f>
        <v/>
      </c>
      <c r="M264" s="0" t="str">
        <f aca="false">IF($A264="","",COUNTIFS(Avaliacoes!$A$2:$A$6000,$A264,Avaliacoes!$F$2:$F$6000,"IV",Avaliacoes!$H$2:$H$6000,0,Avaliacoes!$G$2:$G$6000,"&lt;&gt;")*Dimensoes!$E$5)</f>
        <v/>
      </c>
      <c r="N264" s="9" t="str">
        <f aca="false">IF($A264="","",IF(J264&gt;0,F264/J264,""))</f>
        <v/>
      </c>
      <c r="O264" s="9" t="str">
        <f aca="false">IF($A264="","",IF(K264&gt;0,G264/K264,""))</f>
        <v/>
      </c>
      <c r="P264" s="9" t="str">
        <f aca="false">IF($A264="","",IF(L264&gt;0,H264/L264,""))</f>
        <v/>
      </c>
      <c r="Q264" s="9" t="str">
        <f aca="false">IF($A264="","",IF(M264&gt;0,I264/M264,""))</f>
        <v/>
      </c>
      <c r="R264" s="17" t="str">
        <f aca="false">IF($A264="","",IF((IF(N264="",0,Dimensoes!$C$2)+IF(O264="",0,Dimensoes!$C$3)+IF(P264="",0,Dimensoes!$C$4)+IF(Q264="",0,Dimensoes!$C$5))=0,"",(IF(N264="",0,N264*Dimensoes!$C$2)+IF(O264="",0,O264*Dimensoes!$C$3)+IF(P264="",0,P264*Dimensoes!$C$4)+IF(Q264="",0,Q264*Dimensoes!$C$5))/(IF(N264="",0,Dimensoes!$C$2)+IF(O264="",0,Dimensoes!$C$3)+IF(P264="",0,Dimensoes!$C$4)+IF(Q264="",0,Dimensoes!$C$5))))</f>
        <v/>
      </c>
      <c r="S264" s="0" t="str">
        <f aca="false">IF(R264="","",IF(R264&lt;Faixas!$C$3,"vermelho",IF(R264&lt;Faixas!$C$4,"amarelo","verde")))</f>
        <v/>
      </c>
      <c r="T264" s="9" t="str">
        <f aca="false">IF($A264="","",IF(N264="",0,N264*Dimensoes!$C$2)+IF(O264="",0,O264*Dimensoes!$C$3)+IF(P264="",0,P264*Dimensoes!$C$4)+IF(Q264="",0,Q264*Dimensoes!$C$5))</f>
        <v/>
      </c>
      <c r="U264" s="0" t="str">
        <f aca="false">IF($A264="","",IF(OR(E264="concluida",E264="incompleta"),1,0))</f>
        <v/>
      </c>
    </row>
    <row r="265" customFormat="false" ht="15" hidden="false" customHeight="false" outlineLevel="0" collapsed="false">
      <c r="A265" s="0" t="str">
        <f aca="false">IF(Visitas!A265="","",Visitas!A265)</f>
        <v/>
      </c>
      <c r="B265" s="0" t="str">
        <f aca="false">IF($A265="","",Visitas!C265)</f>
        <v/>
      </c>
      <c r="C265" s="7" t="str">
        <f aca="false">IF($A265="","",Visitas!D265)</f>
        <v/>
      </c>
      <c r="D265" s="0" t="str">
        <f aca="false">IF($A265="","",Visitas!B265)</f>
        <v/>
      </c>
      <c r="E265" s="0" t="str">
        <f aca="false">IF($A265="","",Visitas!F265)</f>
        <v/>
      </c>
      <c r="F265" s="0" t="str">
        <f aca="false">IF($A265="","",SUMIFS(Avaliacoes!$G$2:$G$6000,Avaliacoes!$A$2:$A$6000,$A265,Avaliacoes!$F$2:$F$6000,"I",Avaliacoes!$H$2:$H$6000,0))</f>
        <v/>
      </c>
      <c r="G265" s="0" t="str">
        <f aca="false">IF($A265="","",SUMIFS(Avaliacoes!$G$2:$G$6000,Avaliacoes!$A$2:$A$6000,$A265,Avaliacoes!$F$2:$F$6000,"II",Avaliacoes!$H$2:$H$6000,0))</f>
        <v/>
      </c>
      <c r="H265" s="0" t="str">
        <f aca="false">IF($A265="","",SUMIFS(Avaliacoes!$G$2:$G$6000,Avaliacoes!$A$2:$A$6000,$A265,Avaliacoes!$F$2:$F$6000,"III",Avaliacoes!$H$2:$H$6000,0))</f>
        <v/>
      </c>
      <c r="I265" s="0" t="str">
        <f aca="false">IF($A265="","",SUMIFS(Avaliacoes!$G$2:$G$6000,Avaliacoes!$A$2:$A$6000,$A265,Avaliacoes!$F$2:$F$6000,"IV",Avaliacoes!$H$2:$H$6000,0))</f>
        <v/>
      </c>
      <c r="J265" s="0" t="str">
        <f aca="false">IF($A265="","",COUNTIFS(Avaliacoes!$A$2:$A$6000,$A265,Avaliacoes!$F$2:$F$6000,"I",Avaliacoes!$H$2:$H$6000,0,Avaliacoes!$G$2:$G$6000,"&lt;&gt;")*Dimensoes!$E$2)</f>
        <v/>
      </c>
      <c r="K265" s="0" t="str">
        <f aca="false">IF($A265="","",COUNTIFS(Avaliacoes!$A$2:$A$6000,$A265,Avaliacoes!$F$2:$F$6000,"II",Avaliacoes!$H$2:$H$6000,0,Avaliacoes!$G$2:$G$6000,"&lt;&gt;")*Dimensoes!$E$3)</f>
        <v/>
      </c>
      <c r="L265" s="0" t="str">
        <f aca="false">IF($A265="","",COUNTIFS(Avaliacoes!$A$2:$A$6000,$A265,Avaliacoes!$F$2:$F$6000,"III",Avaliacoes!$H$2:$H$6000,0,Avaliacoes!$G$2:$G$6000,"&lt;&gt;")*Dimensoes!$E$4)</f>
        <v/>
      </c>
      <c r="M265" s="0" t="str">
        <f aca="false">IF($A265="","",COUNTIFS(Avaliacoes!$A$2:$A$6000,$A265,Avaliacoes!$F$2:$F$6000,"IV",Avaliacoes!$H$2:$H$6000,0,Avaliacoes!$G$2:$G$6000,"&lt;&gt;")*Dimensoes!$E$5)</f>
        <v/>
      </c>
      <c r="N265" s="9" t="str">
        <f aca="false">IF($A265="","",IF(J265&gt;0,F265/J265,""))</f>
        <v/>
      </c>
      <c r="O265" s="9" t="str">
        <f aca="false">IF($A265="","",IF(K265&gt;0,G265/K265,""))</f>
        <v/>
      </c>
      <c r="P265" s="9" t="str">
        <f aca="false">IF($A265="","",IF(L265&gt;0,H265/L265,""))</f>
        <v/>
      </c>
      <c r="Q265" s="9" t="str">
        <f aca="false">IF($A265="","",IF(M265&gt;0,I265/M265,""))</f>
        <v/>
      </c>
      <c r="R265" s="17" t="str">
        <f aca="false">IF($A265="","",IF((IF(N265="",0,Dimensoes!$C$2)+IF(O265="",0,Dimensoes!$C$3)+IF(P265="",0,Dimensoes!$C$4)+IF(Q265="",0,Dimensoes!$C$5))=0,"",(IF(N265="",0,N265*Dimensoes!$C$2)+IF(O265="",0,O265*Dimensoes!$C$3)+IF(P265="",0,P265*Dimensoes!$C$4)+IF(Q265="",0,Q265*Dimensoes!$C$5))/(IF(N265="",0,Dimensoes!$C$2)+IF(O265="",0,Dimensoes!$C$3)+IF(P265="",0,Dimensoes!$C$4)+IF(Q265="",0,Dimensoes!$C$5))))</f>
        <v/>
      </c>
      <c r="S265" s="0" t="str">
        <f aca="false">IF(R265="","",IF(R265&lt;Faixas!$C$3,"vermelho",IF(R265&lt;Faixas!$C$4,"amarelo","verde")))</f>
        <v/>
      </c>
      <c r="T265" s="9" t="str">
        <f aca="false">IF($A265="","",IF(N265="",0,N265*Dimensoes!$C$2)+IF(O265="",0,O265*Dimensoes!$C$3)+IF(P265="",0,P265*Dimensoes!$C$4)+IF(Q265="",0,Q265*Dimensoes!$C$5))</f>
        <v/>
      </c>
      <c r="U265" s="0" t="str">
        <f aca="false">IF($A265="","",IF(OR(E265="concluida",E265="incompleta"),1,0))</f>
        <v/>
      </c>
    </row>
    <row r="266" customFormat="false" ht="15" hidden="false" customHeight="false" outlineLevel="0" collapsed="false">
      <c r="A266" s="0" t="str">
        <f aca="false">IF(Visitas!A266="","",Visitas!A266)</f>
        <v/>
      </c>
      <c r="B266" s="0" t="str">
        <f aca="false">IF($A266="","",Visitas!C266)</f>
        <v/>
      </c>
      <c r="C266" s="7" t="str">
        <f aca="false">IF($A266="","",Visitas!D266)</f>
        <v/>
      </c>
      <c r="D266" s="0" t="str">
        <f aca="false">IF($A266="","",Visitas!B266)</f>
        <v/>
      </c>
      <c r="E266" s="0" t="str">
        <f aca="false">IF($A266="","",Visitas!F266)</f>
        <v/>
      </c>
      <c r="F266" s="0" t="str">
        <f aca="false">IF($A266="","",SUMIFS(Avaliacoes!$G$2:$G$6000,Avaliacoes!$A$2:$A$6000,$A266,Avaliacoes!$F$2:$F$6000,"I",Avaliacoes!$H$2:$H$6000,0))</f>
        <v/>
      </c>
      <c r="G266" s="0" t="str">
        <f aca="false">IF($A266="","",SUMIFS(Avaliacoes!$G$2:$G$6000,Avaliacoes!$A$2:$A$6000,$A266,Avaliacoes!$F$2:$F$6000,"II",Avaliacoes!$H$2:$H$6000,0))</f>
        <v/>
      </c>
      <c r="H266" s="0" t="str">
        <f aca="false">IF($A266="","",SUMIFS(Avaliacoes!$G$2:$G$6000,Avaliacoes!$A$2:$A$6000,$A266,Avaliacoes!$F$2:$F$6000,"III",Avaliacoes!$H$2:$H$6000,0))</f>
        <v/>
      </c>
      <c r="I266" s="0" t="str">
        <f aca="false">IF($A266="","",SUMIFS(Avaliacoes!$G$2:$G$6000,Avaliacoes!$A$2:$A$6000,$A266,Avaliacoes!$F$2:$F$6000,"IV",Avaliacoes!$H$2:$H$6000,0))</f>
        <v/>
      </c>
      <c r="J266" s="0" t="str">
        <f aca="false">IF($A266="","",COUNTIFS(Avaliacoes!$A$2:$A$6000,$A266,Avaliacoes!$F$2:$F$6000,"I",Avaliacoes!$H$2:$H$6000,0,Avaliacoes!$G$2:$G$6000,"&lt;&gt;")*Dimensoes!$E$2)</f>
        <v/>
      </c>
      <c r="K266" s="0" t="str">
        <f aca="false">IF($A266="","",COUNTIFS(Avaliacoes!$A$2:$A$6000,$A266,Avaliacoes!$F$2:$F$6000,"II",Avaliacoes!$H$2:$H$6000,0,Avaliacoes!$G$2:$G$6000,"&lt;&gt;")*Dimensoes!$E$3)</f>
        <v/>
      </c>
      <c r="L266" s="0" t="str">
        <f aca="false">IF($A266="","",COUNTIFS(Avaliacoes!$A$2:$A$6000,$A266,Avaliacoes!$F$2:$F$6000,"III",Avaliacoes!$H$2:$H$6000,0,Avaliacoes!$G$2:$G$6000,"&lt;&gt;")*Dimensoes!$E$4)</f>
        <v/>
      </c>
      <c r="M266" s="0" t="str">
        <f aca="false">IF($A266="","",COUNTIFS(Avaliacoes!$A$2:$A$6000,$A266,Avaliacoes!$F$2:$F$6000,"IV",Avaliacoes!$H$2:$H$6000,0,Avaliacoes!$G$2:$G$6000,"&lt;&gt;")*Dimensoes!$E$5)</f>
        <v/>
      </c>
      <c r="N266" s="9" t="str">
        <f aca="false">IF($A266="","",IF(J266&gt;0,F266/J266,""))</f>
        <v/>
      </c>
      <c r="O266" s="9" t="str">
        <f aca="false">IF($A266="","",IF(K266&gt;0,G266/K266,""))</f>
        <v/>
      </c>
      <c r="P266" s="9" t="str">
        <f aca="false">IF($A266="","",IF(L266&gt;0,H266/L266,""))</f>
        <v/>
      </c>
      <c r="Q266" s="9" t="str">
        <f aca="false">IF($A266="","",IF(M266&gt;0,I266/M266,""))</f>
        <v/>
      </c>
      <c r="R266" s="17" t="str">
        <f aca="false">IF($A266="","",IF((IF(N266="",0,Dimensoes!$C$2)+IF(O266="",0,Dimensoes!$C$3)+IF(P266="",0,Dimensoes!$C$4)+IF(Q266="",0,Dimensoes!$C$5))=0,"",(IF(N266="",0,N266*Dimensoes!$C$2)+IF(O266="",0,O266*Dimensoes!$C$3)+IF(P266="",0,P266*Dimensoes!$C$4)+IF(Q266="",0,Q266*Dimensoes!$C$5))/(IF(N266="",0,Dimensoes!$C$2)+IF(O266="",0,Dimensoes!$C$3)+IF(P266="",0,Dimensoes!$C$4)+IF(Q266="",0,Dimensoes!$C$5))))</f>
        <v/>
      </c>
      <c r="S266" s="0" t="str">
        <f aca="false">IF(R266="","",IF(R266&lt;Faixas!$C$3,"vermelho",IF(R266&lt;Faixas!$C$4,"amarelo","verde")))</f>
        <v/>
      </c>
      <c r="T266" s="9" t="str">
        <f aca="false">IF($A266="","",IF(N266="",0,N266*Dimensoes!$C$2)+IF(O266="",0,O266*Dimensoes!$C$3)+IF(P266="",0,P266*Dimensoes!$C$4)+IF(Q266="",0,Q266*Dimensoes!$C$5))</f>
        <v/>
      </c>
      <c r="U266" s="0" t="str">
        <f aca="false">IF($A266="","",IF(OR(E266="concluida",E266="incompleta"),1,0))</f>
        <v/>
      </c>
    </row>
    <row r="267" customFormat="false" ht="15" hidden="false" customHeight="false" outlineLevel="0" collapsed="false">
      <c r="A267" s="0" t="str">
        <f aca="false">IF(Visitas!A267="","",Visitas!A267)</f>
        <v/>
      </c>
      <c r="B267" s="0" t="str">
        <f aca="false">IF($A267="","",Visitas!C267)</f>
        <v/>
      </c>
      <c r="C267" s="7" t="str">
        <f aca="false">IF($A267="","",Visitas!D267)</f>
        <v/>
      </c>
      <c r="D267" s="0" t="str">
        <f aca="false">IF($A267="","",Visitas!B267)</f>
        <v/>
      </c>
      <c r="E267" s="0" t="str">
        <f aca="false">IF($A267="","",Visitas!F267)</f>
        <v/>
      </c>
      <c r="F267" s="0" t="str">
        <f aca="false">IF($A267="","",SUMIFS(Avaliacoes!$G$2:$G$6000,Avaliacoes!$A$2:$A$6000,$A267,Avaliacoes!$F$2:$F$6000,"I",Avaliacoes!$H$2:$H$6000,0))</f>
        <v/>
      </c>
      <c r="G267" s="0" t="str">
        <f aca="false">IF($A267="","",SUMIFS(Avaliacoes!$G$2:$G$6000,Avaliacoes!$A$2:$A$6000,$A267,Avaliacoes!$F$2:$F$6000,"II",Avaliacoes!$H$2:$H$6000,0))</f>
        <v/>
      </c>
      <c r="H267" s="0" t="str">
        <f aca="false">IF($A267="","",SUMIFS(Avaliacoes!$G$2:$G$6000,Avaliacoes!$A$2:$A$6000,$A267,Avaliacoes!$F$2:$F$6000,"III",Avaliacoes!$H$2:$H$6000,0))</f>
        <v/>
      </c>
      <c r="I267" s="0" t="str">
        <f aca="false">IF($A267="","",SUMIFS(Avaliacoes!$G$2:$G$6000,Avaliacoes!$A$2:$A$6000,$A267,Avaliacoes!$F$2:$F$6000,"IV",Avaliacoes!$H$2:$H$6000,0))</f>
        <v/>
      </c>
      <c r="J267" s="0" t="str">
        <f aca="false">IF($A267="","",COUNTIFS(Avaliacoes!$A$2:$A$6000,$A267,Avaliacoes!$F$2:$F$6000,"I",Avaliacoes!$H$2:$H$6000,0,Avaliacoes!$G$2:$G$6000,"&lt;&gt;")*Dimensoes!$E$2)</f>
        <v/>
      </c>
      <c r="K267" s="0" t="str">
        <f aca="false">IF($A267="","",COUNTIFS(Avaliacoes!$A$2:$A$6000,$A267,Avaliacoes!$F$2:$F$6000,"II",Avaliacoes!$H$2:$H$6000,0,Avaliacoes!$G$2:$G$6000,"&lt;&gt;")*Dimensoes!$E$3)</f>
        <v/>
      </c>
      <c r="L267" s="0" t="str">
        <f aca="false">IF($A267="","",COUNTIFS(Avaliacoes!$A$2:$A$6000,$A267,Avaliacoes!$F$2:$F$6000,"III",Avaliacoes!$H$2:$H$6000,0,Avaliacoes!$G$2:$G$6000,"&lt;&gt;")*Dimensoes!$E$4)</f>
        <v/>
      </c>
      <c r="M267" s="0" t="str">
        <f aca="false">IF($A267="","",COUNTIFS(Avaliacoes!$A$2:$A$6000,$A267,Avaliacoes!$F$2:$F$6000,"IV",Avaliacoes!$H$2:$H$6000,0,Avaliacoes!$G$2:$G$6000,"&lt;&gt;")*Dimensoes!$E$5)</f>
        <v/>
      </c>
      <c r="N267" s="9" t="str">
        <f aca="false">IF($A267="","",IF(J267&gt;0,F267/J267,""))</f>
        <v/>
      </c>
      <c r="O267" s="9" t="str">
        <f aca="false">IF($A267="","",IF(K267&gt;0,G267/K267,""))</f>
        <v/>
      </c>
      <c r="P267" s="9" t="str">
        <f aca="false">IF($A267="","",IF(L267&gt;0,H267/L267,""))</f>
        <v/>
      </c>
      <c r="Q267" s="9" t="str">
        <f aca="false">IF($A267="","",IF(M267&gt;0,I267/M267,""))</f>
        <v/>
      </c>
      <c r="R267" s="17" t="str">
        <f aca="false">IF($A267="","",IF((IF(N267="",0,Dimensoes!$C$2)+IF(O267="",0,Dimensoes!$C$3)+IF(P267="",0,Dimensoes!$C$4)+IF(Q267="",0,Dimensoes!$C$5))=0,"",(IF(N267="",0,N267*Dimensoes!$C$2)+IF(O267="",0,O267*Dimensoes!$C$3)+IF(P267="",0,P267*Dimensoes!$C$4)+IF(Q267="",0,Q267*Dimensoes!$C$5))/(IF(N267="",0,Dimensoes!$C$2)+IF(O267="",0,Dimensoes!$C$3)+IF(P267="",0,Dimensoes!$C$4)+IF(Q267="",0,Dimensoes!$C$5))))</f>
        <v/>
      </c>
      <c r="S267" s="0" t="str">
        <f aca="false">IF(R267="","",IF(R267&lt;Faixas!$C$3,"vermelho",IF(R267&lt;Faixas!$C$4,"amarelo","verde")))</f>
        <v/>
      </c>
      <c r="T267" s="9" t="str">
        <f aca="false">IF($A267="","",IF(N267="",0,N267*Dimensoes!$C$2)+IF(O267="",0,O267*Dimensoes!$C$3)+IF(P267="",0,P267*Dimensoes!$C$4)+IF(Q267="",0,Q267*Dimensoes!$C$5))</f>
        <v/>
      </c>
      <c r="U267" s="0" t="str">
        <f aca="false">IF($A267="","",IF(OR(E267="concluida",E267="incompleta"),1,0))</f>
        <v/>
      </c>
    </row>
    <row r="268" customFormat="false" ht="15" hidden="false" customHeight="false" outlineLevel="0" collapsed="false">
      <c r="A268" s="0" t="str">
        <f aca="false">IF(Visitas!A268="","",Visitas!A268)</f>
        <v/>
      </c>
      <c r="B268" s="0" t="str">
        <f aca="false">IF($A268="","",Visitas!C268)</f>
        <v/>
      </c>
      <c r="C268" s="7" t="str">
        <f aca="false">IF($A268="","",Visitas!D268)</f>
        <v/>
      </c>
      <c r="D268" s="0" t="str">
        <f aca="false">IF($A268="","",Visitas!B268)</f>
        <v/>
      </c>
      <c r="E268" s="0" t="str">
        <f aca="false">IF($A268="","",Visitas!F268)</f>
        <v/>
      </c>
      <c r="F268" s="0" t="str">
        <f aca="false">IF($A268="","",SUMIFS(Avaliacoes!$G$2:$G$6000,Avaliacoes!$A$2:$A$6000,$A268,Avaliacoes!$F$2:$F$6000,"I",Avaliacoes!$H$2:$H$6000,0))</f>
        <v/>
      </c>
      <c r="G268" s="0" t="str">
        <f aca="false">IF($A268="","",SUMIFS(Avaliacoes!$G$2:$G$6000,Avaliacoes!$A$2:$A$6000,$A268,Avaliacoes!$F$2:$F$6000,"II",Avaliacoes!$H$2:$H$6000,0))</f>
        <v/>
      </c>
      <c r="H268" s="0" t="str">
        <f aca="false">IF($A268="","",SUMIFS(Avaliacoes!$G$2:$G$6000,Avaliacoes!$A$2:$A$6000,$A268,Avaliacoes!$F$2:$F$6000,"III",Avaliacoes!$H$2:$H$6000,0))</f>
        <v/>
      </c>
      <c r="I268" s="0" t="str">
        <f aca="false">IF($A268="","",SUMIFS(Avaliacoes!$G$2:$G$6000,Avaliacoes!$A$2:$A$6000,$A268,Avaliacoes!$F$2:$F$6000,"IV",Avaliacoes!$H$2:$H$6000,0))</f>
        <v/>
      </c>
      <c r="J268" s="0" t="str">
        <f aca="false">IF($A268="","",COUNTIFS(Avaliacoes!$A$2:$A$6000,$A268,Avaliacoes!$F$2:$F$6000,"I",Avaliacoes!$H$2:$H$6000,0,Avaliacoes!$G$2:$G$6000,"&lt;&gt;")*Dimensoes!$E$2)</f>
        <v/>
      </c>
      <c r="K268" s="0" t="str">
        <f aca="false">IF($A268="","",COUNTIFS(Avaliacoes!$A$2:$A$6000,$A268,Avaliacoes!$F$2:$F$6000,"II",Avaliacoes!$H$2:$H$6000,0,Avaliacoes!$G$2:$G$6000,"&lt;&gt;")*Dimensoes!$E$3)</f>
        <v/>
      </c>
      <c r="L268" s="0" t="str">
        <f aca="false">IF($A268="","",COUNTIFS(Avaliacoes!$A$2:$A$6000,$A268,Avaliacoes!$F$2:$F$6000,"III",Avaliacoes!$H$2:$H$6000,0,Avaliacoes!$G$2:$G$6000,"&lt;&gt;")*Dimensoes!$E$4)</f>
        <v/>
      </c>
      <c r="M268" s="0" t="str">
        <f aca="false">IF($A268="","",COUNTIFS(Avaliacoes!$A$2:$A$6000,$A268,Avaliacoes!$F$2:$F$6000,"IV",Avaliacoes!$H$2:$H$6000,0,Avaliacoes!$G$2:$G$6000,"&lt;&gt;")*Dimensoes!$E$5)</f>
        <v/>
      </c>
      <c r="N268" s="9" t="str">
        <f aca="false">IF($A268="","",IF(J268&gt;0,F268/J268,""))</f>
        <v/>
      </c>
      <c r="O268" s="9" t="str">
        <f aca="false">IF($A268="","",IF(K268&gt;0,G268/K268,""))</f>
        <v/>
      </c>
      <c r="P268" s="9" t="str">
        <f aca="false">IF($A268="","",IF(L268&gt;0,H268/L268,""))</f>
        <v/>
      </c>
      <c r="Q268" s="9" t="str">
        <f aca="false">IF($A268="","",IF(M268&gt;0,I268/M268,""))</f>
        <v/>
      </c>
      <c r="R268" s="17" t="str">
        <f aca="false">IF($A268="","",IF((IF(N268="",0,Dimensoes!$C$2)+IF(O268="",0,Dimensoes!$C$3)+IF(P268="",0,Dimensoes!$C$4)+IF(Q268="",0,Dimensoes!$C$5))=0,"",(IF(N268="",0,N268*Dimensoes!$C$2)+IF(O268="",0,O268*Dimensoes!$C$3)+IF(P268="",0,P268*Dimensoes!$C$4)+IF(Q268="",0,Q268*Dimensoes!$C$5))/(IF(N268="",0,Dimensoes!$C$2)+IF(O268="",0,Dimensoes!$C$3)+IF(P268="",0,Dimensoes!$C$4)+IF(Q268="",0,Dimensoes!$C$5))))</f>
        <v/>
      </c>
      <c r="S268" s="0" t="str">
        <f aca="false">IF(R268="","",IF(R268&lt;Faixas!$C$3,"vermelho",IF(R268&lt;Faixas!$C$4,"amarelo","verde")))</f>
        <v/>
      </c>
      <c r="T268" s="9" t="str">
        <f aca="false">IF($A268="","",IF(N268="",0,N268*Dimensoes!$C$2)+IF(O268="",0,O268*Dimensoes!$C$3)+IF(P268="",0,P268*Dimensoes!$C$4)+IF(Q268="",0,Q268*Dimensoes!$C$5))</f>
        <v/>
      </c>
      <c r="U268" s="0" t="str">
        <f aca="false">IF($A268="","",IF(OR(E268="concluida",E268="incompleta"),1,0))</f>
        <v/>
      </c>
    </row>
    <row r="269" customFormat="false" ht="15" hidden="false" customHeight="false" outlineLevel="0" collapsed="false">
      <c r="A269" s="0" t="str">
        <f aca="false">IF(Visitas!A269="","",Visitas!A269)</f>
        <v/>
      </c>
      <c r="B269" s="0" t="str">
        <f aca="false">IF($A269="","",Visitas!C269)</f>
        <v/>
      </c>
      <c r="C269" s="7" t="str">
        <f aca="false">IF($A269="","",Visitas!D269)</f>
        <v/>
      </c>
      <c r="D269" s="0" t="str">
        <f aca="false">IF($A269="","",Visitas!B269)</f>
        <v/>
      </c>
      <c r="E269" s="0" t="str">
        <f aca="false">IF($A269="","",Visitas!F269)</f>
        <v/>
      </c>
      <c r="F269" s="0" t="str">
        <f aca="false">IF($A269="","",SUMIFS(Avaliacoes!$G$2:$G$6000,Avaliacoes!$A$2:$A$6000,$A269,Avaliacoes!$F$2:$F$6000,"I",Avaliacoes!$H$2:$H$6000,0))</f>
        <v/>
      </c>
      <c r="G269" s="0" t="str">
        <f aca="false">IF($A269="","",SUMIFS(Avaliacoes!$G$2:$G$6000,Avaliacoes!$A$2:$A$6000,$A269,Avaliacoes!$F$2:$F$6000,"II",Avaliacoes!$H$2:$H$6000,0))</f>
        <v/>
      </c>
      <c r="H269" s="0" t="str">
        <f aca="false">IF($A269="","",SUMIFS(Avaliacoes!$G$2:$G$6000,Avaliacoes!$A$2:$A$6000,$A269,Avaliacoes!$F$2:$F$6000,"III",Avaliacoes!$H$2:$H$6000,0))</f>
        <v/>
      </c>
      <c r="I269" s="0" t="str">
        <f aca="false">IF($A269="","",SUMIFS(Avaliacoes!$G$2:$G$6000,Avaliacoes!$A$2:$A$6000,$A269,Avaliacoes!$F$2:$F$6000,"IV",Avaliacoes!$H$2:$H$6000,0))</f>
        <v/>
      </c>
      <c r="J269" s="0" t="str">
        <f aca="false">IF($A269="","",COUNTIFS(Avaliacoes!$A$2:$A$6000,$A269,Avaliacoes!$F$2:$F$6000,"I",Avaliacoes!$H$2:$H$6000,0,Avaliacoes!$G$2:$G$6000,"&lt;&gt;")*Dimensoes!$E$2)</f>
        <v/>
      </c>
      <c r="K269" s="0" t="str">
        <f aca="false">IF($A269="","",COUNTIFS(Avaliacoes!$A$2:$A$6000,$A269,Avaliacoes!$F$2:$F$6000,"II",Avaliacoes!$H$2:$H$6000,0,Avaliacoes!$G$2:$G$6000,"&lt;&gt;")*Dimensoes!$E$3)</f>
        <v/>
      </c>
      <c r="L269" s="0" t="str">
        <f aca="false">IF($A269="","",COUNTIFS(Avaliacoes!$A$2:$A$6000,$A269,Avaliacoes!$F$2:$F$6000,"III",Avaliacoes!$H$2:$H$6000,0,Avaliacoes!$G$2:$G$6000,"&lt;&gt;")*Dimensoes!$E$4)</f>
        <v/>
      </c>
      <c r="M269" s="0" t="str">
        <f aca="false">IF($A269="","",COUNTIFS(Avaliacoes!$A$2:$A$6000,$A269,Avaliacoes!$F$2:$F$6000,"IV",Avaliacoes!$H$2:$H$6000,0,Avaliacoes!$G$2:$G$6000,"&lt;&gt;")*Dimensoes!$E$5)</f>
        <v/>
      </c>
      <c r="N269" s="9" t="str">
        <f aca="false">IF($A269="","",IF(J269&gt;0,F269/J269,""))</f>
        <v/>
      </c>
      <c r="O269" s="9" t="str">
        <f aca="false">IF($A269="","",IF(K269&gt;0,G269/K269,""))</f>
        <v/>
      </c>
      <c r="P269" s="9" t="str">
        <f aca="false">IF($A269="","",IF(L269&gt;0,H269/L269,""))</f>
        <v/>
      </c>
      <c r="Q269" s="9" t="str">
        <f aca="false">IF($A269="","",IF(M269&gt;0,I269/M269,""))</f>
        <v/>
      </c>
      <c r="R269" s="17" t="str">
        <f aca="false">IF($A269="","",IF((IF(N269="",0,Dimensoes!$C$2)+IF(O269="",0,Dimensoes!$C$3)+IF(P269="",0,Dimensoes!$C$4)+IF(Q269="",0,Dimensoes!$C$5))=0,"",(IF(N269="",0,N269*Dimensoes!$C$2)+IF(O269="",0,O269*Dimensoes!$C$3)+IF(P269="",0,P269*Dimensoes!$C$4)+IF(Q269="",0,Q269*Dimensoes!$C$5))/(IF(N269="",0,Dimensoes!$C$2)+IF(O269="",0,Dimensoes!$C$3)+IF(P269="",0,Dimensoes!$C$4)+IF(Q269="",0,Dimensoes!$C$5))))</f>
        <v/>
      </c>
      <c r="S269" s="0" t="str">
        <f aca="false">IF(R269="","",IF(R269&lt;Faixas!$C$3,"vermelho",IF(R269&lt;Faixas!$C$4,"amarelo","verde")))</f>
        <v/>
      </c>
      <c r="T269" s="9" t="str">
        <f aca="false">IF($A269="","",IF(N269="",0,N269*Dimensoes!$C$2)+IF(O269="",0,O269*Dimensoes!$C$3)+IF(P269="",0,P269*Dimensoes!$C$4)+IF(Q269="",0,Q269*Dimensoes!$C$5))</f>
        <v/>
      </c>
      <c r="U269" s="0" t="str">
        <f aca="false">IF($A269="","",IF(OR(E269="concluida",E269="incompleta"),1,0))</f>
        <v/>
      </c>
    </row>
    <row r="270" customFormat="false" ht="15" hidden="false" customHeight="false" outlineLevel="0" collapsed="false">
      <c r="A270" s="0" t="str">
        <f aca="false">IF(Visitas!A270="","",Visitas!A270)</f>
        <v/>
      </c>
      <c r="B270" s="0" t="str">
        <f aca="false">IF($A270="","",Visitas!C270)</f>
        <v/>
      </c>
      <c r="C270" s="7" t="str">
        <f aca="false">IF($A270="","",Visitas!D270)</f>
        <v/>
      </c>
      <c r="D270" s="0" t="str">
        <f aca="false">IF($A270="","",Visitas!B270)</f>
        <v/>
      </c>
      <c r="E270" s="0" t="str">
        <f aca="false">IF($A270="","",Visitas!F270)</f>
        <v/>
      </c>
      <c r="F270" s="0" t="str">
        <f aca="false">IF($A270="","",SUMIFS(Avaliacoes!$G$2:$G$6000,Avaliacoes!$A$2:$A$6000,$A270,Avaliacoes!$F$2:$F$6000,"I",Avaliacoes!$H$2:$H$6000,0))</f>
        <v/>
      </c>
      <c r="G270" s="0" t="str">
        <f aca="false">IF($A270="","",SUMIFS(Avaliacoes!$G$2:$G$6000,Avaliacoes!$A$2:$A$6000,$A270,Avaliacoes!$F$2:$F$6000,"II",Avaliacoes!$H$2:$H$6000,0))</f>
        <v/>
      </c>
      <c r="H270" s="0" t="str">
        <f aca="false">IF($A270="","",SUMIFS(Avaliacoes!$G$2:$G$6000,Avaliacoes!$A$2:$A$6000,$A270,Avaliacoes!$F$2:$F$6000,"III",Avaliacoes!$H$2:$H$6000,0))</f>
        <v/>
      </c>
      <c r="I270" s="0" t="str">
        <f aca="false">IF($A270="","",SUMIFS(Avaliacoes!$G$2:$G$6000,Avaliacoes!$A$2:$A$6000,$A270,Avaliacoes!$F$2:$F$6000,"IV",Avaliacoes!$H$2:$H$6000,0))</f>
        <v/>
      </c>
      <c r="J270" s="0" t="str">
        <f aca="false">IF($A270="","",COUNTIFS(Avaliacoes!$A$2:$A$6000,$A270,Avaliacoes!$F$2:$F$6000,"I",Avaliacoes!$H$2:$H$6000,0,Avaliacoes!$G$2:$G$6000,"&lt;&gt;")*Dimensoes!$E$2)</f>
        <v/>
      </c>
      <c r="K270" s="0" t="str">
        <f aca="false">IF($A270="","",COUNTIFS(Avaliacoes!$A$2:$A$6000,$A270,Avaliacoes!$F$2:$F$6000,"II",Avaliacoes!$H$2:$H$6000,0,Avaliacoes!$G$2:$G$6000,"&lt;&gt;")*Dimensoes!$E$3)</f>
        <v/>
      </c>
      <c r="L270" s="0" t="str">
        <f aca="false">IF($A270="","",COUNTIFS(Avaliacoes!$A$2:$A$6000,$A270,Avaliacoes!$F$2:$F$6000,"III",Avaliacoes!$H$2:$H$6000,0,Avaliacoes!$G$2:$G$6000,"&lt;&gt;")*Dimensoes!$E$4)</f>
        <v/>
      </c>
      <c r="M270" s="0" t="str">
        <f aca="false">IF($A270="","",COUNTIFS(Avaliacoes!$A$2:$A$6000,$A270,Avaliacoes!$F$2:$F$6000,"IV",Avaliacoes!$H$2:$H$6000,0,Avaliacoes!$G$2:$G$6000,"&lt;&gt;")*Dimensoes!$E$5)</f>
        <v/>
      </c>
      <c r="N270" s="9" t="str">
        <f aca="false">IF($A270="","",IF(J270&gt;0,F270/J270,""))</f>
        <v/>
      </c>
      <c r="O270" s="9" t="str">
        <f aca="false">IF($A270="","",IF(K270&gt;0,G270/K270,""))</f>
        <v/>
      </c>
      <c r="P270" s="9" t="str">
        <f aca="false">IF($A270="","",IF(L270&gt;0,H270/L270,""))</f>
        <v/>
      </c>
      <c r="Q270" s="9" t="str">
        <f aca="false">IF($A270="","",IF(M270&gt;0,I270/M270,""))</f>
        <v/>
      </c>
      <c r="R270" s="17" t="str">
        <f aca="false">IF($A270="","",IF((IF(N270="",0,Dimensoes!$C$2)+IF(O270="",0,Dimensoes!$C$3)+IF(P270="",0,Dimensoes!$C$4)+IF(Q270="",0,Dimensoes!$C$5))=0,"",(IF(N270="",0,N270*Dimensoes!$C$2)+IF(O270="",0,O270*Dimensoes!$C$3)+IF(P270="",0,P270*Dimensoes!$C$4)+IF(Q270="",0,Q270*Dimensoes!$C$5))/(IF(N270="",0,Dimensoes!$C$2)+IF(O270="",0,Dimensoes!$C$3)+IF(P270="",0,Dimensoes!$C$4)+IF(Q270="",0,Dimensoes!$C$5))))</f>
        <v/>
      </c>
      <c r="S270" s="0" t="str">
        <f aca="false">IF(R270="","",IF(R270&lt;Faixas!$C$3,"vermelho",IF(R270&lt;Faixas!$C$4,"amarelo","verde")))</f>
        <v/>
      </c>
      <c r="T270" s="9" t="str">
        <f aca="false">IF($A270="","",IF(N270="",0,N270*Dimensoes!$C$2)+IF(O270="",0,O270*Dimensoes!$C$3)+IF(P270="",0,P270*Dimensoes!$C$4)+IF(Q270="",0,Q270*Dimensoes!$C$5))</f>
        <v/>
      </c>
      <c r="U270" s="0" t="str">
        <f aca="false">IF($A270="","",IF(OR(E270="concluida",E270="incompleta"),1,0))</f>
        <v/>
      </c>
    </row>
    <row r="271" customFormat="false" ht="15" hidden="false" customHeight="false" outlineLevel="0" collapsed="false">
      <c r="A271" s="0" t="str">
        <f aca="false">IF(Visitas!A271="","",Visitas!A271)</f>
        <v/>
      </c>
      <c r="B271" s="0" t="str">
        <f aca="false">IF($A271="","",Visitas!C271)</f>
        <v/>
      </c>
      <c r="C271" s="7" t="str">
        <f aca="false">IF($A271="","",Visitas!D271)</f>
        <v/>
      </c>
      <c r="D271" s="0" t="str">
        <f aca="false">IF($A271="","",Visitas!B271)</f>
        <v/>
      </c>
      <c r="E271" s="0" t="str">
        <f aca="false">IF($A271="","",Visitas!F271)</f>
        <v/>
      </c>
      <c r="F271" s="0" t="str">
        <f aca="false">IF($A271="","",SUMIFS(Avaliacoes!$G$2:$G$6000,Avaliacoes!$A$2:$A$6000,$A271,Avaliacoes!$F$2:$F$6000,"I",Avaliacoes!$H$2:$H$6000,0))</f>
        <v/>
      </c>
      <c r="G271" s="0" t="str">
        <f aca="false">IF($A271="","",SUMIFS(Avaliacoes!$G$2:$G$6000,Avaliacoes!$A$2:$A$6000,$A271,Avaliacoes!$F$2:$F$6000,"II",Avaliacoes!$H$2:$H$6000,0))</f>
        <v/>
      </c>
      <c r="H271" s="0" t="str">
        <f aca="false">IF($A271="","",SUMIFS(Avaliacoes!$G$2:$G$6000,Avaliacoes!$A$2:$A$6000,$A271,Avaliacoes!$F$2:$F$6000,"III",Avaliacoes!$H$2:$H$6000,0))</f>
        <v/>
      </c>
      <c r="I271" s="0" t="str">
        <f aca="false">IF($A271="","",SUMIFS(Avaliacoes!$G$2:$G$6000,Avaliacoes!$A$2:$A$6000,$A271,Avaliacoes!$F$2:$F$6000,"IV",Avaliacoes!$H$2:$H$6000,0))</f>
        <v/>
      </c>
      <c r="J271" s="0" t="str">
        <f aca="false">IF($A271="","",COUNTIFS(Avaliacoes!$A$2:$A$6000,$A271,Avaliacoes!$F$2:$F$6000,"I",Avaliacoes!$H$2:$H$6000,0,Avaliacoes!$G$2:$G$6000,"&lt;&gt;")*Dimensoes!$E$2)</f>
        <v/>
      </c>
      <c r="K271" s="0" t="str">
        <f aca="false">IF($A271="","",COUNTIFS(Avaliacoes!$A$2:$A$6000,$A271,Avaliacoes!$F$2:$F$6000,"II",Avaliacoes!$H$2:$H$6000,0,Avaliacoes!$G$2:$G$6000,"&lt;&gt;")*Dimensoes!$E$3)</f>
        <v/>
      </c>
      <c r="L271" s="0" t="str">
        <f aca="false">IF($A271="","",COUNTIFS(Avaliacoes!$A$2:$A$6000,$A271,Avaliacoes!$F$2:$F$6000,"III",Avaliacoes!$H$2:$H$6000,0,Avaliacoes!$G$2:$G$6000,"&lt;&gt;")*Dimensoes!$E$4)</f>
        <v/>
      </c>
      <c r="M271" s="0" t="str">
        <f aca="false">IF($A271="","",COUNTIFS(Avaliacoes!$A$2:$A$6000,$A271,Avaliacoes!$F$2:$F$6000,"IV",Avaliacoes!$H$2:$H$6000,0,Avaliacoes!$G$2:$G$6000,"&lt;&gt;")*Dimensoes!$E$5)</f>
        <v/>
      </c>
      <c r="N271" s="9" t="str">
        <f aca="false">IF($A271="","",IF(J271&gt;0,F271/J271,""))</f>
        <v/>
      </c>
      <c r="O271" s="9" t="str">
        <f aca="false">IF($A271="","",IF(K271&gt;0,G271/K271,""))</f>
        <v/>
      </c>
      <c r="P271" s="9" t="str">
        <f aca="false">IF($A271="","",IF(L271&gt;0,H271/L271,""))</f>
        <v/>
      </c>
      <c r="Q271" s="9" t="str">
        <f aca="false">IF($A271="","",IF(M271&gt;0,I271/M271,""))</f>
        <v/>
      </c>
      <c r="R271" s="17" t="str">
        <f aca="false">IF($A271="","",IF((IF(N271="",0,Dimensoes!$C$2)+IF(O271="",0,Dimensoes!$C$3)+IF(P271="",0,Dimensoes!$C$4)+IF(Q271="",0,Dimensoes!$C$5))=0,"",(IF(N271="",0,N271*Dimensoes!$C$2)+IF(O271="",0,O271*Dimensoes!$C$3)+IF(P271="",0,P271*Dimensoes!$C$4)+IF(Q271="",0,Q271*Dimensoes!$C$5))/(IF(N271="",0,Dimensoes!$C$2)+IF(O271="",0,Dimensoes!$C$3)+IF(P271="",0,Dimensoes!$C$4)+IF(Q271="",0,Dimensoes!$C$5))))</f>
        <v/>
      </c>
      <c r="S271" s="0" t="str">
        <f aca="false">IF(R271="","",IF(R271&lt;Faixas!$C$3,"vermelho",IF(R271&lt;Faixas!$C$4,"amarelo","verde")))</f>
        <v/>
      </c>
      <c r="T271" s="9" t="str">
        <f aca="false">IF($A271="","",IF(N271="",0,N271*Dimensoes!$C$2)+IF(O271="",0,O271*Dimensoes!$C$3)+IF(P271="",0,P271*Dimensoes!$C$4)+IF(Q271="",0,Q271*Dimensoes!$C$5))</f>
        <v/>
      </c>
      <c r="U271" s="0" t="str">
        <f aca="false">IF($A271="","",IF(OR(E271="concluida",E271="incompleta"),1,0))</f>
        <v/>
      </c>
    </row>
    <row r="272" customFormat="false" ht="15" hidden="false" customHeight="false" outlineLevel="0" collapsed="false">
      <c r="A272" s="0" t="str">
        <f aca="false">IF(Visitas!A272="","",Visitas!A272)</f>
        <v/>
      </c>
      <c r="B272" s="0" t="str">
        <f aca="false">IF($A272="","",Visitas!C272)</f>
        <v/>
      </c>
      <c r="C272" s="7" t="str">
        <f aca="false">IF($A272="","",Visitas!D272)</f>
        <v/>
      </c>
      <c r="D272" s="0" t="str">
        <f aca="false">IF($A272="","",Visitas!B272)</f>
        <v/>
      </c>
      <c r="E272" s="0" t="str">
        <f aca="false">IF($A272="","",Visitas!F272)</f>
        <v/>
      </c>
      <c r="F272" s="0" t="str">
        <f aca="false">IF($A272="","",SUMIFS(Avaliacoes!$G$2:$G$6000,Avaliacoes!$A$2:$A$6000,$A272,Avaliacoes!$F$2:$F$6000,"I",Avaliacoes!$H$2:$H$6000,0))</f>
        <v/>
      </c>
      <c r="G272" s="0" t="str">
        <f aca="false">IF($A272="","",SUMIFS(Avaliacoes!$G$2:$G$6000,Avaliacoes!$A$2:$A$6000,$A272,Avaliacoes!$F$2:$F$6000,"II",Avaliacoes!$H$2:$H$6000,0))</f>
        <v/>
      </c>
      <c r="H272" s="0" t="str">
        <f aca="false">IF($A272="","",SUMIFS(Avaliacoes!$G$2:$G$6000,Avaliacoes!$A$2:$A$6000,$A272,Avaliacoes!$F$2:$F$6000,"III",Avaliacoes!$H$2:$H$6000,0))</f>
        <v/>
      </c>
      <c r="I272" s="0" t="str">
        <f aca="false">IF($A272="","",SUMIFS(Avaliacoes!$G$2:$G$6000,Avaliacoes!$A$2:$A$6000,$A272,Avaliacoes!$F$2:$F$6000,"IV",Avaliacoes!$H$2:$H$6000,0))</f>
        <v/>
      </c>
      <c r="J272" s="0" t="str">
        <f aca="false">IF($A272="","",COUNTIFS(Avaliacoes!$A$2:$A$6000,$A272,Avaliacoes!$F$2:$F$6000,"I",Avaliacoes!$H$2:$H$6000,0,Avaliacoes!$G$2:$G$6000,"&lt;&gt;")*Dimensoes!$E$2)</f>
        <v/>
      </c>
      <c r="K272" s="0" t="str">
        <f aca="false">IF($A272="","",COUNTIFS(Avaliacoes!$A$2:$A$6000,$A272,Avaliacoes!$F$2:$F$6000,"II",Avaliacoes!$H$2:$H$6000,0,Avaliacoes!$G$2:$G$6000,"&lt;&gt;")*Dimensoes!$E$3)</f>
        <v/>
      </c>
      <c r="L272" s="0" t="str">
        <f aca="false">IF($A272="","",COUNTIFS(Avaliacoes!$A$2:$A$6000,$A272,Avaliacoes!$F$2:$F$6000,"III",Avaliacoes!$H$2:$H$6000,0,Avaliacoes!$G$2:$G$6000,"&lt;&gt;")*Dimensoes!$E$4)</f>
        <v/>
      </c>
      <c r="M272" s="0" t="str">
        <f aca="false">IF($A272="","",COUNTIFS(Avaliacoes!$A$2:$A$6000,$A272,Avaliacoes!$F$2:$F$6000,"IV",Avaliacoes!$H$2:$H$6000,0,Avaliacoes!$G$2:$G$6000,"&lt;&gt;")*Dimensoes!$E$5)</f>
        <v/>
      </c>
      <c r="N272" s="9" t="str">
        <f aca="false">IF($A272="","",IF(J272&gt;0,F272/J272,""))</f>
        <v/>
      </c>
      <c r="O272" s="9" t="str">
        <f aca="false">IF($A272="","",IF(K272&gt;0,G272/K272,""))</f>
        <v/>
      </c>
      <c r="P272" s="9" t="str">
        <f aca="false">IF($A272="","",IF(L272&gt;0,H272/L272,""))</f>
        <v/>
      </c>
      <c r="Q272" s="9" t="str">
        <f aca="false">IF($A272="","",IF(M272&gt;0,I272/M272,""))</f>
        <v/>
      </c>
      <c r="R272" s="17" t="str">
        <f aca="false">IF($A272="","",IF((IF(N272="",0,Dimensoes!$C$2)+IF(O272="",0,Dimensoes!$C$3)+IF(P272="",0,Dimensoes!$C$4)+IF(Q272="",0,Dimensoes!$C$5))=0,"",(IF(N272="",0,N272*Dimensoes!$C$2)+IF(O272="",0,O272*Dimensoes!$C$3)+IF(P272="",0,P272*Dimensoes!$C$4)+IF(Q272="",0,Q272*Dimensoes!$C$5))/(IF(N272="",0,Dimensoes!$C$2)+IF(O272="",0,Dimensoes!$C$3)+IF(P272="",0,Dimensoes!$C$4)+IF(Q272="",0,Dimensoes!$C$5))))</f>
        <v/>
      </c>
      <c r="S272" s="0" t="str">
        <f aca="false">IF(R272="","",IF(R272&lt;Faixas!$C$3,"vermelho",IF(R272&lt;Faixas!$C$4,"amarelo","verde")))</f>
        <v/>
      </c>
      <c r="T272" s="9" t="str">
        <f aca="false">IF($A272="","",IF(N272="",0,N272*Dimensoes!$C$2)+IF(O272="",0,O272*Dimensoes!$C$3)+IF(P272="",0,P272*Dimensoes!$C$4)+IF(Q272="",0,Q272*Dimensoes!$C$5))</f>
        <v/>
      </c>
      <c r="U272" s="0" t="str">
        <f aca="false">IF($A272="","",IF(OR(E272="concluida",E272="incompleta"),1,0))</f>
        <v/>
      </c>
    </row>
    <row r="273" customFormat="false" ht="15" hidden="false" customHeight="false" outlineLevel="0" collapsed="false">
      <c r="A273" s="0" t="str">
        <f aca="false">IF(Visitas!A273="","",Visitas!A273)</f>
        <v/>
      </c>
      <c r="B273" s="0" t="str">
        <f aca="false">IF($A273="","",Visitas!C273)</f>
        <v/>
      </c>
      <c r="C273" s="7" t="str">
        <f aca="false">IF($A273="","",Visitas!D273)</f>
        <v/>
      </c>
      <c r="D273" s="0" t="str">
        <f aca="false">IF($A273="","",Visitas!B273)</f>
        <v/>
      </c>
      <c r="E273" s="0" t="str">
        <f aca="false">IF($A273="","",Visitas!F273)</f>
        <v/>
      </c>
      <c r="F273" s="0" t="str">
        <f aca="false">IF($A273="","",SUMIFS(Avaliacoes!$G$2:$G$6000,Avaliacoes!$A$2:$A$6000,$A273,Avaliacoes!$F$2:$F$6000,"I",Avaliacoes!$H$2:$H$6000,0))</f>
        <v/>
      </c>
      <c r="G273" s="0" t="str">
        <f aca="false">IF($A273="","",SUMIFS(Avaliacoes!$G$2:$G$6000,Avaliacoes!$A$2:$A$6000,$A273,Avaliacoes!$F$2:$F$6000,"II",Avaliacoes!$H$2:$H$6000,0))</f>
        <v/>
      </c>
      <c r="H273" s="0" t="str">
        <f aca="false">IF($A273="","",SUMIFS(Avaliacoes!$G$2:$G$6000,Avaliacoes!$A$2:$A$6000,$A273,Avaliacoes!$F$2:$F$6000,"III",Avaliacoes!$H$2:$H$6000,0))</f>
        <v/>
      </c>
      <c r="I273" s="0" t="str">
        <f aca="false">IF($A273="","",SUMIFS(Avaliacoes!$G$2:$G$6000,Avaliacoes!$A$2:$A$6000,$A273,Avaliacoes!$F$2:$F$6000,"IV",Avaliacoes!$H$2:$H$6000,0))</f>
        <v/>
      </c>
      <c r="J273" s="0" t="str">
        <f aca="false">IF($A273="","",COUNTIFS(Avaliacoes!$A$2:$A$6000,$A273,Avaliacoes!$F$2:$F$6000,"I",Avaliacoes!$H$2:$H$6000,0,Avaliacoes!$G$2:$G$6000,"&lt;&gt;")*Dimensoes!$E$2)</f>
        <v/>
      </c>
      <c r="K273" s="0" t="str">
        <f aca="false">IF($A273="","",COUNTIFS(Avaliacoes!$A$2:$A$6000,$A273,Avaliacoes!$F$2:$F$6000,"II",Avaliacoes!$H$2:$H$6000,0,Avaliacoes!$G$2:$G$6000,"&lt;&gt;")*Dimensoes!$E$3)</f>
        <v/>
      </c>
      <c r="L273" s="0" t="str">
        <f aca="false">IF($A273="","",COUNTIFS(Avaliacoes!$A$2:$A$6000,$A273,Avaliacoes!$F$2:$F$6000,"III",Avaliacoes!$H$2:$H$6000,0,Avaliacoes!$G$2:$G$6000,"&lt;&gt;")*Dimensoes!$E$4)</f>
        <v/>
      </c>
      <c r="M273" s="0" t="str">
        <f aca="false">IF($A273="","",COUNTIFS(Avaliacoes!$A$2:$A$6000,$A273,Avaliacoes!$F$2:$F$6000,"IV",Avaliacoes!$H$2:$H$6000,0,Avaliacoes!$G$2:$G$6000,"&lt;&gt;")*Dimensoes!$E$5)</f>
        <v/>
      </c>
      <c r="N273" s="9" t="str">
        <f aca="false">IF($A273="","",IF(J273&gt;0,F273/J273,""))</f>
        <v/>
      </c>
      <c r="O273" s="9" t="str">
        <f aca="false">IF($A273="","",IF(K273&gt;0,G273/K273,""))</f>
        <v/>
      </c>
      <c r="P273" s="9" t="str">
        <f aca="false">IF($A273="","",IF(L273&gt;0,H273/L273,""))</f>
        <v/>
      </c>
      <c r="Q273" s="9" t="str">
        <f aca="false">IF($A273="","",IF(M273&gt;0,I273/M273,""))</f>
        <v/>
      </c>
      <c r="R273" s="17" t="str">
        <f aca="false">IF($A273="","",IF((IF(N273="",0,Dimensoes!$C$2)+IF(O273="",0,Dimensoes!$C$3)+IF(P273="",0,Dimensoes!$C$4)+IF(Q273="",0,Dimensoes!$C$5))=0,"",(IF(N273="",0,N273*Dimensoes!$C$2)+IF(O273="",0,O273*Dimensoes!$C$3)+IF(P273="",0,P273*Dimensoes!$C$4)+IF(Q273="",0,Q273*Dimensoes!$C$5))/(IF(N273="",0,Dimensoes!$C$2)+IF(O273="",0,Dimensoes!$C$3)+IF(P273="",0,Dimensoes!$C$4)+IF(Q273="",0,Dimensoes!$C$5))))</f>
        <v/>
      </c>
      <c r="S273" s="0" t="str">
        <f aca="false">IF(R273="","",IF(R273&lt;Faixas!$C$3,"vermelho",IF(R273&lt;Faixas!$C$4,"amarelo","verde")))</f>
        <v/>
      </c>
      <c r="T273" s="9" t="str">
        <f aca="false">IF($A273="","",IF(N273="",0,N273*Dimensoes!$C$2)+IF(O273="",0,O273*Dimensoes!$C$3)+IF(P273="",0,P273*Dimensoes!$C$4)+IF(Q273="",0,Q273*Dimensoes!$C$5))</f>
        <v/>
      </c>
      <c r="U273" s="0" t="str">
        <f aca="false">IF($A273="","",IF(OR(E273="concluida",E273="incompleta"),1,0))</f>
        <v/>
      </c>
    </row>
    <row r="274" customFormat="false" ht="15" hidden="false" customHeight="false" outlineLevel="0" collapsed="false">
      <c r="A274" s="0" t="str">
        <f aca="false">IF(Visitas!A274="","",Visitas!A274)</f>
        <v/>
      </c>
      <c r="B274" s="0" t="str">
        <f aca="false">IF($A274="","",Visitas!C274)</f>
        <v/>
      </c>
      <c r="C274" s="7" t="str">
        <f aca="false">IF($A274="","",Visitas!D274)</f>
        <v/>
      </c>
      <c r="D274" s="0" t="str">
        <f aca="false">IF($A274="","",Visitas!B274)</f>
        <v/>
      </c>
      <c r="E274" s="0" t="str">
        <f aca="false">IF($A274="","",Visitas!F274)</f>
        <v/>
      </c>
      <c r="F274" s="0" t="str">
        <f aca="false">IF($A274="","",SUMIFS(Avaliacoes!$G$2:$G$6000,Avaliacoes!$A$2:$A$6000,$A274,Avaliacoes!$F$2:$F$6000,"I",Avaliacoes!$H$2:$H$6000,0))</f>
        <v/>
      </c>
      <c r="G274" s="0" t="str">
        <f aca="false">IF($A274="","",SUMIFS(Avaliacoes!$G$2:$G$6000,Avaliacoes!$A$2:$A$6000,$A274,Avaliacoes!$F$2:$F$6000,"II",Avaliacoes!$H$2:$H$6000,0))</f>
        <v/>
      </c>
      <c r="H274" s="0" t="str">
        <f aca="false">IF($A274="","",SUMIFS(Avaliacoes!$G$2:$G$6000,Avaliacoes!$A$2:$A$6000,$A274,Avaliacoes!$F$2:$F$6000,"III",Avaliacoes!$H$2:$H$6000,0))</f>
        <v/>
      </c>
      <c r="I274" s="0" t="str">
        <f aca="false">IF($A274="","",SUMIFS(Avaliacoes!$G$2:$G$6000,Avaliacoes!$A$2:$A$6000,$A274,Avaliacoes!$F$2:$F$6000,"IV",Avaliacoes!$H$2:$H$6000,0))</f>
        <v/>
      </c>
      <c r="J274" s="0" t="str">
        <f aca="false">IF($A274="","",COUNTIFS(Avaliacoes!$A$2:$A$6000,$A274,Avaliacoes!$F$2:$F$6000,"I",Avaliacoes!$H$2:$H$6000,0,Avaliacoes!$G$2:$G$6000,"&lt;&gt;")*Dimensoes!$E$2)</f>
        <v/>
      </c>
      <c r="K274" s="0" t="str">
        <f aca="false">IF($A274="","",COUNTIFS(Avaliacoes!$A$2:$A$6000,$A274,Avaliacoes!$F$2:$F$6000,"II",Avaliacoes!$H$2:$H$6000,0,Avaliacoes!$G$2:$G$6000,"&lt;&gt;")*Dimensoes!$E$3)</f>
        <v/>
      </c>
      <c r="L274" s="0" t="str">
        <f aca="false">IF($A274="","",COUNTIFS(Avaliacoes!$A$2:$A$6000,$A274,Avaliacoes!$F$2:$F$6000,"III",Avaliacoes!$H$2:$H$6000,0,Avaliacoes!$G$2:$G$6000,"&lt;&gt;")*Dimensoes!$E$4)</f>
        <v/>
      </c>
      <c r="M274" s="0" t="str">
        <f aca="false">IF($A274="","",COUNTIFS(Avaliacoes!$A$2:$A$6000,$A274,Avaliacoes!$F$2:$F$6000,"IV",Avaliacoes!$H$2:$H$6000,0,Avaliacoes!$G$2:$G$6000,"&lt;&gt;")*Dimensoes!$E$5)</f>
        <v/>
      </c>
      <c r="N274" s="9" t="str">
        <f aca="false">IF($A274="","",IF(J274&gt;0,F274/J274,""))</f>
        <v/>
      </c>
      <c r="O274" s="9" t="str">
        <f aca="false">IF($A274="","",IF(K274&gt;0,G274/K274,""))</f>
        <v/>
      </c>
      <c r="P274" s="9" t="str">
        <f aca="false">IF($A274="","",IF(L274&gt;0,H274/L274,""))</f>
        <v/>
      </c>
      <c r="Q274" s="9" t="str">
        <f aca="false">IF($A274="","",IF(M274&gt;0,I274/M274,""))</f>
        <v/>
      </c>
      <c r="R274" s="17" t="str">
        <f aca="false">IF($A274="","",IF((IF(N274="",0,Dimensoes!$C$2)+IF(O274="",0,Dimensoes!$C$3)+IF(P274="",0,Dimensoes!$C$4)+IF(Q274="",0,Dimensoes!$C$5))=0,"",(IF(N274="",0,N274*Dimensoes!$C$2)+IF(O274="",0,O274*Dimensoes!$C$3)+IF(P274="",0,P274*Dimensoes!$C$4)+IF(Q274="",0,Q274*Dimensoes!$C$5))/(IF(N274="",0,Dimensoes!$C$2)+IF(O274="",0,Dimensoes!$C$3)+IF(P274="",0,Dimensoes!$C$4)+IF(Q274="",0,Dimensoes!$C$5))))</f>
        <v/>
      </c>
      <c r="S274" s="0" t="str">
        <f aca="false">IF(R274="","",IF(R274&lt;Faixas!$C$3,"vermelho",IF(R274&lt;Faixas!$C$4,"amarelo","verde")))</f>
        <v/>
      </c>
      <c r="T274" s="9" t="str">
        <f aca="false">IF($A274="","",IF(N274="",0,N274*Dimensoes!$C$2)+IF(O274="",0,O274*Dimensoes!$C$3)+IF(P274="",0,P274*Dimensoes!$C$4)+IF(Q274="",0,Q274*Dimensoes!$C$5))</f>
        <v/>
      </c>
      <c r="U274" s="0" t="str">
        <f aca="false">IF($A274="","",IF(OR(E274="concluida",E274="incompleta"),1,0))</f>
        <v/>
      </c>
    </row>
    <row r="275" customFormat="false" ht="15" hidden="false" customHeight="false" outlineLevel="0" collapsed="false">
      <c r="A275" s="0" t="str">
        <f aca="false">IF(Visitas!A275="","",Visitas!A275)</f>
        <v/>
      </c>
      <c r="B275" s="0" t="str">
        <f aca="false">IF($A275="","",Visitas!C275)</f>
        <v/>
      </c>
      <c r="C275" s="7" t="str">
        <f aca="false">IF($A275="","",Visitas!D275)</f>
        <v/>
      </c>
      <c r="D275" s="0" t="str">
        <f aca="false">IF($A275="","",Visitas!B275)</f>
        <v/>
      </c>
      <c r="E275" s="0" t="str">
        <f aca="false">IF($A275="","",Visitas!F275)</f>
        <v/>
      </c>
      <c r="F275" s="0" t="str">
        <f aca="false">IF($A275="","",SUMIFS(Avaliacoes!$G$2:$G$6000,Avaliacoes!$A$2:$A$6000,$A275,Avaliacoes!$F$2:$F$6000,"I",Avaliacoes!$H$2:$H$6000,0))</f>
        <v/>
      </c>
      <c r="G275" s="0" t="str">
        <f aca="false">IF($A275="","",SUMIFS(Avaliacoes!$G$2:$G$6000,Avaliacoes!$A$2:$A$6000,$A275,Avaliacoes!$F$2:$F$6000,"II",Avaliacoes!$H$2:$H$6000,0))</f>
        <v/>
      </c>
      <c r="H275" s="0" t="str">
        <f aca="false">IF($A275="","",SUMIFS(Avaliacoes!$G$2:$G$6000,Avaliacoes!$A$2:$A$6000,$A275,Avaliacoes!$F$2:$F$6000,"III",Avaliacoes!$H$2:$H$6000,0))</f>
        <v/>
      </c>
      <c r="I275" s="0" t="str">
        <f aca="false">IF($A275="","",SUMIFS(Avaliacoes!$G$2:$G$6000,Avaliacoes!$A$2:$A$6000,$A275,Avaliacoes!$F$2:$F$6000,"IV",Avaliacoes!$H$2:$H$6000,0))</f>
        <v/>
      </c>
      <c r="J275" s="0" t="str">
        <f aca="false">IF($A275="","",COUNTIFS(Avaliacoes!$A$2:$A$6000,$A275,Avaliacoes!$F$2:$F$6000,"I",Avaliacoes!$H$2:$H$6000,0,Avaliacoes!$G$2:$G$6000,"&lt;&gt;")*Dimensoes!$E$2)</f>
        <v/>
      </c>
      <c r="K275" s="0" t="str">
        <f aca="false">IF($A275="","",COUNTIFS(Avaliacoes!$A$2:$A$6000,$A275,Avaliacoes!$F$2:$F$6000,"II",Avaliacoes!$H$2:$H$6000,0,Avaliacoes!$G$2:$G$6000,"&lt;&gt;")*Dimensoes!$E$3)</f>
        <v/>
      </c>
      <c r="L275" s="0" t="str">
        <f aca="false">IF($A275="","",COUNTIFS(Avaliacoes!$A$2:$A$6000,$A275,Avaliacoes!$F$2:$F$6000,"III",Avaliacoes!$H$2:$H$6000,0,Avaliacoes!$G$2:$G$6000,"&lt;&gt;")*Dimensoes!$E$4)</f>
        <v/>
      </c>
      <c r="M275" s="0" t="str">
        <f aca="false">IF($A275="","",COUNTIFS(Avaliacoes!$A$2:$A$6000,$A275,Avaliacoes!$F$2:$F$6000,"IV",Avaliacoes!$H$2:$H$6000,0,Avaliacoes!$G$2:$G$6000,"&lt;&gt;")*Dimensoes!$E$5)</f>
        <v/>
      </c>
      <c r="N275" s="9" t="str">
        <f aca="false">IF($A275="","",IF(J275&gt;0,F275/J275,""))</f>
        <v/>
      </c>
      <c r="O275" s="9" t="str">
        <f aca="false">IF($A275="","",IF(K275&gt;0,G275/K275,""))</f>
        <v/>
      </c>
      <c r="P275" s="9" t="str">
        <f aca="false">IF($A275="","",IF(L275&gt;0,H275/L275,""))</f>
        <v/>
      </c>
      <c r="Q275" s="9" t="str">
        <f aca="false">IF($A275="","",IF(M275&gt;0,I275/M275,""))</f>
        <v/>
      </c>
      <c r="R275" s="17" t="str">
        <f aca="false">IF($A275="","",IF((IF(N275="",0,Dimensoes!$C$2)+IF(O275="",0,Dimensoes!$C$3)+IF(P275="",0,Dimensoes!$C$4)+IF(Q275="",0,Dimensoes!$C$5))=0,"",(IF(N275="",0,N275*Dimensoes!$C$2)+IF(O275="",0,O275*Dimensoes!$C$3)+IF(P275="",0,P275*Dimensoes!$C$4)+IF(Q275="",0,Q275*Dimensoes!$C$5))/(IF(N275="",0,Dimensoes!$C$2)+IF(O275="",0,Dimensoes!$C$3)+IF(P275="",0,Dimensoes!$C$4)+IF(Q275="",0,Dimensoes!$C$5))))</f>
        <v/>
      </c>
      <c r="S275" s="0" t="str">
        <f aca="false">IF(R275="","",IF(R275&lt;Faixas!$C$3,"vermelho",IF(R275&lt;Faixas!$C$4,"amarelo","verde")))</f>
        <v/>
      </c>
      <c r="T275" s="9" t="str">
        <f aca="false">IF($A275="","",IF(N275="",0,N275*Dimensoes!$C$2)+IF(O275="",0,O275*Dimensoes!$C$3)+IF(P275="",0,P275*Dimensoes!$C$4)+IF(Q275="",0,Q275*Dimensoes!$C$5))</f>
        <v/>
      </c>
      <c r="U275" s="0" t="str">
        <f aca="false">IF($A275="","",IF(OR(E275="concluida",E275="incompleta"),1,0))</f>
        <v/>
      </c>
    </row>
    <row r="276" customFormat="false" ht="15" hidden="false" customHeight="false" outlineLevel="0" collapsed="false">
      <c r="A276" s="0" t="str">
        <f aca="false">IF(Visitas!A276="","",Visitas!A276)</f>
        <v/>
      </c>
      <c r="B276" s="0" t="str">
        <f aca="false">IF($A276="","",Visitas!C276)</f>
        <v/>
      </c>
      <c r="C276" s="7" t="str">
        <f aca="false">IF($A276="","",Visitas!D276)</f>
        <v/>
      </c>
      <c r="D276" s="0" t="str">
        <f aca="false">IF($A276="","",Visitas!B276)</f>
        <v/>
      </c>
      <c r="E276" s="0" t="str">
        <f aca="false">IF($A276="","",Visitas!F276)</f>
        <v/>
      </c>
      <c r="F276" s="0" t="str">
        <f aca="false">IF($A276="","",SUMIFS(Avaliacoes!$G$2:$G$6000,Avaliacoes!$A$2:$A$6000,$A276,Avaliacoes!$F$2:$F$6000,"I",Avaliacoes!$H$2:$H$6000,0))</f>
        <v/>
      </c>
      <c r="G276" s="0" t="str">
        <f aca="false">IF($A276="","",SUMIFS(Avaliacoes!$G$2:$G$6000,Avaliacoes!$A$2:$A$6000,$A276,Avaliacoes!$F$2:$F$6000,"II",Avaliacoes!$H$2:$H$6000,0))</f>
        <v/>
      </c>
      <c r="H276" s="0" t="str">
        <f aca="false">IF($A276="","",SUMIFS(Avaliacoes!$G$2:$G$6000,Avaliacoes!$A$2:$A$6000,$A276,Avaliacoes!$F$2:$F$6000,"III",Avaliacoes!$H$2:$H$6000,0))</f>
        <v/>
      </c>
      <c r="I276" s="0" t="str">
        <f aca="false">IF($A276="","",SUMIFS(Avaliacoes!$G$2:$G$6000,Avaliacoes!$A$2:$A$6000,$A276,Avaliacoes!$F$2:$F$6000,"IV",Avaliacoes!$H$2:$H$6000,0))</f>
        <v/>
      </c>
      <c r="J276" s="0" t="str">
        <f aca="false">IF($A276="","",COUNTIFS(Avaliacoes!$A$2:$A$6000,$A276,Avaliacoes!$F$2:$F$6000,"I",Avaliacoes!$H$2:$H$6000,0,Avaliacoes!$G$2:$G$6000,"&lt;&gt;")*Dimensoes!$E$2)</f>
        <v/>
      </c>
      <c r="K276" s="0" t="str">
        <f aca="false">IF($A276="","",COUNTIFS(Avaliacoes!$A$2:$A$6000,$A276,Avaliacoes!$F$2:$F$6000,"II",Avaliacoes!$H$2:$H$6000,0,Avaliacoes!$G$2:$G$6000,"&lt;&gt;")*Dimensoes!$E$3)</f>
        <v/>
      </c>
      <c r="L276" s="0" t="str">
        <f aca="false">IF($A276="","",COUNTIFS(Avaliacoes!$A$2:$A$6000,$A276,Avaliacoes!$F$2:$F$6000,"III",Avaliacoes!$H$2:$H$6000,0,Avaliacoes!$G$2:$G$6000,"&lt;&gt;")*Dimensoes!$E$4)</f>
        <v/>
      </c>
      <c r="M276" s="0" t="str">
        <f aca="false">IF($A276="","",COUNTIFS(Avaliacoes!$A$2:$A$6000,$A276,Avaliacoes!$F$2:$F$6000,"IV",Avaliacoes!$H$2:$H$6000,0,Avaliacoes!$G$2:$G$6000,"&lt;&gt;")*Dimensoes!$E$5)</f>
        <v/>
      </c>
      <c r="N276" s="9" t="str">
        <f aca="false">IF($A276="","",IF(J276&gt;0,F276/J276,""))</f>
        <v/>
      </c>
      <c r="O276" s="9" t="str">
        <f aca="false">IF($A276="","",IF(K276&gt;0,G276/K276,""))</f>
        <v/>
      </c>
      <c r="P276" s="9" t="str">
        <f aca="false">IF($A276="","",IF(L276&gt;0,H276/L276,""))</f>
        <v/>
      </c>
      <c r="Q276" s="9" t="str">
        <f aca="false">IF($A276="","",IF(M276&gt;0,I276/M276,""))</f>
        <v/>
      </c>
      <c r="R276" s="17" t="str">
        <f aca="false">IF($A276="","",IF((IF(N276="",0,Dimensoes!$C$2)+IF(O276="",0,Dimensoes!$C$3)+IF(P276="",0,Dimensoes!$C$4)+IF(Q276="",0,Dimensoes!$C$5))=0,"",(IF(N276="",0,N276*Dimensoes!$C$2)+IF(O276="",0,O276*Dimensoes!$C$3)+IF(P276="",0,P276*Dimensoes!$C$4)+IF(Q276="",0,Q276*Dimensoes!$C$5))/(IF(N276="",0,Dimensoes!$C$2)+IF(O276="",0,Dimensoes!$C$3)+IF(P276="",0,Dimensoes!$C$4)+IF(Q276="",0,Dimensoes!$C$5))))</f>
        <v/>
      </c>
      <c r="S276" s="0" t="str">
        <f aca="false">IF(R276="","",IF(R276&lt;Faixas!$C$3,"vermelho",IF(R276&lt;Faixas!$C$4,"amarelo","verde")))</f>
        <v/>
      </c>
      <c r="T276" s="9" t="str">
        <f aca="false">IF($A276="","",IF(N276="",0,N276*Dimensoes!$C$2)+IF(O276="",0,O276*Dimensoes!$C$3)+IF(P276="",0,P276*Dimensoes!$C$4)+IF(Q276="",0,Q276*Dimensoes!$C$5))</f>
        <v/>
      </c>
      <c r="U276" s="0" t="str">
        <f aca="false">IF($A276="","",IF(OR(E276="concluida",E276="incompleta"),1,0))</f>
        <v/>
      </c>
    </row>
    <row r="277" customFormat="false" ht="15" hidden="false" customHeight="false" outlineLevel="0" collapsed="false">
      <c r="A277" s="0" t="str">
        <f aca="false">IF(Visitas!A277="","",Visitas!A277)</f>
        <v/>
      </c>
      <c r="B277" s="0" t="str">
        <f aca="false">IF($A277="","",Visitas!C277)</f>
        <v/>
      </c>
      <c r="C277" s="7" t="str">
        <f aca="false">IF($A277="","",Visitas!D277)</f>
        <v/>
      </c>
      <c r="D277" s="0" t="str">
        <f aca="false">IF($A277="","",Visitas!B277)</f>
        <v/>
      </c>
      <c r="E277" s="0" t="str">
        <f aca="false">IF($A277="","",Visitas!F277)</f>
        <v/>
      </c>
      <c r="F277" s="0" t="str">
        <f aca="false">IF($A277="","",SUMIFS(Avaliacoes!$G$2:$G$6000,Avaliacoes!$A$2:$A$6000,$A277,Avaliacoes!$F$2:$F$6000,"I",Avaliacoes!$H$2:$H$6000,0))</f>
        <v/>
      </c>
      <c r="G277" s="0" t="str">
        <f aca="false">IF($A277="","",SUMIFS(Avaliacoes!$G$2:$G$6000,Avaliacoes!$A$2:$A$6000,$A277,Avaliacoes!$F$2:$F$6000,"II",Avaliacoes!$H$2:$H$6000,0))</f>
        <v/>
      </c>
      <c r="H277" s="0" t="str">
        <f aca="false">IF($A277="","",SUMIFS(Avaliacoes!$G$2:$G$6000,Avaliacoes!$A$2:$A$6000,$A277,Avaliacoes!$F$2:$F$6000,"III",Avaliacoes!$H$2:$H$6000,0))</f>
        <v/>
      </c>
      <c r="I277" s="0" t="str">
        <f aca="false">IF($A277="","",SUMIFS(Avaliacoes!$G$2:$G$6000,Avaliacoes!$A$2:$A$6000,$A277,Avaliacoes!$F$2:$F$6000,"IV",Avaliacoes!$H$2:$H$6000,0))</f>
        <v/>
      </c>
      <c r="J277" s="0" t="str">
        <f aca="false">IF($A277="","",COUNTIFS(Avaliacoes!$A$2:$A$6000,$A277,Avaliacoes!$F$2:$F$6000,"I",Avaliacoes!$H$2:$H$6000,0,Avaliacoes!$G$2:$G$6000,"&lt;&gt;")*Dimensoes!$E$2)</f>
        <v/>
      </c>
      <c r="K277" s="0" t="str">
        <f aca="false">IF($A277="","",COUNTIFS(Avaliacoes!$A$2:$A$6000,$A277,Avaliacoes!$F$2:$F$6000,"II",Avaliacoes!$H$2:$H$6000,0,Avaliacoes!$G$2:$G$6000,"&lt;&gt;")*Dimensoes!$E$3)</f>
        <v/>
      </c>
      <c r="L277" s="0" t="str">
        <f aca="false">IF($A277="","",COUNTIFS(Avaliacoes!$A$2:$A$6000,$A277,Avaliacoes!$F$2:$F$6000,"III",Avaliacoes!$H$2:$H$6000,0,Avaliacoes!$G$2:$G$6000,"&lt;&gt;")*Dimensoes!$E$4)</f>
        <v/>
      </c>
      <c r="M277" s="0" t="str">
        <f aca="false">IF($A277="","",COUNTIFS(Avaliacoes!$A$2:$A$6000,$A277,Avaliacoes!$F$2:$F$6000,"IV",Avaliacoes!$H$2:$H$6000,0,Avaliacoes!$G$2:$G$6000,"&lt;&gt;")*Dimensoes!$E$5)</f>
        <v/>
      </c>
      <c r="N277" s="9" t="str">
        <f aca="false">IF($A277="","",IF(J277&gt;0,F277/J277,""))</f>
        <v/>
      </c>
      <c r="O277" s="9" t="str">
        <f aca="false">IF($A277="","",IF(K277&gt;0,G277/K277,""))</f>
        <v/>
      </c>
      <c r="P277" s="9" t="str">
        <f aca="false">IF($A277="","",IF(L277&gt;0,H277/L277,""))</f>
        <v/>
      </c>
      <c r="Q277" s="9" t="str">
        <f aca="false">IF($A277="","",IF(M277&gt;0,I277/M277,""))</f>
        <v/>
      </c>
      <c r="R277" s="17" t="str">
        <f aca="false">IF($A277="","",IF((IF(N277="",0,Dimensoes!$C$2)+IF(O277="",0,Dimensoes!$C$3)+IF(P277="",0,Dimensoes!$C$4)+IF(Q277="",0,Dimensoes!$C$5))=0,"",(IF(N277="",0,N277*Dimensoes!$C$2)+IF(O277="",0,O277*Dimensoes!$C$3)+IF(P277="",0,P277*Dimensoes!$C$4)+IF(Q277="",0,Q277*Dimensoes!$C$5))/(IF(N277="",0,Dimensoes!$C$2)+IF(O277="",0,Dimensoes!$C$3)+IF(P277="",0,Dimensoes!$C$4)+IF(Q277="",0,Dimensoes!$C$5))))</f>
        <v/>
      </c>
      <c r="S277" s="0" t="str">
        <f aca="false">IF(R277="","",IF(R277&lt;Faixas!$C$3,"vermelho",IF(R277&lt;Faixas!$C$4,"amarelo","verde")))</f>
        <v/>
      </c>
      <c r="T277" s="9" t="str">
        <f aca="false">IF($A277="","",IF(N277="",0,N277*Dimensoes!$C$2)+IF(O277="",0,O277*Dimensoes!$C$3)+IF(P277="",0,P277*Dimensoes!$C$4)+IF(Q277="",0,Q277*Dimensoes!$C$5))</f>
        <v/>
      </c>
      <c r="U277" s="0" t="str">
        <f aca="false">IF($A277="","",IF(OR(E277="concluida",E277="incompleta"),1,0))</f>
        <v/>
      </c>
    </row>
    <row r="278" customFormat="false" ht="15" hidden="false" customHeight="false" outlineLevel="0" collapsed="false">
      <c r="A278" s="0" t="str">
        <f aca="false">IF(Visitas!A278="","",Visitas!A278)</f>
        <v/>
      </c>
      <c r="B278" s="0" t="str">
        <f aca="false">IF($A278="","",Visitas!C278)</f>
        <v/>
      </c>
      <c r="C278" s="7" t="str">
        <f aca="false">IF($A278="","",Visitas!D278)</f>
        <v/>
      </c>
      <c r="D278" s="0" t="str">
        <f aca="false">IF($A278="","",Visitas!B278)</f>
        <v/>
      </c>
      <c r="E278" s="0" t="str">
        <f aca="false">IF($A278="","",Visitas!F278)</f>
        <v/>
      </c>
      <c r="F278" s="0" t="str">
        <f aca="false">IF($A278="","",SUMIFS(Avaliacoes!$G$2:$G$6000,Avaliacoes!$A$2:$A$6000,$A278,Avaliacoes!$F$2:$F$6000,"I",Avaliacoes!$H$2:$H$6000,0))</f>
        <v/>
      </c>
      <c r="G278" s="0" t="str">
        <f aca="false">IF($A278="","",SUMIFS(Avaliacoes!$G$2:$G$6000,Avaliacoes!$A$2:$A$6000,$A278,Avaliacoes!$F$2:$F$6000,"II",Avaliacoes!$H$2:$H$6000,0))</f>
        <v/>
      </c>
      <c r="H278" s="0" t="str">
        <f aca="false">IF($A278="","",SUMIFS(Avaliacoes!$G$2:$G$6000,Avaliacoes!$A$2:$A$6000,$A278,Avaliacoes!$F$2:$F$6000,"III",Avaliacoes!$H$2:$H$6000,0))</f>
        <v/>
      </c>
      <c r="I278" s="0" t="str">
        <f aca="false">IF($A278="","",SUMIFS(Avaliacoes!$G$2:$G$6000,Avaliacoes!$A$2:$A$6000,$A278,Avaliacoes!$F$2:$F$6000,"IV",Avaliacoes!$H$2:$H$6000,0))</f>
        <v/>
      </c>
      <c r="J278" s="0" t="str">
        <f aca="false">IF($A278="","",COUNTIFS(Avaliacoes!$A$2:$A$6000,$A278,Avaliacoes!$F$2:$F$6000,"I",Avaliacoes!$H$2:$H$6000,0,Avaliacoes!$G$2:$G$6000,"&lt;&gt;")*Dimensoes!$E$2)</f>
        <v/>
      </c>
      <c r="K278" s="0" t="str">
        <f aca="false">IF($A278="","",COUNTIFS(Avaliacoes!$A$2:$A$6000,$A278,Avaliacoes!$F$2:$F$6000,"II",Avaliacoes!$H$2:$H$6000,0,Avaliacoes!$G$2:$G$6000,"&lt;&gt;")*Dimensoes!$E$3)</f>
        <v/>
      </c>
      <c r="L278" s="0" t="str">
        <f aca="false">IF($A278="","",COUNTIFS(Avaliacoes!$A$2:$A$6000,$A278,Avaliacoes!$F$2:$F$6000,"III",Avaliacoes!$H$2:$H$6000,0,Avaliacoes!$G$2:$G$6000,"&lt;&gt;")*Dimensoes!$E$4)</f>
        <v/>
      </c>
      <c r="M278" s="0" t="str">
        <f aca="false">IF($A278="","",COUNTIFS(Avaliacoes!$A$2:$A$6000,$A278,Avaliacoes!$F$2:$F$6000,"IV",Avaliacoes!$H$2:$H$6000,0,Avaliacoes!$G$2:$G$6000,"&lt;&gt;")*Dimensoes!$E$5)</f>
        <v/>
      </c>
      <c r="N278" s="9" t="str">
        <f aca="false">IF($A278="","",IF(J278&gt;0,F278/J278,""))</f>
        <v/>
      </c>
      <c r="O278" s="9" t="str">
        <f aca="false">IF($A278="","",IF(K278&gt;0,G278/K278,""))</f>
        <v/>
      </c>
      <c r="P278" s="9" t="str">
        <f aca="false">IF($A278="","",IF(L278&gt;0,H278/L278,""))</f>
        <v/>
      </c>
      <c r="Q278" s="9" t="str">
        <f aca="false">IF($A278="","",IF(M278&gt;0,I278/M278,""))</f>
        <v/>
      </c>
      <c r="R278" s="17" t="str">
        <f aca="false">IF($A278="","",IF((IF(N278="",0,Dimensoes!$C$2)+IF(O278="",0,Dimensoes!$C$3)+IF(P278="",0,Dimensoes!$C$4)+IF(Q278="",0,Dimensoes!$C$5))=0,"",(IF(N278="",0,N278*Dimensoes!$C$2)+IF(O278="",0,O278*Dimensoes!$C$3)+IF(P278="",0,P278*Dimensoes!$C$4)+IF(Q278="",0,Q278*Dimensoes!$C$5))/(IF(N278="",0,Dimensoes!$C$2)+IF(O278="",0,Dimensoes!$C$3)+IF(P278="",0,Dimensoes!$C$4)+IF(Q278="",0,Dimensoes!$C$5))))</f>
        <v/>
      </c>
      <c r="S278" s="0" t="str">
        <f aca="false">IF(R278="","",IF(R278&lt;Faixas!$C$3,"vermelho",IF(R278&lt;Faixas!$C$4,"amarelo","verde")))</f>
        <v/>
      </c>
      <c r="T278" s="9" t="str">
        <f aca="false">IF($A278="","",IF(N278="",0,N278*Dimensoes!$C$2)+IF(O278="",0,O278*Dimensoes!$C$3)+IF(P278="",0,P278*Dimensoes!$C$4)+IF(Q278="",0,Q278*Dimensoes!$C$5))</f>
        <v/>
      </c>
      <c r="U278" s="0" t="str">
        <f aca="false">IF($A278="","",IF(OR(E278="concluida",E278="incompleta"),1,0))</f>
        <v/>
      </c>
    </row>
    <row r="279" customFormat="false" ht="15" hidden="false" customHeight="false" outlineLevel="0" collapsed="false">
      <c r="A279" s="0" t="str">
        <f aca="false">IF(Visitas!A279="","",Visitas!A279)</f>
        <v/>
      </c>
      <c r="B279" s="0" t="str">
        <f aca="false">IF($A279="","",Visitas!C279)</f>
        <v/>
      </c>
      <c r="C279" s="7" t="str">
        <f aca="false">IF($A279="","",Visitas!D279)</f>
        <v/>
      </c>
      <c r="D279" s="0" t="str">
        <f aca="false">IF($A279="","",Visitas!B279)</f>
        <v/>
      </c>
      <c r="E279" s="0" t="str">
        <f aca="false">IF($A279="","",Visitas!F279)</f>
        <v/>
      </c>
      <c r="F279" s="0" t="str">
        <f aca="false">IF($A279="","",SUMIFS(Avaliacoes!$G$2:$G$6000,Avaliacoes!$A$2:$A$6000,$A279,Avaliacoes!$F$2:$F$6000,"I",Avaliacoes!$H$2:$H$6000,0))</f>
        <v/>
      </c>
      <c r="G279" s="0" t="str">
        <f aca="false">IF($A279="","",SUMIFS(Avaliacoes!$G$2:$G$6000,Avaliacoes!$A$2:$A$6000,$A279,Avaliacoes!$F$2:$F$6000,"II",Avaliacoes!$H$2:$H$6000,0))</f>
        <v/>
      </c>
      <c r="H279" s="0" t="str">
        <f aca="false">IF($A279="","",SUMIFS(Avaliacoes!$G$2:$G$6000,Avaliacoes!$A$2:$A$6000,$A279,Avaliacoes!$F$2:$F$6000,"III",Avaliacoes!$H$2:$H$6000,0))</f>
        <v/>
      </c>
      <c r="I279" s="0" t="str">
        <f aca="false">IF($A279="","",SUMIFS(Avaliacoes!$G$2:$G$6000,Avaliacoes!$A$2:$A$6000,$A279,Avaliacoes!$F$2:$F$6000,"IV",Avaliacoes!$H$2:$H$6000,0))</f>
        <v/>
      </c>
      <c r="J279" s="0" t="str">
        <f aca="false">IF($A279="","",COUNTIFS(Avaliacoes!$A$2:$A$6000,$A279,Avaliacoes!$F$2:$F$6000,"I",Avaliacoes!$H$2:$H$6000,0,Avaliacoes!$G$2:$G$6000,"&lt;&gt;")*Dimensoes!$E$2)</f>
        <v/>
      </c>
      <c r="K279" s="0" t="str">
        <f aca="false">IF($A279="","",COUNTIFS(Avaliacoes!$A$2:$A$6000,$A279,Avaliacoes!$F$2:$F$6000,"II",Avaliacoes!$H$2:$H$6000,0,Avaliacoes!$G$2:$G$6000,"&lt;&gt;")*Dimensoes!$E$3)</f>
        <v/>
      </c>
      <c r="L279" s="0" t="str">
        <f aca="false">IF($A279="","",COUNTIFS(Avaliacoes!$A$2:$A$6000,$A279,Avaliacoes!$F$2:$F$6000,"III",Avaliacoes!$H$2:$H$6000,0,Avaliacoes!$G$2:$G$6000,"&lt;&gt;")*Dimensoes!$E$4)</f>
        <v/>
      </c>
      <c r="M279" s="0" t="str">
        <f aca="false">IF($A279="","",COUNTIFS(Avaliacoes!$A$2:$A$6000,$A279,Avaliacoes!$F$2:$F$6000,"IV",Avaliacoes!$H$2:$H$6000,0,Avaliacoes!$G$2:$G$6000,"&lt;&gt;")*Dimensoes!$E$5)</f>
        <v/>
      </c>
      <c r="N279" s="9" t="str">
        <f aca="false">IF($A279="","",IF(J279&gt;0,F279/J279,""))</f>
        <v/>
      </c>
      <c r="O279" s="9" t="str">
        <f aca="false">IF($A279="","",IF(K279&gt;0,G279/K279,""))</f>
        <v/>
      </c>
      <c r="P279" s="9" t="str">
        <f aca="false">IF($A279="","",IF(L279&gt;0,H279/L279,""))</f>
        <v/>
      </c>
      <c r="Q279" s="9" t="str">
        <f aca="false">IF($A279="","",IF(M279&gt;0,I279/M279,""))</f>
        <v/>
      </c>
      <c r="R279" s="17" t="str">
        <f aca="false">IF($A279="","",IF((IF(N279="",0,Dimensoes!$C$2)+IF(O279="",0,Dimensoes!$C$3)+IF(P279="",0,Dimensoes!$C$4)+IF(Q279="",0,Dimensoes!$C$5))=0,"",(IF(N279="",0,N279*Dimensoes!$C$2)+IF(O279="",0,O279*Dimensoes!$C$3)+IF(P279="",0,P279*Dimensoes!$C$4)+IF(Q279="",0,Q279*Dimensoes!$C$5))/(IF(N279="",0,Dimensoes!$C$2)+IF(O279="",0,Dimensoes!$C$3)+IF(P279="",0,Dimensoes!$C$4)+IF(Q279="",0,Dimensoes!$C$5))))</f>
        <v/>
      </c>
      <c r="S279" s="0" t="str">
        <f aca="false">IF(R279="","",IF(R279&lt;Faixas!$C$3,"vermelho",IF(R279&lt;Faixas!$C$4,"amarelo","verde")))</f>
        <v/>
      </c>
      <c r="T279" s="9" t="str">
        <f aca="false">IF($A279="","",IF(N279="",0,N279*Dimensoes!$C$2)+IF(O279="",0,O279*Dimensoes!$C$3)+IF(P279="",0,P279*Dimensoes!$C$4)+IF(Q279="",0,Q279*Dimensoes!$C$5))</f>
        <v/>
      </c>
      <c r="U279" s="0" t="str">
        <f aca="false">IF($A279="","",IF(OR(E279="concluida",E279="incompleta"),1,0))</f>
        <v/>
      </c>
    </row>
    <row r="280" customFormat="false" ht="15" hidden="false" customHeight="false" outlineLevel="0" collapsed="false">
      <c r="A280" s="0" t="str">
        <f aca="false">IF(Visitas!A280="","",Visitas!A280)</f>
        <v/>
      </c>
      <c r="B280" s="0" t="str">
        <f aca="false">IF($A280="","",Visitas!C280)</f>
        <v/>
      </c>
      <c r="C280" s="7" t="str">
        <f aca="false">IF($A280="","",Visitas!D280)</f>
        <v/>
      </c>
      <c r="D280" s="0" t="str">
        <f aca="false">IF($A280="","",Visitas!B280)</f>
        <v/>
      </c>
      <c r="E280" s="0" t="str">
        <f aca="false">IF($A280="","",Visitas!F280)</f>
        <v/>
      </c>
      <c r="F280" s="0" t="str">
        <f aca="false">IF($A280="","",SUMIFS(Avaliacoes!$G$2:$G$6000,Avaliacoes!$A$2:$A$6000,$A280,Avaliacoes!$F$2:$F$6000,"I",Avaliacoes!$H$2:$H$6000,0))</f>
        <v/>
      </c>
      <c r="G280" s="0" t="str">
        <f aca="false">IF($A280="","",SUMIFS(Avaliacoes!$G$2:$G$6000,Avaliacoes!$A$2:$A$6000,$A280,Avaliacoes!$F$2:$F$6000,"II",Avaliacoes!$H$2:$H$6000,0))</f>
        <v/>
      </c>
      <c r="H280" s="0" t="str">
        <f aca="false">IF($A280="","",SUMIFS(Avaliacoes!$G$2:$G$6000,Avaliacoes!$A$2:$A$6000,$A280,Avaliacoes!$F$2:$F$6000,"III",Avaliacoes!$H$2:$H$6000,0))</f>
        <v/>
      </c>
      <c r="I280" s="0" t="str">
        <f aca="false">IF($A280="","",SUMIFS(Avaliacoes!$G$2:$G$6000,Avaliacoes!$A$2:$A$6000,$A280,Avaliacoes!$F$2:$F$6000,"IV",Avaliacoes!$H$2:$H$6000,0))</f>
        <v/>
      </c>
      <c r="J280" s="0" t="str">
        <f aca="false">IF($A280="","",COUNTIFS(Avaliacoes!$A$2:$A$6000,$A280,Avaliacoes!$F$2:$F$6000,"I",Avaliacoes!$H$2:$H$6000,0,Avaliacoes!$G$2:$G$6000,"&lt;&gt;")*Dimensoes!$E$2)</f>
        <v/>
      </c>
      <c r="K280" s="0" t="str">
        <f aca="false">IF($A280="","",COUNTIFS(Avaliacoes!$A$2:$A$6000,$A280,Avaliacoes!$F$2:$F$6000,"II",Avaliacoes!$H$2:$H$6000,0,Avaliacoes!$G$2:$G$6000,"&lt;&gt;")*Dimensoes!$E$3)</f>
        <v/>
      </c>
      <c r="L280" s="0" t="str">
        <f aca="false">IF($A280="","",COUNTIFS(Avaliacoes!$A$2:$A$6000,$A280,Avaliacoes!$F$2:$F$6000,"III",Avaliacoes!$H$2:$H$6000,0,Avaliacoes!$G$2:$G$6000,"&lt;&gt;")*Dimensoes!$E$4)</f>
        <v/>
      </c>
      <c r="M280" s="0" t="str">
        <f aca="false">IF($A280="","",COUNTIFS(Avaliacoes!$A$2:$A$6000,$A280,Avaliacoes!$F$2:$F$6000,"IV",Avaliacoes!$H$2:$H$6000,0,Avaliacoes!$G$2:$G$6000,"&lt;&gt;")*Dimensoes!$E$5)</f>
        <v/>
      </c>
      <c r="N280" s="9" t="str">
        <f aca="false">IF($A280="","",IF(J280&gt;0,F280/J280,""))</f>
        <v/>
      </c>
      <c r="O280" s="9" t="str">
        <f aca="false">IF($A280="","",IF(K280&gt;0,G280/K280,""))</f>
        <v/>
      </c>
      <c r="P280" s="9" t="str">
        <f aca="false">IF($A280="","",IF(L280&gt;0,H280/L280,""))</f>
        <v/>
      </c>
      <c r="Q280" s="9" t="str">
        <f aca="false">IF($A280="","",IF(M280&gt;0,I280/M280,""))</f>
        <v/>
      </c>
      <c r="R280" s="17" t="str">
        <f aca="false">IF($A280="","",IF((IF(N280="",0,Dimensoes!$C$2)+IF(O280="",0,Dimensoes!$C$3)+IF(P280="",0,Dimensoes!$C$4)+IF(Q280="",0,Dimensoes!$C$5))=0,"",(IF(N280="",0,N280*Dimensoes!$C$2)+IF(O280="",0,O280*Dimensoes!$C$3)+IF(P280="",0,P280*Dimensoes!$C$4)+IF(Q280="",0,Q280*Dimensoes!$C$5))/(IF(N280="",0,Dimensoes!$C$2)+IF(O280="",0,Dimensoes!$C$3)+IF(P280="",0,Dimensoes!$C$4)+IF(Q280="",0,Dimensoes!$C$5))))</f>
        <v/>
      </c>
      <c r="S280" s="0" t="str">
        <f aca="false">IF(R280="","",IF(R280&lt;Faixas!$C$3,"vermelho",IF(R280&lt;Faixas!$C$4,"amarelo","verde")))</f>
        <v/>
      </c>
      <c r="T280" s="9" t="str">
        <f aca="false">IF($A280="","",IF(N280="",0,N280*Dimensoes!$C$2)+IF(O280="",0,O280*Dimensoes!$C$3)+IF(P280="",0,P280*Dimensoes!$C$4)+IF(Q280="",0,Q280*Dimensoes!$C$5))</f>
        <v/>
      </c>
      <c r="U280" s="0" t="str">
        <f aca="false">IF($A280="","",IF(OR(E280="concluida",E280="incompleta"),1,0))</f>
        <v/>
      </c>
    </row>
    <row r="281" customFormat="false" ht="15" hidden="false" customHeight="false" outlineLevel="0" collapsed="false">
      <c r="A281" s="0" t="str">
        <f aca="false">IF(Visitas!A281="","",Visitas!A281)</f>
        <v/>
      </c>
      <c r="B281" s="0" t="str">
        <f aca="false">IF($A281="","",Visitas!C281)</f>
        <v/>
      </c>
      <c r="C281" s="7" t="str">
        <f aca="false">IF($A281="","",Visitas!D281)</f>
        <v/>
      </c>
      <c r="D281" s="0" t="str">
        <f aca="false">IF($A281="","",Visitas!B281)</f>
        <v/>
      </c>
      <c r="E281" s="0" t="str">
        <f aca="false">IF($A281="","",Visitas!F281)</f>
        <v/>
      </c>
      <c r="F281" s="0" t="str">
        <f aca="false">IF($A281="","",SUMIFS(Avaliacoes!$G$2:$G$6000,Avaliacoes!$A$2:$A$6000,$A281,Avaliacoes!$F$2:$F$6000,"I",Avaliacoes!$H$2:$H$6000,0))</f>
        <v/>
      </c>
      <c r="G281" s="0" t="str">
        <f aca="false">IF($A281="","",SUMIFS(Avaliacoes!$G$2:$G$6000,Avaliacoes!$A$2:$A$6000,$A281,Avaliacoes!$F$2:$F$6000,"II",Avaliacoes!$H$2:$H$6000,0))</f>
        <v/>
      </c>
      <c r="H281" s="0" t="str">
        <f aca="false">IF($A281="","",SUMIFS(Avaliacoes!$G$2:$G$6000,Avaliacoes!$A$2:$A$6000,$A281,Avaliacoes!$F$2:$F$6000,"III",Avaliacoes!$H$2:$H$6000,0))</f>
        <v/>
      </c>
      <c r="I281" s="0" t="str">
        <f aca="false">IF($A281="","",SUMIFS(Avaliacoes!$G$2:$G$6000,Avaliacoes!$A$2:$A$6000,$A281,Avaliacoes!$F$2:$F$6000,"IV",Avaliacoes!$H$2:$H$6000,0))</f>
        <v/>
      </c>
      <c r="J281" s="0" t="str">
        <f aca="false">IF($A281="","",COUNTIFS(Avaliacoes!$A$2:$A$6000,$A281,Avaliacoes!$F$2:$F$6000,"I",Avaliacoes!$H$2:$H$6000,0,Avaliacoes!$G$2:$G$6000,"&lt;&gt;")*Dimensoes!$E$2)</f>
        <v/>
      </c>
      <c r="K281" s="0" t="str">
        <f aca="false">IF($A281="","",COUNTIFS(Avaliacoes!$A$2:$A$6000,$A281,Avaliacoes!$F$2:$F$6000,"II",Avaliacoes!$H$2:$H$6000,0,Avaliacoes!$G$2:$G$6000,"&lt;&gt;")*Dimensoes!$E$3)</f>
        <v/>
      </c>
      <c r="L281" s="0" t="str">
        <f aca="false">IF($A281="","",COUNTIFS(Avaliacoes!$A$2:$A$6000,$A281,Avaliacoes!$F$2:$F$6000,"III",Avaliacoes!$H$2:$H$6000,0,Avaliacoes!$G$2:$G$6000,"&lt;&gt;")*Dimensoes!$E$4)</f>
        <v/>
      </c>
      <c r="M281" s="0" t="str">
        <f aca="false">IF($A281="","",COUNTIFS(Avaliacoes!$A$2:$A$6000,$A281,Avaliacoes!$F$2:$F$6000,"IV",Avaliacoes!$H$2:$H$6000,0,Avaliacoes!$G$2:$G$6000,"&lt;&gt;")*Dimensoes!$E$5)</f>
        <v/>
      </c>
      <c r="N281" s="9" t="str">
        <f aca="false">IF($A281="","",IF(J281&gt;0,F281/J281,""))</f>
        <v/>
      </c>
      <c r="O281" s="9" t="str">
        <f aca="false">IF($A281="","",IF(K281&gt;0,G281/K281,""))</f>
        <v/>
      </c>
      <c r="P281" s="9" t="str">
        <f aca="false">IF($A281="","",IF(L281&gt;0,H281/L281,""))</f>
        <v/>
      </c>
      <c r="Q281" s="9" t="str">
        <f aca="false">IF($A281="","",IF(M281&gt;0,I281/M281,""))</f>
        <v/>
      </c>
      <c r="R281" s="17" t="str">
        <f aca="false">IF($A281="","",IF((IF(N281="",0,Dimensoes!$C$2)+IF(O281="",0,Dimensoes!$C$3)+IF(P281="",0,Dimensoes!$C$4)+IF(Q281="",0,Dimensoes!$C$5))=0,"",(IF(N281="",0,N281*Dimensoes!$C$2)+IF(O281="",0,O281*Dimensoes!$C$3)+IF(P281="",0,P281*Dimensoes!$C$4)+IF(Q281="",0,Q281*Dimensoes!$C$5))/(IF(N281="",0,Dimensoes!$C$2)+IF(O281="",0,Dimensoes!$C$3)+IF(P281="",0,Dimensoes!$C$4)+IF(Q281="",0,Dimensoes!$C$5))))</f>
        <v/>
      </c>
      <c r="S281" s="0" t="str">
        <f aca="false">IF(R281="","",IF(R281&lt;Faixas!$C$3,"vermelho",IF(R281&lt;Faixas!$C$4,"amarelo","verde")))</f>
        <v/>
      </c>
      <c r="T281" s="9" t="str">
        <f aca="false">IF($A281="","",IF(N281="",0,N281*Dimensoes!$C$2)+IF(O281="",0,O281*Dimensoes!$C$3)+IF(P281="",0,P281*Dimensoes!$C$4)+IF(Q281="",0,Q281*Dimensoes!$C$5))</f>
        <v/>
      </c>
      <c r="U281" s="0" t="str">
        <f aca="false">IF($A281="","",IF(OR(E281="concluida",E281="incompleta"),1,0))</f>
        <v/>
      </c>
    </row>
    <row r="282" customFormat="false" ht="15" hidden="false" customHeight="false" outlineLevel="0" collapsed="false">
      <c r="A282" s="0" t="str">
        <f aca="false">IF(Visitas!A282="","",Visitas!A282)</f>
        <v/>
      </c>
      <c r="B282" s="0" t="str">
        <f aca="false">IF($A282="","",Visitas!C282)</f>
        <v/>
      </c>
      <c r="C282" s="7" t="str">
        <f aca="false">IF($A282="","",Visitas!D282)</f>
        <v/>
      </c>
      <c r="D282" s="0" t="str">
        <f aca="false">IF($A282="","",Visitas!B282)</f>
        <v/>
      </c>
      <c r="E282" s="0" t="str">
        <f aca="false">IF($A282="","",Visitas!F282)</f>
        <v/>
      </c>
      <c r="F282" s="0" t="str">
        <f aca="false">IF($A282="","",SUMIFS(Avaliacoes!$G$2:$G$6000,Avaliacoes!$A$2:$A$6000,$A282,Avaliacoes!$F$2:$F$6000,"I",Avaliacoes!$H$2:$H$6000,0))</f>
        <v/>
      </c>
      <c r="G282" s="0" t="str">
        <f aca="false">IF($A282="","",SUMIFS(Avaliacoes!$G$2:$G$6000,Avaliacoes!$A$2:$A$6000,$A282,Avaliacoes!$F$2:$F$6000,"II",Avaliacoes!$H$2:$H$6000,0))</f>
        <v/>
      </c>
      <c r="H282" s="0" t="str">
        <f aca="false">IF($A282="","",SUMIFS(Avaliacoes!$G$2:$G$6000,Avaliacoes!$A$2:$A$6000,$A282,Avaliacoes!$F$2:$F$6000,"III",Avaliacoes!$H$2:$H$6000,0))</f>
        <v/>
      </c>
      <c r="I282" s="0" t="str">
        <f aca="false">IF($A282="","",SUMIFS(Avaliacoes!$G$2:$G$6000,Avaliacoes!$A$2:$A$6000,$A282,Avaliacoes!$F$2:$F$6000,"IV",Avaliacoes!$H$2:$H$6000,0))</f>
        <v/>
      </c>
      <c r="J282" s="0" t="str">
        <f aca="false">IF($A282="","",COUNTIFS(Avaliacoes!$A$2:$A$6000,$A282,Avaliacoes!$F$2:$F$6000,"I",Avaliacoes!$H$2:$H$6000,0,Avaliacoes!$G$2:$G$6000,"&lt;&gt;")*Dimensoes!$E$2)</f>
        <v/>
      </c>
      <c r="K282" s="0" t="str">
        <f aca="false">IF($A282="","",COUNTIFS(Avaliacoes!$A$2:$A$6000,$A282,Avaliacoes!$F$2:$F$6000,"II",Avaliacoes!$H$2:$H$6000,0,Avaliacoes!$G$2:$G$6000,"&lt;&gt;")*Dimensoes!$E$3)</f>
        <v/>
      </c>
      <c r="L282" s="0" t="str">
        <f aca="false">IF($A282="","",COUNTIFS(Avaliacoes!$A$2:$A$6000,$A282,Avaliacoes!$F$2:$F$6000,"III",Avaliacoes!$H$2:$H$6000,0,Avaliacoes!$G$2:$G$6000,"&lt;&gt;")*Dimensoes!$E$4)</f>
        <v/>
      </c>
      <c r="M282" s="0" t="str">
        <f aca="false">IF($A282="","",COUNTIFS(Avaliacoes!$A$2:$A$6000,$A282,Avaliacoes!$F$2:$F$6000,"IV",Avaliacoes!$H$2:$H$6000,0,Avaliacoes!$G$2:$G$6000,"&lt;&gt;")*Dimensoes!$E$5)</f>
        <v/>
      </c>
      <c r="N282" s="9" t="str">
        <f aca="false">IF($A282="","",IF(J282&gt;0,F282/J282,""))</f>
        <v/>
      </c>
      <c r="O282" s="9" t="str">
        <f aca="false">IF($A282="","",IF(K282&gt;0,G282/K282,""))</f>
        <v/>
      </c>
      <c r="P282" s="9" t="str">
        <f aca="false">IF($A282="","",IF(L282&gt;0,H282/L282,""))</f>
        <v/>
      </c>
      <c r="Q282" s="9" t="str">
        <f aca="false">IF($A282="","",IF(M282&gt;0,I282/M282,""))</f>
        <v/>
      </c>
      <c r="R282" s="17" t="str">
        <f aca="false">IF($A282="","",IF((IF(N282="",0,Dimensoes!$C$2)+IF(O282="",0,Dimensoes!$C$3)+IF(P282="",0,Dimensoes!$C$4)+IF(Q282="",0,Dimensoes!$C$5))=0,"",(IF(N282="",0,N282*Dimensoes!$C$2)+IF(O282="",0,O282*Dimensoes!$C$3)+IF(P282="",0,P282*Dimensoes!$C$4)+IF(Q282="",0,Q282*Dimensoes!$C$5))/(IF(N282="",0,Dimensoes!$C$2)+IF(O282="",0,Dimensoes!$C$3)+IF(P282="",0,Dimensoes!$C$4)+IF(Q282="",0,Dimensoes!$C$5))))</f>
        <v/>
      </c>
      <c r="S282" s="0" t="str">
        <f aca="false">IF(R282="","",IF(R282&lt;Faixas!$C$3,"vermelho",IF(R282&lt;Faixas!$C$4,"amarelo","verde")))</f>
        <v/>
      </c>
      <c r="T282" s="9" t="str">
        <f aca="false">IF($A282="","",IF(N282="",0,N282*Dimensoes!$C$2)+IF(O282="",0,O282*Dimensoes!$C$3)+IF(P282="",0,P282*Dimensoes!$C$4)+IF(Q282="",0,Q282*Dimensoes!$C$5))</f>
        <v/>
      </c>
      <c r="U282" s="0" t="str">
        <f aca="false">IF($A282="","",IF(OR(E282="concluida",E282="incompleta"),1,0))</f>
        <v/>
      </c>
    </row>
    <row r="283" customFormat="false" ht="15" hidden="false" customHeight="false" outlineLevel="0" collapsed="false">
      <c r="A283" s="0" t="str">
        <f aca="false">IF(Visitas!A283="","",Visitas!A283)</f>
        <v/>
      </c>
      <c r="B283" s="0" t="str">
        <f aca="false">IF($A283="","",Visitas!C283)</f>
        <v/>
      </c>
      <c r="C283" s="7" t="str">
        <f aca="false">IF($A283="","",Visitas!D283)</f>
        <v/>
      </c>
      <c r="D283" s="0" t="str">
        <f aca="false">IF($A283="","",Visitas!B283)</f>
        <v/>
      </c>
      <c r="E283" s="0" t="str">
        <f aca="false">IF($A283="","",Visitas!F283)</f>
        <v/>
      </c>
      <c r="F283" s="0" t="str">
        <f aca="false">IF($A283="","",SUMIFS(Avaliacoes!$G$2:$G$6000,Avaliacoes!$A$2:$A$6000,$A283,Avaliacoes!$F$2:$F$6000,"I",Avaliacoes!$H$2:$H$6000,0))</f>
        <v/>
      </c>
      <c r="G283" s="0" t="str">
        <f aca="false">IF($A283="","",SUMIFS(Avaliacoes!$G$2:$G$6000,Avaliacoes!$A$2:$A$6000,$A283,Avaliacoes!$F$2:$F$6000,"II",Avaliacoes!$H$2:$H$6000,0))</f>
        <v/>
      </c>
      <c r="H283" s="0" t="str">
        <f aca="false">IF($A283="","",SUMIFS(Avaliacoes!$G$2:$G$6000,Avaliacoes!$A$2:$A$6000,$A283,Avaliacoes!$F$2:$F$6000,"III",Avaliacoes!$H$2:$H$6000,0))</f>
        <v/>
      </c>
      <c r="I283" s="0" t="str">
        <f aca="false">IF($A283="","",SUMIFS(Avaliacoes!$G$2:$G$6000,Avaliacoes!$A$2:$A$6000,$A283,Avaliacoes!$F$2:$F$6000,"IV",Avaliacoes!$H$2:$H$6000,0))</f>
        <v/>
      </c>
      <c r="J283" s="0" t="str">
        <f aca="false">IF($A283="","",COUNTIFS(Avaliacoes!$A$2:$A$6000,$A283,Avaliacoes!$F$2:$F$6000,"I",Avaliacoes!$H$2:$H$6000,0,Avaliacoes!$G$2:$G$6000,"&lt;&gt;")*Dimensoes!$E$2)</f>
        <v/>
      </c>
      <c r="K283" s="0" t="str">
        <f aca="false">IF($A283="","",COUNTIFS(Avaliacoes!$A$2:$A$6000,$A283,Avaliacoes!$F$2:$F$6000,"II",Avaliacoes!$H$2:$H$6000,0,Avaliacoes!$G$2:$G$6000,"&lt;&gt;")*Dimensoes!$E$3)</f>
        <v/>
      </c>
      <c r="L283" s="0" t="str">
        <f aca="false">IF($A283="","",COUNTIFS(Avaliacoes!$A$2:$A$6000,$A283,Avaliacoes!$F$2:$F$6000,"III",Avaliacoes!$H$2:$H$6000,0,Avaliacoes!$G$2:$G$6000,"&lt;&gt;")*Dimensoes!$E$4)</f>
        <v/>
      </c>
      <c r="M283" s="0" t="str">
        <f aca="false">IF($A283="","",COUNTIFS(Avaliacoes!$A$2:$A$6000,$A283,Avaliacoes!$F$2:$F$6000,"IV",Avaliacoes!$H$2:$H$6000,0,Avaliacoes!$G$2:$G$6000,"&lt;&gt;")*Dimensoes!$E$5)</f>
        <v/>
      </c>
      <c r="N283" s="9" t="str">
        <f aca="false">IF($A283="","",IF(J283&gt;0,F283/J283,""))</f>
        <v/>
      </c>
      <c r="O283" s="9" t="str">
        <f aca="false">IF($A283="","",IF(K283&gt;0,G283/K283,""))</f>
        <v/>
      </c>
      <c r="P283" s="9" t="str">
        <f aca="false">IF($A283="","",IF(L283&gt;0,H283/L283,""))</f>
        <v/>
      </c>
      <c r="Q283" s="9" t="str">
        <f aca="false">IF($A283="","",IF(M283&gt;0,I283/M283,""))</f>
        <v/>
      </c>
      <c r="R283" s="17" t="str">
        <f aca="false">IF($A283="","",IF((IF(N283="",0,Dimensoes!$C$2)+IF(O283="",0,Dimensoes!$C$3)+IF(P283="",0,Dimensoes!$C$4)+IF(Q283="",0,Dimensoes!$C$5))=0,"",(IF(N283="",0,N283*Dimensoes!$C$2)+IF(O283="",0,O283*Dimensoes!$C$3)+IF(P283="",0,P283*Dimensoes!$C$4)+IF(Q283="",0,Q283*Dimensoes!$C$5))/(IF(N283="",0,Dimensoes!$C$2)+IF(O283="",0,Dimensoes!$C$3)+IF(P283="",0,Dimensoes!$C$4)+IF(Q283="",0,Dimensoes!$C$5))))</f>
        <v/>
      </c>
      <c r="S283" s="0" t="str">
        <f aca="false">IF(R283="","",IF(R283&lt;Faixas!$C$3,"vermelho",IF(R283&lt;Faixas!$C$4,"amarelo","verde")))</f>
        <v/>
      </c>
      <c r="T283" s="9" t="str">
        <f aca="false">IF($A283="","",IF(N283="",0,N283*Dimensoes!$C$2)+IF(O283="",0,O283*Dimensoes!$C$3)+IF(P283="",0,P283*Dimensoes!$C$4)+IF(Q283="",0,Q283*Dimensoes!$C$5))</f>
        <v/>
      </c>
      <c r="U283" s="0" t="str">
        <f aca="false">IF($A283="","",IF(OR(E283="concluida",E283="incompleta"),1,0))</f>
        <v/>
      </c>
    </row>
    <row r="284" customFormat="false" ht="15" hidden="false" customHeight="false" outlineLevel="0" collapsed="false">
      <c r="A284" s="0" t="str">
        <f aca="false">IF(Visitas!A284="","",Visitas!A284)</f>
        <v/>
      </c>
      <c r="B284" s="0" t="str">
        <f aca="false">IF($A284="","",Visitas!C284)</f>
        <v/>
      </c>
      <c r="C284" s="7" t="str">
        <f aca="false">IF($A284="","",Visitas!D284)</f>
        <v/>
      </c>
      <c r="D284" s="0" t="str">
        <f aca="false">IF($A284="","",Visitas!B284)</f>
        <v/>
      </c>
      <c r="E284" s="0" t="str">
        <f aca="false">IF($A284="","",Visitas!F284)</f>
        <v/>
      </c>
      <c r="F284" s="0" t="str">
        <f aca="false">IF($A284="","",SUMIFS(Avaliacoes!$G$2:$G$6000,Avaliacoes!$A$2:$A$6000,$A284,Avaliacoes!$F$2:$F$6000,"I",Avaliacoes!$H$2:$H$6000,0))</f>
        <v/>
      </c>
      <c r="G284" s="0" t="str">
        <f aca="false">IF($A284="","",SUMIFS(Avaliacoes!$G$2:$G$6000,Avaliacoes!$A$2:$A$6000,$A284,Avaliacoes!$F$2:$F$6000,"II",Avaliacoes!$H$2:$H$6000,0))</f>
        <v/>
      </c>
      <c r="H284" s="0" t="str">
        <f aca="false">IF($A284="","",SUMIFS(Avaliacoes!$G$2:$G$6000,Avaliacoes!$A$2:$A$6000,$A284,Avaliacoes!$F$2:$F$6000,"III",Avaliacoes!$H$2:$H$6000,0))</f>
        <v/>
      </c>
      <c r="I284" s="0" t="str">
        <f aca="false">IF($A284="","",SUMIFS(Avaliacoes!$G$2:$G$6000,Avaliacoes!$A$2:$A$6000,$A284,Avaliacoes!$F$2:$F$6000,"IV",Avaliacoes!$H$2:$H$6000,0))</f>
        <v/>
      </c>
      <c r="J284" s="0" t="str">
        <f aca="false">IF($A284="","",COUNTIFS(Avaliacoes!$A$2:$A$6000,$A284,Avaliacoes!$F$2:$F$6000,"I",Avaliacoes!$H$2:$H$6000,0,Avaliacoes!$G$2:$G$6000,"&lt;&gt;")*Dimensoes!$E$2)</f>
        <v/>
      </c>
      <c r="K284" s="0" t="str">
        <f aca="false">IF($A284="","",COUNTIFS(Avaliacoes!$A$2:$A$6000,$A284,Avaliacoes!$F$2:$F$6000,"II",Avaliacoes!$H$2:$H$6000,0,Avaliacoes!$G$2:$G$6000,"&lt;&gt;")*Dimensoes!$E$3)</f>
        <v/>
      </c>
      <c r="L284" s="0" t="str">
        <f aca="false">IF($A284="","",COUNTIFS(Avaliacoes!$A$2:$A$6000,$A284,Avaliacoes!$F$2:$F$6000,"III",Avaliacoes!$H$2:$H$6000,0,Avaliacoes!$G$2:$G$6000,"&lt;&gt;")*Dimensoes!$E$4)</f>
        <v/>
      </c>
      <c r="M284" s="0" t="str">
        <f aca="false">IF($A284="","",COUNTIFS(Avaliacoes!$A$2:$A$6000,$A284,Avaliacoes!$F$2:$F$6000,"IV",Avaliacoes!$H$2:$H$6000,0,Avaliacoes!$G$2:$G$6000,"&lt;&gt;")*Dimensoes!$E$5)</f>
        <v/>
      </c>
      <c r="N284" s="9" t="str">
        <f aca="false">IF($A284="","",IF(J284&gt;0,F284/J284,""))</f>
        <v/>
      </c>
      <c r="O284" s="9" t="str">
        <f aca="false">IF($A284="","",IF(K284&gt;0,G284/K284,""))</f>
        <v/>
      </c>
      <c r="P284" s="9" t="str">
        <f aca="false">IF($A284="","",IF(L284&gt;0,H284/L284,""))</f>
        <v/>
      </c>
      <c r="Q284" s="9" t="str">
        <f aca="false">IF($A284="","",IF(M284&gt;0,I284/M284,""))</f>
        <v/>
      </c>
      <c r="R284" s="17" t="str">
        <f aca="false">IF($A284="","",IF((IF(N284="",0,Dimensoes!$C$2)+IF(O284="",0,Dimensoes!$C$3)+IF(P284="",0,Dimensoes!$C$4)+IF(Q284="",0,Dimensoes!$C$5))=0,"",(IF(N284="",0,N284*Dimensoes!$C$2)+IF(O284="",0,O284*Dimensoes!$C$3)+IF(P284="",0,P284*Dimensoes!$C$4)+IF(Q284="",0,Q284*Dimensoes!$C$5))/(IF(N284="",0,Dimensoes!$C$2)+IF(O284="",0,Dimensoes!$C$3)+IF(P284="",0,Dimensoes!$C$4)+IF(Q284="",0,Dimensoes!$C$5))))</f>
        <v/>
      </c>
      <c r="S284" s="0" t="str">
        <f aca="false">IF(R284="","",IF(R284&lt;Faixas!$C$3,"vermelho",IF(R284&lt;Faixas!$C$4,"amarelo","verde")))</f>
        <v/>
      </c>
      <c r="T284" s="9" t="str">
        <f aca="false">IF($A284="","",IF(N284="",0,N284*Dimensoes!$C$2)+IF(O284="",0,O284*Dimensoes!$C$3)+IF(P284="",0,P284*Dimensoes!$C$4)+IF(Q284="",0,Q284*Dimensoes!$C$5))</f>
        <v/>
      </c>
      <c r="U284" s="0" t="str">
        <f aca="false">IF($A284="","",IF(OR(E284="concluida",E284="incompleta"),1,0))</f>
        <v/>
      </c>
    </row>
    <row r="285" customFormat="false" ht="15" hidden="false" customHeight="false" outlineLevel="0" collapsed="false">
      <c r="A285" s="0" t="str">
        <f aca="false">IF(Visitas!A285="","",Visitas!A285)</f>
        <v/>
      </c>
      <c r="B285" s="0" t="str">
        <f aca="false">IF($A285="","",Visitas!C285)</f>
        <v/>
      </c>
      <c r="C285" s="7" t="str">
        <f aca="false">IF($A285="","",Visitas!D285)</f>
        <v/>
      </c>
      <c r="D285" s="0" t="str">
        <f aca="false">IF($A285="","",Visitas!B285)</f>
        <v/>
      </c>
      <c r="E285" s="0" t="str">
        <f aca="false">IF($A285="","",Visitas!F285)</f>
        <v/>
      </c>
      <c r="F285" s="0" t="str">
        <f aca="false">IF($A285="","",SUMIFS(Avaliacoes!$G$2:$G$6000,Avaliacoes!$A$2:$A$6000,$A285,Avaliacoes!$F$2:$F$6000,"I",Avaliacoes!$H$2:$H$6000,0))</f>
        <v/>
      </c>
      <c r="G285" s="0" t="str">
        <f aca="false">IF($A285="","",SUMIFS(Avaliacoes!$G$2:$G$6000,Avaliacoes!$A$2:$A$6000,$A285,Avaliacoes!$F$2:$F$6000,"II",Avaliacoes!$H$2:$H$6000,0))</f>
        <v/>
      </c>
      <c r="H285" s="0" t="str">
        <f aca="false">IF($A285="","",SUMIFS(Avaliacoes!$G$2:$G$6000,Avaliacoes!$A$2:$A$6000,$A285,Avaliacoes!$F$2:$F$6000,"III",Avaliacoes!$H$2:$H$6000,0))</f>
        <v/>
      </c>
      <c r="I285" s="0" t="str">
        <f aca="false">IF($A285="","",SUMIFS(Avaliacoes!$G$2:$G$6000,Avaliacoes!$A$2:$A$6000,$A285,Avaliacoes!$F$2:$F$6000,"IV",Avaliacoes!$H$2:$H$6000,0))</f>
        <v/>
      </c>
      <c r="J285" s="0" t="str">
        <f aca="false">IF($A285="","",COUNTIFS(Avaliacoes!$A$2:$A$6000,$A285,Avaliacoes!$F$2:$F$6000,"I",Avaliacoes!$H$2:$H$6000,0,Avaliacoes!$G$2:$G$6000,"&lt;&gt;")*Dimensoes!$E$2)</f>
        <v/>
      </c>
      <c r="K285" s="0" t="str">
        <f aca="false">IF($A285="","",COUNTIFS(Avaliacoes!$A$2:$A$6000,$A285,Avaliacoes!$F$2:$F$6000,"II",Avaliacoes!$H$2:$H$6000,0,Avaliacoes!$G$2:$G$6000,"&lt;&gt;")*Dimensoes!$E$3)</f>
        <v/>
      </c>
      <c r="L285" s="0" t="str">
        <f aca="false">IF($A285="","",COUNTIFS(Avaliacoes!$A$2:$A$6000,$A285,Avaliacoes!$F$2:$F$6000,"III",Avaliacoes!$H$2:$H$6000,0,Avaliacoes!$G$2:$G$6000,"&lt;&gt;")*Dimensoes!$E$4)</f>
        <v/>
      </c>
      <c r="M285" s="0" t="str">
        <f aca="false">IF($A285="","",COUNTIFS(Avaliacoes!$A$2:$A$6000,$A285,Avaliacoes!$F$2:$F$6000,"IV",Avaliacoes!$H$2:$H$6000,0,Avaliacoes!$G$2:$G$6000,"&lt;&gt;")*Dimensoes!$E$5)</f>
        <v/>
      </c>
      <c r="N285" s="9" t="str">
        <f aca="false">IF($A285="","",IF(J285&gt;0,F285/J285,""))</f>
        <v/>
      </c>
      <c r="O285" s="9" t="str">
        <f aca="false">IF($A285="","",IF(K285&gt;0,G285/K285,""))</f>
        <v/>
      </c>
      <c r="P285" s="9" t="str">
        <f aca="false">IF($A285="","",IF(L285&gt;0,H285/L285,""))</f>
        <v/>
      </c>
      <c r="Q285" s="9" t="str">
        <f aca="false">IF($A285="","",IF(M285&gt;0,I285/M285,""))</f>
        <v/>
      </c>
      <c r="R285" s="17" t="str">
        <f aca="false">IF($A285="","",IF((IF(N285="",0,Dimensoes!$C$2)+IF(O285="",0,Dimensoes!$C$3)+IF(P285="",0,Dimensoes!$C$4)+IF(Q285="",0,Dimensoes!$C$5))=0,"",(IF(N285="",0,N285*Dimensoes!$C$2)+IF(O285="",0,O285*Dimensoes!$C$3)+IF(P285="",0,P285*Dimensoes!$C$4)+IF(Q285="",0,Q285*Dimensoes!$C$5))/(IF(N285="",0,Dimensoes!$C$2)+IF(O285="",0,Dimensoes!$C$3)+IF(P285="",0,Dimensoes!$C$4)+IF(Q285="",0,Dimensoes!$C$5))))</f>
        <v/>
      </c>
      <c r="S285" s="0" t="str">
        <f aca="false">IF(R285="","",IF(R285&lt;Faixas!$C$3,"vermelho",IF(R285&lt;Faixas!$C$4,"amarelo","verde")))</f>
        <v/>
      </c>
      <c r="T285" s="9" t="str">
        <f aca="false">IF($A285="","",IF(N285="",0,N285*Dimensoes!$C$2)+IF(O285="",0,O285*Dimensoes!$C$3)+IF(P285="",0,P285*Dimensoes!$C$4)+IF(Q285="",0,Q285*Dimensoes!$C$5))</f>
        <v/>
      </c>
      <c r="U285" s="0" t="str">
        <f aca="false">IF($A285="","",IF(OR(E285="concluida",E285="incompleta"),1,0))</f>
        <v/>
      </c>
    </row>
    <row r="286" customFormat="false" ht="15" hidden="false" customHeight="false" outlineLevel="0" collapsed="false">
      <c r="A286" s="0" t="str">
        <f aca="false">IF(Visitas!A286="","",Visitas!A286)</f>
        <v/>
      </c>
      <c r="B286" s="0" t="str">
        <f aca="false">IF($A286="","",Visitas!C286)</f>
        <v/>
      </c>
      <c r="C286" s="7" t="str">
        <f aca="false">IF($A286="","",Visitas!D286)</f>
        <v/>
      </c>
      <c r="D286" s="0" t="str">
        <f aca="false">IF($A286="","",Visitas!B286)</f>
        <v/>
      </c>
      <c r="E286" s="0" t="str">
        <f aca="false">IF($A286="","",Visitas!F286)</f>
        <v/>
      </c>
      <c r="F286" s="0" t="str">
        <f aca="false">IF($A286="","",SUMIFS(Avaliacoes!$G$2:$G$6000,Avaliacoes!$A$2:$A$6000,$A286,Avaliacoes!$F$2:$F$6000,"I",Avaliacoes!$H$2:$H$6000,0))</f>
        <v/>
      </c>
      <c r="G286" s="0" t="str">
        <f aca="false">IF($A286="","",SUMIFS(Avaliacoes!$G$2:$G$6000,Avaliacoes!$A$2:$A$6000,$A286,Avaliacoes!$F$2:$F$6000,"II",Avaliacoes!$H$2:$H$6000,0))</f>
        <v/>
      </c>
      <c r="H286" s="0" t="str">
        <f aca="false">IF($A286="","",SUMIFS(Avaliacoes!$G$2:$G$6000,Avaliacoes!$A$2:$A$6000,$A286,Avaliacoes!$F$2:$F$6000,"III",Avaliacoes!$H$2:$H$6000,0))</f>
        <v/>
      </c>
      <c r="I286" s="0" t="str">
        <f aca="false">IF($A286="","",SUMIFS(Avaliacoes!$G$2:$G$6000,Avaliacoes!$A$2:$A$6000,$A286,Avaliacoes!$F$2:$F$6000,"IV",Avaliacoes!$H$2:$H$6000,0))</f>
        <v/>
      </c>
      <c r="J286" s="0" t="str">
        <f aca="false">IF($A286="","",COUNTIFS(Avaliacoes!$A$2:$A$6000,$A286,Avaliacoes!$F$2:$F$6000,"I",Avaliacoes!$H$2:$H$6000,0,Avaliacoes!$G$2:$G$6000,"&lt;&gt;")*Dimensoes!$E$2)</f>
        <v/>
      </c>
      <c r="K286" s="0" t="str">
        <f aca="false">IF($A286="","",COUNTIFS(Avaliacoes!$A$2:$A$6000,$A286,Avaliacoes!$F$2:$F$6000,"II",Avaliacoes!$H$2:$H$6000,0,Avaliacoes!$G$2:$G$6000,"&lt;&gt;")*Dimensoes!$E$3)</f>
        <v/>
      </c>
      <c r="L286" s="0" t="str">
        <f aca="false">IF($A286="","",COUNTIFS(Avaliacoes!$A$2:$A$6000,$A286,Avaliacoes!$F$2:$F$6000,"III",Avaliacoes!$H$2:$H$6000,0,Avaliacoes!$G$2:$G$6000,"&lt;&gt;")*Dimensoes!$E$4)</f>
        <v/>
      </c>
      <c r="M286" s="0" t="str">
        <f aca="false">IF($A286="","",COUNTIFS(Avaliacoes!$A$2:$A$6000,$A286,Avaliacoes!$F$2:$F$6000,"IV",Avaliacoes!$H$2:$H$6000,0,Avaliacoes!$G$2:$G$6000,"&lt;&gt;")*Dimensoes!$E$5)</f>
        <v/>
      </c>
      <c r="N286" s="9" t="str">
        <f aca="false">IF($A286="","",IF(J286&gt;0,F286/J286,""))</f>
        <v/>
      </c>
      <c r="O286" s="9" t="str">
        <f aca="false">IF($A286="","",IF(K286&gt;0,G286/K286,""))</f>
        <v/>
      </c>
      <c r="P286" s="9" t="str">
        <f aca="false">IF($A286="","",IF(L286&gt;0,H286/L286,""))</f>
        <v/>
      </c>
      <c r="Q286" s="9" t="str">
        <f aca="false">IF($A286="","",IF(M286&gt;0,I286/M286,""))</f>
        <v/>
      </c>
      <c r="R286" s="17" t="str">
        <f aca="false">IF($A286="","",IF((IF(N286="",0,Dimensoes!$C$2)+IF(O286="",0,Dimensoes!$C$3)+IF(P286="",0,Dimensoes!$C$4)+IF(Q286="",0,Dimensoes!$C$5))=0,"",(IF(N286="",0,N286*Dimensoes!$C$2)+IF(O286="",0,O286*Dimensoes!$C$3)+IF(P286="",0,P286*Dimensoes!$C$4)+IF(Q286="",0,Q286*Dimensoes!$C$5))/(IF(N286="",0,Dimensoes!$C$2)+IF(O286="",0,Dimensoes!$C$3)+IF(P286="",0,Dimensoes!$C$4)+IF(Q286="",0,Dimensoes!$C$5))))</f>
        <v/>
      </c>
      <c r="S286" s="0" t="str">
        <f aca="false">IF(R286="","",IF(R286&lt;Faixas!$C$3,"vermelho",IF(R286&lt;Faixas!$C$4,"amarelo","verde")))</f>
        <v/>
      </c>
      <c r="T286" s="9" t="str">
        <f aca="false">IF($A286="","",IF(N286="",0,N286*Dimensoes!$C$2)+IF(O286="",0,O286*Dimensoes!$C$3)+IF(P286="",0,P286*Dimensoes!$C$4)+IF(Q286="",0,Q286*Dimensoes!$C$5))</f>
        <v/>
      </c>
      <c r="U286" s="0" t="str">
        <f aca="false">IF($A286="","",IF(OR(E286="concluida",E286="incompleta"),1,0))</f>
        <v/>
      </c>
    </row>
    <row r="287" customFormat="false" ht="15" hidden="false" customHeight="false" outlineLevel="0" collapsed="false">
      <c r="A287" s="0" t="str">
        <f aca="false">IF(Visitas!A287="","",Visitas!A287)</f>
        <v/>
      </c>
      <c r="B287" s="0" t="str">
        <f aca="false">IF($A287="","",Visitas!C287)</f>
        <v/>
      </c>
      <c r="C287" s="7" t="str">
        <f aca="false">IF($A287="","",Visitas!D287)</f>
        <v/>
      </c>
      <c r="D287" s="0" t="str">
        <f aca="false">IF($A287="","",Visitas!B287)</f>
        <v/>
      </c>
      <c r="E287" s="0" t="str">
        <f aca="false">IF($A287="","",Visitas!F287)</f>
        <v/>
      </c>
      <c r="F287" s="0" t="str">
        <f aca="false">IF($A287="","",SUMIFS(Avaliacoes!$G$2:$G$6000,Avaliacoes!$A$2:$A$6000,$A287,Avaliacoes!$F$2:$F$6000,"I",Avaliacoes!$H$2:$H$6000,0))</f>
        <v/>
      </c>
      <c r="G287" s="0" t="str">
        <f aca="false">IF($A287="","",SUMIFS(Avaliacoes!$G$2:$G$6000,Avaliacoes!$A$2:$A$6000,$A287,Avaliacoes!$F$2:$F$6000,"II",Avaliacoes!$H$2:$H$6000,0))</f>
        <v/>
      </c>
      <c r="H287" s="0" t="str">
        <f aca="false">IF($A287="","",SUMIFS(Avaliacoes!$G$2:$G$6000,Avaliacoes!$A$2:$A$6000,$A287,Avaliacoes!$F$2:$F$6000,"III",Avaliacoes!$H$2:$H$6000,0))</f>
        <v/>
      </c>
      <c r="I287" s="0" t="str">
        <f aca="false">IF($A287="","",SUMIFS(Avaliacoes!$G$2:$G$6000,Avaliacoes!$A$2:$A$6000,$A287,Avaliacoes!$F$2:$F$6000,"IV",Avaliacoes!$H$2:$H$6000,0))</f>
        <v/>
      </c>
      <c r="J287" s="0" t="str">
        <f aca="false">IF($A287="","",COUNTIFS(Avaliacoes!$A$2:$A$6000,$A287,Avaliacoes!$F$2:$F$6000,"I",Avaliacoes!$H$2:$H$6000,0,Avaliacoes!$G$2:$G$6000,"&lt;&gt;")*Dimensoes!$E$2)</f>
        <v/>
      </c>
      <c r="K287" s="0" t="str">
        <f aca="false">IF($A287="","",COUNTIFS(Avaliacoes!$A$2:$A$6000,$A287,Avaliacoes!$F$2:$F$6000,"II",Avaliacoes!$H$2:$H$6000,0,Avaliacoes!$G$2:$G$6000,"&lt;&gt;")*Dimensoes!$E$3)</f>
        <v/>
      </c>
      <c r="L287" s="0" t="str">
        <f aca="false">IF($A287="","",COUNTIFS(Avaliacoes!$A$2:$A$6000,$A287,Avaliacoes!$F$2:$F$6000,"III",Avaliacoes!$H$2:$H$6000,0,Avaliacoes!$G$2:$G$6000,"&lt;&gt;")*Dimensoes!$E$4)</f>
        <v/>
      </c>
      <c r="M287" s="0" t="str">
        <f aca="false">IF($A287="","",COUNTIFS(Avaliacoes!$A$2:$A$6000,$A287,Avaliacoes!$F$2:$F$6000,"IV",Avaliacoes!$H$2:$H$6000,0,Avaliacoes!$G$2:$G$6000,"&lt;&gt;")*Dimensoes!$E$5)</f>
        <v/>
      </c>
      <c r="N287" s="9" t="str">
        <f aca="false">IF($A287="","",IF(J287&gt;0,F287/J287,""))</f>
        <v/>
      </c>
      <c r="O287" s="9" t="str">
        <f aca="false">IF($A287="","",IF(K287&gt;0,G287/K287,""))</f>
        <v/>
      </c>
      <c r="P287" s="9" t="str">
        <f aca="false">IF($A287="","",IF(L287&gt;0,H287/L287,""))</f>
        <v/>
      </c>
      <c r="Q287" s="9" t="str">
        <f aca="false">IF($A287="","",IF(M287&gt;0,I287/M287,""))</f>
        <v/>
      </c>
      <c r="R287" s="17" t="str">
        <f aca="false">IF($A287="","",IF((IF(N287="",0,Dimensoes!$C$2)+IF(O287="",0,Dimensoes!$C$3)+IF(P287="",0,Dimensoes!$C$4)+IF(Q287="",0,Dimensoes!$C$5))=0,"",(IF(N287="",0,N287*Dimensoes!$C$2)+IF(O287="",0,O287*Dimensoes!$C$3)+IF(P287="",0,P287*Dimensoes!$C$4)+IF(Q287="",0,Q287*Dimensoes!$C$5))/(IF(N287="",0,Dimensoes!$C$2)+IF(O287="",0,Dimensoes!$C$3)+IF(P287="",0,Dimensoes!$C$4)+IF(Q287="",0,Dimensoes!$C$5))))</f>
        <v/>
      </c>
      <c r="S287" s="0" t="str">
        <f aca="false">IF(R287="","",IF(R287&lt;Faixas!$C$3,"vermelho",IF(R287&lt;Faixas!$C$4,"amarelo","verde")))</f>
        <v/>
      </c>
      <c r="T287" s="9" t="str">
        <f aca="false">IF($A287="","",IF(N287="",0,N287*Dimensoes!$C$2)+IF(O287="",0,O287*Dimensoes!$C$3)+IF(P287="",0,P287*Dimensoes!$C$4)+IF(Q287="",0,Q287*Dimensoes!$C$5))</f>
        <v/>
      </c>
      <c r="U287" s="0" t="str">
        <f aca="false">IF($A287="","",IF(OR(E287="concluida",E287="incompleta"),1,0))</f>
        <v/>
      </c>
    </row>
    <row r="288" customFormat="false" ht="15" hidden="false" customHeight="false" outlineLevel="0" collapsed="false">
      <c r="A288" s="0" t="str">
        <f aca="false">IF(Visitas!A288="","",Visitas!A288)</f>
        <v/>
      </c>
      <c r="B288" s="0" t="str">
        <f aca="false">IF($A288="","",Visitas!C288)</f>
        <v/>
      </c>
      <c r="C288" s="7" t="str">
        <f aca="false">IF($A288="","",Visitas!D288)</f>
        <v/>
      </c>
      <c r="D288" s="0" t="str">
        <f aca="false">IF($A288="","",Visitas!B288)</f>
        <v/>
      </c>
      <c r="E288" s="0" t="str">
        <f aca="false">IF($A288="","",Visitas!F288)</f>
        <v/>
      </c>
      <c r="F288" s="0" t="str">
        <f aca="false">IF($A288="","",SUMIFS(Avaliacoes!$G$2:$G$6000,Avaliacoes!$A$2:$A$6000,$A288,Avaliacoes!$F$2:$F$6000,"I",Avaliacoes!$H$2:$H$6000,0))</f>
        <v/>
      </c>
      <c r="G288" s="0" t="str">
        <f aca="false">IF($A288="","",SUMIFS(Avaliacoes!$G$2:$G$6000,Avaliacoes!$A$2:$A$6000,$A288,Avaliacoes!$F$2:$F$6000,"II",Avaliacoes!$H$2:$H$6000,0))</f>
        <v/>
      </c>
      <c r="H288" s="0" t="str">
        <f aca="false">IF($A288="","",SUMIFS(Avaliacoes!$G$2:$G$6000,Avaliacoes!$A$2:$A$6000,$A288,Avaliacoes!$F$2:$F$6000,"III",Avaliacoes!$H$2:$H$6000,0))</f>
        <v/>
      </c>
      <c r="I288" s="0" t="str">
        <f aca="false">IF($A288="","",SUMIFS(Avaliacoes!$G$2:$G$6000,Avaliacoes!$A$2:$A$6000,$A288,Avaliacoes!$F$2:$F$6000,"IV",Avaliacoes!$H$2:$H$6000,0))</f>
        <v/>
      </c>
      <c r="J288" s="0" t="str">
        <f aca="false">IF($A288="","",COUNTIFS(Avaliacoes!$A$2:$A$6000,$A288,Avaliacoes!$F$2:$F$6000,"I",Avaliacoes!$H$2:$H$6000,0,Avaliacoes!$G$2:$G$6000,"&lt;&gt;")*Dimensoes!$E$2)</f>
        <v/>
      </c>
      <c r="K288" s="0" t="str">
        <f aca="false">IF($A288="","",COUNTIFS(Avaliacoes!$A$2:$A$6000,$A288,Avaliacoes!$F$2:$F$6000,"II",Avaliacoes!$H$2:$H$6000,0,Avaliacoes!$G$2:$G$6000,"&lt;&gt;")*Dimensoes!$E$3)</f>
        <v/>
      </c>
      <c r="L288" s="0" t="str">
        <f aca="false">IF($A288="","",COUNTIFS(Avaliacoes!$A$2:$A$6000,$A288,Avaliacoes!$F$2:$F$6000,"III",Avaliacoes!$H$2:$H$6000,0,Avaliacoes!$G$2:$G$6000,"&lt;&gt;")*Dimensoes!$E$4)</f>
        <v/>
      </c>
      <c r="M288" s="0" t="str">
        <f aca="false">IF($A288="","",COUNTIFS(Avaliacoes!$A$2:$A$6000,$A288,Avaliacoes!$F$2:$F$6000,"IV",Avaliacoes!$H$2:$H$6000,0,Avaliacoes!$G$2:$G$6000,"&lt;&gt;")*Dimensoes!$E$5)</f>
        <v/>
      </c>
      <c r="N288" s="9" t="str">
        <f aca="false">IF($A288="","",IF(J288&gt;0,F288/J288,""))</f>
        <v/>
      </c>
      <c r="O288" s="9" t="str">
        <f aca="false">IF($A288="","",IF(K288&gt;0,G288/K288,""))</f>
        <v/>
      </c>
      <c r="P288" s="9" t="str">
        <f aca="false">IF($A288="","",IF(L288&gt;0,H288/L288,""))</f>
        <v/>
      </c>
      <c r="Q288" s="9" t="str">
        <f aca="false">IF($A288="","",IF(M288&gt;0,I288/M288,""))</f>
        <v/>
      </c>
      <c r="R288" s="17" t="str">
        <f aca="false">IF($A288="","",IF((IF(N288="",0,Dimensoes!$C$2)+IF(O288="",0,Dimensoes!$C$3)+IF(P288="",0,Dimensoes!$C$4)+IF(Q288="",0,Dimensoes!$C$5))=0,"",(IF(N288="",0,N288*Dimensoes!$C$2)+IF(O288="",0,O288*Dimensoes!$C$3)+IF(P288="",0,P288*Dimensoes!$C$4)+IF(Q288="",0,Q288*Dimensoes!$C$5))/(IF(N288="",0,Dimensoes!$C$2)+IF(O288="",0,Dimensoes!$C$3)+IF(P288="",0,Dimensoes!$C$4)+IF(Q288="",0,Dimensoes!$C$5))))</f>
        <v/>
      </c>
      <c r="S288" s="0" t="str">
        <f aca="false">IF(R288="","",IF(R288&lt;Faixas!$C$3,"vermelho",IF(R288&lt;Faixas!$C$4,"amarelo","verde")))</f>
        <v/>
      </c>
      <c r="T288" s="9" t="str">
        <f aca="false">IF($A288="","",IF(N288="",0,N288*Dimensoes!$C$2)+IF(O288="",0,O288*Dimensoes!$C$3)+IF(P288="",0,P288*Dimensoes!$C$4)+IF(Q288="",0,Q288*Dimensoes!$C$5))</f>
        <v/>
      </c>
      <c r="U288" s="0" t="str">
        <f aca="false">IF($A288="","",IF(OR(E288="concluida",E288="incompleta"),1,0))</f>
        <v/>
      </c>
    </row>
    <row r="289" customFormat="false" ht="15" hidden="false" customHeight="false" outlineLevel="0" collapsed="false">
      <c r="A289" s="0" t="str">
        <f aca="false">IF(Visitas!A289="","",Visitas!A289)</f>
        <v/>
      </c>
      <c r="B289" s="0" t="str">
        <f aca="false">IF($A289="","",Visitas!C289)</f>
        <v/>
      </c>
      <c r="C289" s="7" t="str">
        <f aca="false">IF($A289="","",Visitas!D289)</f>
        <v/>
      </c>
      <c r="D289" s="0" t="str">
        <f aca="false">IF($A289="","",Visitas!B289)</f>
        <v/>
      </c>
      <c r="E289" s="0" t="str">
        <f aca="false">IF($A289="","",Visitas!F289)</f>
        <v/>
      </c>
      <c r="F289" s="0" t="str">
        <f aca="false">IF($A289="","",SUMIFS(Avaliacoes!$G$2:$G$6000,Avaliacoes!$A$2:$A$6000,$A289,Avaliacoes!$F$2:$F$6000,"I",Avaliacoes!$H$2:$H$6000,0))</f>
        <v/>
      </c>
      <c r="G289" s="0" t="str">
        <f aca="false">IF($A289="","",SUMIFS(Avaliacoes!$G$2:$G$6000,Avaliacoes!$A$2:$A$6000,$A289,Avaliacoes!$F$2:$F$6000,"II",Avaliacoes!$H$2:$H$6000,0))</f>
        <v/>
      </c>
      <c r="H289" s="0" t="str">
        <f aca="false">IF($A289="","",SUMIFS(Avaliacoes!$G$2:$G$6000,Avaliacoes!$A$2:$A$6000,$A289,Avaliacoes!$F$2:$F$6000,"III",Avaliacoes!$H$2:$H$6000,0))</f>
        <v/>
      </c>
      <c r="I289" s="0" t="str">
        <f aca="false">IF($A289="","",SUMIFS(Avaliacoes!$G$2:$G$6000,Avaliacoes!$A$2:$A$6000,$A289,Avaliacoes!$F$2:$F$6000,"IV",Avaliacoes!$H$2:$H$6000,0))</f>
        <v/>
      </c>
      <c r="J289" s="0" t="str">
        <f aca="false">IF($A289="","",COUNTIFS(Avaliacoes!$A$2:$A$6000,$A289,Avaliacoes!$F$2:$F$6000,"I",Avaliacoes!$H$2:$H$6000,0,Avaliacoes!$G$2:$G$6000,"&lt;&gt;")*Dimensoes!$E$2)</f>
        <v/>
      </c>
      <c r="K289" s="0" t="str">
        <f aca="false">IF($A289="","",COUNTIFS(Avaliacoes!$A$2:$A$6000,$A289,Avaliacoes!$F$2:$F$6000,"II",Avaliacoes!$H$2:$H$6000,0,Avaliacoes!$G$2:$G$6000,"&lt;&gt;")*Dimensoes!$E$3)</f>
        <v/>
      </c>
      <c r="L289" s="0" t="str">
        <f aca="false">IF($A289="","",COUNTIFS(Avaliacoes!$A$2:$A$6000,$A289,Avaliacoes!$F$2:$F$6000,"III",Avaliacoes!$H$2:$H$6000,0,Avaliacoes!$G$2:$G$6000,"&lt;&gt;")*Dimensoes!$E$4)</f>
        <v/>
      </c>
      <c r="M289" s="0" t="str">
        <f aca="false">IF($A289="","",COUNTIFS(Avaliacoes!$A$2:$A$6000,$A289,Avaliacoes!$F$2:$F$6000,"IV",Avaliacoes!$H$2:$H$6000,0,Avaliacoes!$G$2:$G$6000,"&lt;&gt;")*Dimensoes!$E$5)</f>
        <v/>
      </c>
      <c r="N289" s="9" t="str">
        <f aca="false">IF($A289="","",IF(J289&gt;0,F289/J289,""))</f>
        <v/>
      </c>
      <c r="O289" s="9" t="str">
        <f aca="false">IF($A289="","",IF(K289&gt;0,G289/K289,""))</f>
        <v/>
      </c>
      <c r="P289" s="9" t="str">
        <f aca="false">IF($A289="","",IF(L289&gt;0,H289/L289,""))</f>
        <v/>
      </c>
      <c r="Q289" s="9" t="str">
        <f aca="false">IF($A289="","",IF(M289&gt;0,I289/M289,""))</f>
        <v/>
      </c>
      <c r="R289" s="17" t="str">
        <f aca="false">IF($A289="","",IF((IF(N289="",0,Dimensoes!$C$2)+IF(O289="",0,Dimensoes!$C$3)+IF(P289="",0,Dimensoes!$C$4)+IF(Q289="",0,Dimensoes!$C$5))=0,"",(IF(N289="",0,N289*Dimensoes!$C$2)+IF(O289="",0,O289*Dimensoes!$C$3)+IF(P289="",0,P289*Dimensoes!$C$4)+IF(Q289="",0,Q289*Dimensoes!$C$5))/(IF(N289="",0,Dimensoes!$C$2)+IF(O289="",0,Dimensoes!$C$3)+IF(P289="",0,Dimensoes!$C$4)+IF(Q289="",0,Dimensoes!$C$5))))</f>
        <v/>
      </c>
      <c r="S289" s="0" t="str">
        <f aca="false">IF(R289="","",IF(R289&lt;Faixas!$C$3,"vermelho",IF(R289&lt;Faixas!$C$4,"amarelo","verde")))</f>
        <v/>
      </c>
      <c r="T289" s="9" t="str">
        <f aca="false">IF($A289="","",IF(N289="",0,N289*Dimensoes!$C$2)+IF(O289="",0,O289*Dimensoes!$C$3)+IF(P289="",0,P289*Dimensoes!$C$4)+IF(Q289="",0,Q289*Dimensoes!$C$5))</f>
        <v/>
      </c>
      <c r="U289" s="0" t="str">
        <f aca="false">IF($A289="","",IF(OR(E289="concluida",E289="incompleta"),1,0))</f>
        <v/>
      </c>
    </row>
    <row r="290" customFormat="false" ht="15" hidden="false" customHeight="false" outlineLevel="0" collapsed="false">
      <c r="A290" s="0" t="str">
        <f aca="false">IF(Visitas!A290="","",Visitas!A290)</f>
        <v/>
      </c>
      <c r="B290" s="0" t="str">
        <f aca="false">IF($A290="","",Visitas!C290)</f>
        <v/>
      </c>
      <c r="C290" s="7" t="str">
        <f aca="false">IF($A290="","",Visitas!D290)</f>
        <v/>
      </c>
      <c r="D290" s="0" t="str">
        <f aca="false">IF($A290="","",Visitas!B290)</f>
        <v/>
      </c>
      <c r="E290" s="0" t="str">
        <f aca="false">IF($A290="","",Visitas!F290)</f>
        <v/>
      </c>
      <c r="F290" s="0" t="str">
        <f aca="false">IF($A290="","",SUMIFS(Avaliacoes!$G$2:$G$6000,Avaliacoes!$A$2:$A$6000,$A290,Avaliacoes!$F$2:$F$6000,"I",Avaliacoes!$H$2:$H$6000,0))</f>
        <v/>
      </c>
      <c r="G290" s="0" t="str">
        <f aca="false">IF($A290="","",SUMIFS(Avaliacoes!$G$2:$G$6000,Avaliacoes!$A$2:$A$6000,$A290,Avaliacoes!$F$2:$F$6000,"II",Avaliacoes!$H$2:$H$6000,0))</f>
        <v/>
      </c>
      <c r="H290" s="0" t="str">
        <f aca="false">IF($A290="","",SUMIFS(Avaliacoes!$G$2:$G$6000,Avaliacoes!$A$2:$A$6000,$A290,Avaliacoes!$F$2:$F$6000,"III",Avaliacoes!$H$2:$H$6000,0))</f>
        <v/>
      </c>
      <c r="I290" s="0" t="str">
        <f aca="false">IF($A290="","",SUMIFS(Avaliacoes!$G$2:$G$6000,Avaliacoes!$A$2:$A$6000,$A290,Avaliacoes!$F$2:$F$6000,"IV",Avaliacoes!$H$2:$H$6000,0))</f>
        <v/>
      </c>
      <c r="J290" s="0" t="str">
        <f aca="false">IF($A290="","",COUNTIFS(Avaliacoes!$A$2:$A$6000,$A290,Avaliacoes!$F$2:$F$6000,"I",Avaliacoes!$H$2:$H$6000,0,Avaliacoes!$G$2:$G$6000,"&lt;&gt;")*Dimensoes!$E$2)</f>
        <v/>
      </c>
      <c r="K290" s="0" t="str">
        <f aca="false">IF($A290="","",COUNTIFS(Avaliacoes!$A$2:$A$6000,$A290,Avaliacoes!$F$2:$F$6000,"II",Avaliacoes!$H$2:$H$6000,0,Avaliacoes!$G$2:$G$6000,"&lt;&gt;")*Dimensoes!$E$3)</f>
        <v/>
      </c>
      <c r="L290" s="0" t="str">
        <f aca="false">IF($A290="","",COUNTIFS(Avaliacoes!$A$2:$A$6000,$A290,Avaliacoes!$F$2:$F$6000,"III",Avaliacoes!$H$2:$H$6000,0,Avaliacoes!$G$2:$G$6000,"&lt;&gt;")*Dimensoes!$E$4)</f>
        <v/>
      </c>
      <c r="M290" s="0" t="str">
        <f aca="false">IF($A290="","",COUNTIFS(Avaliacoes!$A$2:$A$6000,$A290,Avaliacoes!$F$2:$F$6000,"IV",Avaliacoes!$H$2:$H$6000,0,Avaliacoes!$G$2:$G$6000,"&lt;&gt;")*Dimensoes!$E$5)</f>
        <v/>
      </c>
      <c r="N290" s="9" t="str">
        <f aca="false">IF($A290="","",IF(J290&gt;0,F290/J290,""))</f>
        <v/>
      </c>
      <c r="O290" s="9" t="str">
        <f aca="false">IF($A290="","",IF(K290&gt;0,G290/K290,""))</f>
        <v/>
      </c>
      <c r="P290" s="9" t="str">
        <f aca="false">IF($A290="","",IF(L290&gt;0,H290/L290,""))</f>
        <v/>
      </c>
      <c r="Q290" s="9" t="str">
        <f aca="false">IF($A290="","",IF(M290&gt;0,I290/M290,""))</f>
        <v/>
      </c>
      <c r="R290" s="17" t="str">
        <f aca="false">IF($A290="","",IF((IF(N290="",0,Dimensoes!$C$2)+IF(O290="",0,Dimensoes!$C$3)+IF(P290="",0,Dimensoes!$C$4)+IF(Q290="",0,Dimensoes!$C$5))=0,"",(IF(N290="",0,N290*Dimensoes!$C$2)+IF(O290="",0,O290*Dimensoes!$C$3)+IF(P290="",0,P290*Dimensoes!$C$4)+IF(Q290="",0,Q290*Dimensoes!$C$5))/(IF(N290="",0,Dimensoes!$C$2)+IF(O290="",0,Dimensoes!$C$3)+IF(P290="",0,Dimensoes!$C$4)+IF(Q290="",0,Dimensoes!$C$5))))</f>
        <v/>
      </c>
      <c r="S290" s="0" t="str">
        <f aca="false">IF(R290="","",IF(R290&lt;Faixas!$C$3,"vermelho",IF(R290&lt;Faixas!$C$4,"amarelo","verde")))</f>
        <v/>
      </c>
      <c r="T290" s="9" t="str">
        <f aca="false">IF($A290="","",IF(N290="",0,N290*Dimensoes!$C$2)+IF(O290="",0,O290*Dimensoes!$C$3)+IF(P290="",0,P290*Dimensoes!$C$4)+IF(Q290="",0,Q290*Dimensoes!$C$5))</f>
        <v/>
      </c>
      <c r="U290" s="0" t="str">
        <f aca="false">IF($A290="","",IF(OR(E290="concluida",E290="incompleta"),1,0))</f>
        <v/>
      </c>
    </row>
    <row r="291" customFormat="false" ht="15" hidden="false" customHeight="false" outlineLevel="0" collapsed="false">
      <c r="A291" s="0" t="str">
        <f aca="false">IF(Visitas!A291="","",Visitas!A291)</f>
        <v/>
      </c>
      <c r="B291" s="0" t="str">
        <f aca="false">IF($A291="","",Visitas!C291)</f>
        <v/>
      </c>
      <c r="C291" s="7" t="str">
        <f aca="false">IF($A291="","",Visitas!D291)</f>
        <v/>
      </c>
      <c r="D291" s="0" t="str">
        <f aca="false">IF($A291="","",Visitas!B291)</f>
        <v/>
      </c>
      <c r="E291" s="0" t="str">
        <f aca="false">IF($A291="","",Visitas!F291)</f>
        <v/>
      </c>
      <c r="F291" s="0" t="str">
        <f aca="false">IF($A291="","",SUMIFS(Avaliacoes!$G$2:$G$6000,Avaliacoes!$A$2:$A$6000,$A291,Avaliacoes!$F$2:$F$6000,"I",Avaliacoes!$H$2:$H$6000,0))</f>
        <v/>
      </c>
      <c r="G291" s="0" t="str">
        <f aca="false">IF($A291="","",SUMIFS(Avaliacoes!$G$2:$G$6000,Avaliacoes!$A$2:$A$6000,$A291,Avaliacoes!$F$2:$F$6000,"II",Avaliacoes!$H$2:$H$6000,0))</f>
        <v/>
      </c>
      <c r="H291" s="0" t="str">
        <f aca="false">IF($A291="","",SUMIFS(Avaliacoes!$G$2:$G$6000,Avaliacoes!$A$2:$A$6000,$A291,Avaliacoes!$F$2:$F$6000,"III",Avaliacoes!$H$2:$H$6000,0))</f>
        <v/>
      </c>
      <c r="I291" s="0" t="str">
        <f aca="false">IF($A291="","",SUMIFS(Avaliacoes!$G$2:$G$6000,Avaliacoes!$A$2:$A$6000,$A291,Avaliacoes!$F$2:$F$6000,"IV",Avaliacoes!$H$2:$H$6000,0))</f>
        <v/>
      </c>
      <c r="J291" s="0" t="str">
        <f aca="false">IF($A291="","",COUNTIFS(Avaliacoes!$A$2:$A$6000,$A291,Avaliacoes!$F$2:$F$6000,"I",Avaliacoes!$H$2:$H$6000,0,Avaliacoes!$G$2:$G$6000,"&lt;&gt;")*Dimensoes!$E$2)</f>
        <v/>
      </c>
      <c r="K291" s="0" t="str">
        <f aca="false">IF($A291="","",COUNTIFS(Avaliacoes!$A$2:$A$6000,$A291,Avaliacoes!$F$2:$F$6000,"II",Avaliacoes!$H$2:$H$6000,0,Avaliacoes!$G$2:$G$6000,"&lt;&gt;")*Dimensoes!$E$3)</f>
        <v/>
      </c>
      <c r="L291" s="0" t="str">
        <f aca="false">IF($A291="","",COUNTIFS(Avaliacoes!$A$2:$A$6000,$A291,Avaliacoes!$F$2:$F$6000,"III",Avaliacoes!$H$2:$H$6000,0,Avaliacoes!$G$2:$G$6000,"&lt;&gt;")*Dimensoes!$E$4)</f>
        <v/>
      </c>
      <c r="M291" s="0" t="str">
        <f aca="false">IF($A291="","",COUNTIFS(Avaliacoes!$A$2:$A$6000,$A291,Avaliacoes!$F$2:$F$6000,"IV",Avaliacoes!$H$2:$H$6000,0,Avaliacoes!$G$2:$G$6000,"&lt;&gt;")*Dimensoes!$E$5)</f>
        <v/>
      </c>
      <c r="N291" s="9" t="str">
        <f aca="false">IF($A291="","",IF(J291&gt;0,F291/J291,""))</f>
        <v/>
      </c>
      <c r="O291" s="9" t="str">
        <f aca="false">IF($A291="","",IF(K291&gt;0,G291/K291,""))</f>
        <v/>
      </c>
      <c r="P291" s="9" t="str">
        <f aca="false">IF($A291="","",IF(L291&gt;0,H291/L291,""))</f>
        <v/>
      </c>
      <c r="Q291" s="9" t="str">
        <f aca="false">IF($A291="","",IF(M291&gt;0,I291/M291,""))</f>
        <v/>
      </c>
      <c r="R291" s="17" t="str">
        <f aca="false">IF($A291="","",IF((IF(N291="",0,Dimensoes!$C$2)+IF(O291="",0,Dimensoes!$C$3)+IF(P291="",0,Dimensoes!$C$4)+IF(Q291="",0,Dimensoes!$C$5))=0,"",(IF(N291="",0,N291*Dimensoes!$C$2)+IF(O291="",0,O291*Dimensoes!$C$3)+IF(P291="",0,P291*Dimensoes!$C$4)+IF(Q291="",0,Q291*Dimensoes!$C$5))/(IF(N291="",0,Dimensoes!$C$2)+IF(O291="",0,Dimensoes!$C$3)+IF(P291="",0,Dimensoes!$C$4)+IF(Q291="",0,Dimensoes!$C$5))))</f>
        <v/>
      </c>
      <c r="S291" s="0" t="str">
        <f aca="false">IF(R291="","",IF(R291&lt;Faixas!$C$3,"vermelho",IF(R291&lt;Faixas!$C$4,"amarelo","verde")))</f>
        <v/>
      </c>
      <c r="T291" s="9" t="str">
        <f aca="false">IF($A291="","",IF(N291="",0,N291*Dimensoes!$C$2)+IF(O291="",0,O291*Dimensoes!$C$3)+IF(P291="",0,P291*Dimensoes!$C$4)+IF(Q291="",0,Q291*Dimensoes!$C$5))</f>
        <v/>
      </c>
      <c r="U291" s="0" t="str">
        <f aca="false">IF($A291="","",IF(OR(E291="concluida",E291="incompleta"),1,0))</f>
        <v/>
      </c>
    </row>
    <row r="292" customFormat="false" ht="15" hidden="false" customHeight="false" outlineLevel="0" collapsed="false">
      <c r="A292" s="0" t="str">
        <f aca="false">IF(Visitas!A292="","",Visitas!A292)</f>
        <v/>
      </c>
      <c r="B292" s="0" t="str">
        <f aca="false">IF($A292="","",Visitas!C292)</f>
        <v/>
      </c>
      <c r="C292" s="7" t="str">
        <f aca="false">IF($A292="","",Visitas!D292)</f>
        <v/>
      </c>
      <c r="D292" s="0" t="str">
        <f aca="false">IF($A292="","",Visitas!B292)</f>
        <v/>
      </c>
      <c r="E292" s="0" t="str">
        <f aca="false">IF($A292="","",Visitas!F292)</f>
        <v/>
      </c>
      <c r="F292" s="0" t="str">
        <f aca="false">IF($A292="","",SUMIFS(Avaliacoes!$G$2:$G$6000,Avaliacoes!$A$2:$A$6000,$A292,Avaliacoes!$F$2:$F$6000,"I",Avaliacoes!$H$2:$H$6000,0))</f>
        <v/>
      </c>
      <c r="G292" s="0" t="str">
        <f aca="false">IF($A292="","",SUMIFS(Avaliacoes!$G$2:$G$6000,Avaliacoes!$A$2:$A$6000,$A292,Avaliacoes!$F$2:$F$6000,"II",Avaliacoes!$H$2:$H$6000,0))</f>
        <v/>
      </c>
      <c r="H292" s="0" t="str">
        <f aca="false">IF($A292="","",SUMIFS(Avaliacoes!$G$2:$G$6000,Avaliacoes!$A$2:$A$6000,$A292,Avaliacoes!$F$2:$F$6000,"III",Avaliacoes!$H$2:$H$6000,0))</f>
        <v/>
      </c>
      <c r="I292" s="0" t="str">
        <f aca="false">IF($A292="","",SUMIFS(Avaliacoes!$G$2:$G$6000,Avaliacoes!$A$2:$A$6000,$A292,Avaliacoes!$F$2:$F$6000,"IV",Avaliacoes!$H$2:$H$6000,0))</f>
        <v/>
      </c>
      <c r="J292" s="0" t="str">
        <f aca="false">IF($A292="","",COUNTIFS(Avaliacoes!$A$2:$A$6000,$A292,Avaliacoes!$F$2:$F$6000,"I",Avaliacoes!$H$2:$H$6000,0,Avaliacoes!$G$2:$G$6000,"&lt;&gt;")*Dimensoes!$E$2)</f>
        <v/>
      </c>
      <c r="K292" s="0" t="str">
        <f aca="false">IF($A292="","",COUNTIFS(Avaliacoes!$A$2:$A$6000,$A292,Avaliacoes!$F$2:$F$6000,"II",Avaliacoes!$H$2:$H$6000,0,Avaliacoes!$G$2:$G$6000,"&lt;&gt;")*Dimensoes!$E$3)</f>
        <v/>
      </c>
      <c r="L292" s="0" t="str">
        <f aca="false">IF($A292="","",COUNTIFS(Avaliacoes!$A$2:$A$6000,$A292,Avaliacoes!$F$2:$F$6000,"III",Avaliacoes!$H$2:$H$6000,0,Avaliacoes!$G$2:$G$6000,"&lt;&gt;")*Dimensoes!$E$4)</f>
        <v/>
      </c>
      <c r="M292" s="0" t="str">
        <f aca="false">IF($A292="","",COUNTIFS(Avaliacoes!$A$2:$A$6000,$A292,Avaliacoes!$F$2:$F$6000,"IV",Avaliacoes!$H$2:$H$6000,0,Avaliacoes!$G$2:$G$6000,"&lt;&gt;")*Dimensoes!$E$5)</f>
        <v/>
      </c>
      <c r="N292" s="9" t="str">
        <f aca="false">IF($A292="","",IF(J292&gt;0,F292/J292,""))</f>
        <v/>
      </c>
      <c r="O292" s="9" t="str">
        <f aca="false">IF($A292="","",IF(K292&gt;0,G292/K292,""))</f>
        <v/>
      </c>
      <c r="P292" s="9" t="str">
        <f aca="false">IF($A292="","",IF(L292&gt;0,H292/L292,""))</f>
        <v/>
      </c>
      <c r="Q292" s="9" t="str">
        <f aca="false">IF($A292="","",IF(M292&gt;0,I292/M292,""))</f>
        <v/>
      </c>
      <c r="R292" s="17" t="str">
        <f aca="false">IF($A292="","",IF((IF(N292="",0,Dimensoes!$C$2)+IF(O292="",0,Dimensoes!$C$3)+IF(P292="",0,Dimensoes!$C$4)+IF(Q292="",0,Dimensoes!$C$5))=0,"",(IF(N292="",0,N292*Dimensoes!$C$2)+IF(O292="",0,O292*Dimensoes!$C$3)+IF(P292="",0,P292*Dimensoes!$C$4)+IF(Q292="",0,Q292*Dimensoes!$C$5))/(IF(N292="",0,Dimensoes!$C$2)+IF(O292="",0,Dimensoes!$C$3)+IF(P292="",0,Dimensoes!$C$4)+IF(Q292="",0,Dimensoes!$C$5))))</f>
        <v/>
      </c>
      <c r="S292" s="0" t="str">
        <f aca="false">IF(R292="","",IF(R292&lt;Faixas!$C$3,"vermelho",IF(R292&lt;Faixas!$C$4,"amarelo","verde")))</f>
        <v/>
      </c>
      <c r="T292" s="9" t="str">
        <f aca="false">IF($A292="","",IF(N292="",0,N292*Dimensoes!$C$2)+IF(O292="",0,O292*Dimensoes!$C$3)+IF(P292="",0,P292*Dimensoes!$C$4)+IF(Q292="",0,Q292*Dimensoes!$C$5))</f>
        <v/>
      </c>
      <c r="U292" s="0" t="str">
        <f aca="false">IF($A292="","",IF(OR(E292="concluida",E292="incompleta"),1,0))</f>
        <v/>
      </c>
    </row>
    <row r="293" customFormat="false" ht="15" hidden="false" customHeight="false" outlineLevel="0" collapsed="false">
      <c r="A293" s="0" t="str">
        <f aca="false">IF(Visitas!A293="","",Visitas!A293)</f>
        <v/>
      </c>
      <c r="B293" s="0" t="str">
        <f aca="false">IF($A293="","",Visitas!C293)</f>
        <v/>
      </c>
      <c r="C293" s="7" t="str">
        <f aca="false">IF($A293="","",Visitas!D293)</f>
        <v/>
      </c>
      <c r="D293" s="0" t="str">
        <f aca="false">IF($A293="","",Visitas!B293)</f>
        <v/>
      </c>
      <c r="E293" s="0" t="str">
        <f aca="false">IF($A293="","",Visitas!F293)</f>
        <v/>
      </c>
      <c r="F293" s="0" t="str">
        <f aca="false">IF($A293="","",SUMIFS(Avaliacoes!$G$2:$G$6000,Avaliacoes!$A$2:$A$6000,$A293,Avaliacoes!$F$2:$F$6000,"I",Avaliacoes!$H$2:$H$6000,0))</f>
        <v/>
      </c>
      <c r="G293" s="0" t="str">
        <f aca="false">IF($A293="","",SUMIFS(Avaliacoes!$G$2:$G$6000,Avaliacoes!$A$2:$A$6000,$A293,Avaliacoes!$F$2:$F$6000,"II",Avaliacoes!$H$2:$H$6000,0))</f>
        <v/>
      </c>
      <c r="H293" s="0" t="str">
        <f aca="false">IF($A293="","",SUMIFS(Avaliacoes!$G$2:$G$6000,Avaliacoes!$A$2:$A$6000,$A293,Avaliacoes!$F$2:$F$6000,"III",Avaliacoes!$H$2:$H$6000,0))</f>
        <v/>
      </c>
      <c r="I293" s="0" t="str">
        <f aca="false">IF($A293="","",SUMIFS(Avaliacoes!$G$2:$G$6000,Avaliacoes!$A$2:$A$6000,$A293,Avaliacoes!$F$2:$F$6000,"IV",Avaliacoes!$H$2:$H$6000,0))</f>
        <v/>
      </c>
      <c r="J293" s="0" t="str">
        <f aca="false">IF($A293="","",COUNTIFS(Avaliacoes!$A$2:$A$6000,$A293,Avaliacoes!$F$2:$F$6000,"I",Avaliacoes!$H$2:$H$6000,0,Avaliacoes!$G$2:$G$6000,"&lt;&gt;")*Dimensoes!$E$2)</f>
        <v/>
      </c>
      <c r="K293" s="0" t="str">
        <f aca="false">IF($A293="","",COUNTIFS(Avaliacoes!$A$2:$A$6000,$A293,Avaliacoes!$F$2:$F$6000,"II",Avaliacoes!$H$2:$H$6000,0,Avaliacoes!$G$2:$G$6000,"&lt;&gt;")*Dimensoes!$E$3)</f>
        <v/>
      </c>
      <c r="L293" s="0" t="str">
        <f aca="false">IF($A293="","",COUNTIFS(Avaliacoes!$A$2:$A$6000,$A293,Avaliacoes!$F$2:$F$6000,"III",Avaliacoes!$H$2:$H$6000,0,Avaliacoes!$G$2:$G$6000,"&lt;&gt;")*Dimensoes!$E$4)</f>
        <v/>
      </c>
      <c r="M293" s="0" t="str">
        <f aca="false">IF($A293="","",COUNTIFS(Avaliacoes!$A$2:$A$6000,$A293,Avaliacoes!$F$2:$F$6000,"IV",Avaliacoes!$H$2:$H$6000,0,Avaliacoes!$G$2:$G$6000,"&lt;&gt;")*Dimensoes!$E$5)</f>
        <v/>
      </c>
      <c r="N293" s="9" t="str">
        <f aca="false">IF($A293="","",IF(J293&gt;0,F293/J293,""))</f>
        <v/>
      </c>
      <c r="O293" s="9" t="str">
        <f aca="false">IF($A293="","",IF(K293&gt;0,G293/K293,""))</f>
        <v/>
      </c>
      <c r="P293" s="9" t="str">
        <f aca="false">IF($A293="","",IF(L293&gt;0,H293/L293,""))</f>
        <v/>
      </c>
      <c r="Q293" s="9" t="str">
        <f aca="false">IF($A293="","",IF(M293&gt;0,I293/M293,""))</f>
        <v/>
      </c>
      <c r="R293" s="17" t="str">
        <f aca="false">IF($A293="","",IF((IF(N293="",0,Dimensoes!$C$2)+IF(O293="",0,Dimensoes!$C$3)+IF(P293="",0,Dimensoes!$C$4)+IF(Q293="",0,Dimensoes!$C$5))=0,"",(IF(N293="",0,N293*Dimensoes!$C$2)+IF(O293="",0,O293*Dimensoes!$C$3)+IF(P293="",0,P293*Dimensoes!$C$4)+IF(Q293="",0,Q293*Dimensoes!$C$5))/(IF(N293="",0,Dimensoes!$C$2)+IF(O293="",0,Dimensoes!$C$3)+IF(P293="",0,Dimensoes!$C$4)+IF(Q293="",0,Dimensoes!$C$5))))</f>
        <v/>
      </c>
      <c r="S293" s="0" t="str">
        <f aca="false">IF(R293="","",IF(R293&lt;Faixas!$C$3,"vermelho",IF(R293&lt;Faixas!$C$4,"amarelo","verde")))</f>
        <v/>
      </c>
      <c r="T293" s="9" t="str">
        <f aca="false">IF($A293="","",IF(N293="",0,N293*Dimensoes!$C$2)+IF(O293="",0,O293*Dimensoes!$C$3)+IF(P293="",0,P293*Dimensoes!$C$4)+IF(Q293="",0,Q293*Dimensoes!$C$5))</f>
        <v/>
      </c>
      <c r="U293" s="0" t="str">
        <f aca="false">IF($A293="","",IF(OR(E293="concluida",E293="incompleta"),1,0))</f>
        <v/>
      </c>
    </row>
    <row r="294" customFormat="false" ht="15" hidden="false" customHeight="false" outlineLevel="0" collapsed="false">
      <c r="A294" s="0" t="str">
        <f aca="false">IF(Visitas!A294="","",Visitas!A294)</f>
        <v/>
      </c>
      <c r="B294" s="0" t="str">
        <f aca="false">IF($A294="","",Visitas!C294)</f>
        <v/>
      </c>
      <c r="C294" s="7" t="str">
        <f aca="false">IF($A294="","",Visitas!D294)</f>
        <v/>
      </c>
      <c r="D294" s="0" t="str">
        <f aca="false">IF($A294="","",Visitas!B294)</f>
        <v/>
      </c>
      <c r="E294" s="0" t="str">
        <f aca="false">IF($A294="","",Visitas!F294)</f>
        <v/>
      </c>
      <c r="F294" s="0" t="str">
        <f aca="false">IF($A294="","",SUMIFS(Avaliacoes!$G$2:$G$6000,Avaliacoes!$A$2:$A$6000,$A294,Avaliacoes!$F$2:$F$6000,"I",Avaliacoes!$H$2:$H$6000,0))</f>
        <v/>
      </c>
      <c r="G294" s="0" t="str">
        <f aca="false">IF($A294="","",SUMIFS(Avaliacoes!$G$2:$G$6000,Avaliacoes!$A$2:$A$6000,$A294,Avaliacoes!$F$2:$F$6000,"II",Avaliacoes!$H$2:$H$6000,0))</f>
        <v/>
      </c>
      <c r="H294" s="0" t="str">
        <f aca="false">IF($A294="","",SUMIFS(Avaliacoes!$G$2:$G$6000,Avaliacoes!$A$2:$A$6000,$A294,Avaliacoes!$F$2:$F$6000,"III",Avaliacoes!$H$2:$H$6000,0))</f>
        <v/>
      </c>
      <c r="I294" s="0" t="str">
        <f aca="false">IF($A294="","",SUMIFS(Avaliacoes!$G$2:$G$6000,Avaliacoes!$A$2:$A$6000,$A294,Avaliacoes!$F$2:$F$6000,"IV",Avaliacoes!$H$2:$H$6000,0))</f>
        <v/>
      </c>
      <c r="J294" s="0" t="str">
        <f aca="false">IF($A294="","",COUNTIFS(Avaliacoes!$A$2:$A$6000,$A294,Avaliacoes!$F$2:$F$6000,"I",Avaliacoes!$H$2:$H$6000,0,Avaliacoes!$G$2:$G$6000,"&lt;&gt;")*Dimensoes!$E$2)</f>
        <v/>
      </c>
      <c r="K294" s="0" t="str">
        <f aca="false">IF($A294="","",COUNTIFS(Avaliacoes!$A$2:$A$6000,$A294,Avaliacoes!$F$2:$F$6000,"II",Avaliacoes!$H$2:$H$6000,0,Avaliacoes!$G$2:$G$6000,"&lt;&gt;")*Dimensoes!$E$3)</f>
        <v/>
      </c>
      <c r="L294" s="0" t="str">
        <f aca="false">IF($A294="","",COUNTIFS(Avaliacoes!$A$2:$A$6000,$A294,Avaliacoes!$F$2:$F$6000,"III",Avaliacoes!$H$2:$H$6000,0,Avaliacoes!$G$2:$G$6000,"&lt;&gt;")*Dimensoes!$E$4)</f>
        <v/>
      </c>
      <c r="M294" s="0" t="str">
        <f aca="false">IF($A294="","",COUNTIFS(Avaliacoes!$A$2:$A$6000,$A294,Avaliacoes!$F$2:$F$6000,"IV",Avaliacoes!$H$2:$H$6000,0,Avaliacoes!$G$2:$G$6000,"&lt;&gt;")*Dimensoes!$E$5)</f>
        <v/>
      </c>
      <c r="N294" s="9" t="str">
        <f aca="false">IF($A294="","",IF(J294&gt;0,F294/J294,""))</f>
        <v/>
      </c>
      <c r="O294" s="9" t="str">
        <f aca="false">IF($A294="","",IF(K294&gt;0,G294/K294,""))</f>
        <v/>
      </c>
      <c r="P294" s="9" t="str">
        <f aca="false">IF($A294="","",IF(L294&gt;0,H294/L294,""))</f>
        <v/>
      </c>
      <c r="Q294" s="9" t="str">
        <f aca="false">IF($A294="","",IF(M294&gt;0,I294/M294,""))</f>
        <v/>
      </c>
      <c r="R294" s="17" t="str">
        <f aca="false">IF($A294="","",IF((IF(N294="",0,Dimensoes!$C$2)+IF(O294="",0,Dimensoes!$C$3)+IF(P294="",0,Dimensoes!$C$4)+IF(Q294="",0,Dimensoes!$C$5))=0,"",(IF(N294="",0,N294*Dimensoes!$C$2)+IF(O294="",0,O294*Dimensoes!$C$3)+IF(P294="",0,P294*Dimensoes!$C$4)+IF(Q294="",0,Q294*Dimensoes!$C$5))/(IF(N294="",0,Dimensoes!$C$2)+IF(O294="",0,Dimensoes!$C$3)+IF(P294="",0,Dimensoes!$C$4)+IF(Q294="",0,Dimensoes!$C$5))))</f>
        <v/>
      </c>
      <c r="S294" s="0" t="str">
        <f aca="false">IF(R294="","",IF(R294&lt;Faixas!$C$3,"vermelho",IF(R294&lt;Faixas!$C$4,"amarelo","verde")))</f>
        <v/>
      </c>
      <c r="T294" s="9" t="str">
        <f aca="false">IF($A294="","",IF(N294="",0,N294*Dimensoes!$C$2)+IF(O294="",0,O294*Dimensoes!$C$3)+IF(P294="",0,P294*Dimensoes!$C$4)+IF(Q294="",0,Q294*Dimensoes!$C$5))</f>
        <v/>
      </c>
      <c r="U294" s="0" t="str">
        <f aca="false">IF($A294="","",IF(OR(E294="concluida",E294="incompleta"),1,0))</f>
        <v/>
      </c>
    </row>
    <row r="295" customFormat="false" ht="15" hidden="false" customHeight="false" outlineLevel="0" collapsed="false">
      <c r="A295" s="0" t="str">
        <f aca="false">IF(Visitas!A295="","",Visitas!A295)</f>
        <v/>
      </c>
      <c r="B295" s="0" t="str">
        <f aca="false">IF($A295="","",Visitas!C295)</f>
        <v/>
      </c>
      <c r="C295" s="7" t="str">
        <f aca="false">IF($A295="","",Visitas!D295)</f>
        <v/>
      </c>
      <c r="D295" s="0" t="str">
        <f aca="false">IF($A295="","",Visitas!B295)</f>
        <v/>
      </c>
      <c r="E295" s="0" t="str">
        <f aca="false">IF($A295="","",Visitas!F295)</f>
        <v/>
      </c>
      <c r="F295" s="0" t="str">
        <f aca="false">IF($A295="","",SUMIFS(Avaliacoes!$G$2:$G$6000,Avaliacoes!$A$2:$A$6000,$A295,Avaliacoes!$F$2:$F$6000,"I",Avaliacoes!$H$2:$H$6000,0))</f>
        <v/>
      </c>
      <c r="G295" s="0" t="str">
        <f aca="false">IF($A295="","",SUMIFS(Avaliacoes!$G$2:$G$6000,Avaliacoes!$A$2:$A$6000,$A295,Avaliacoes!$F$2:$F$6000,"II",Avaliacoes!$H$2:$H$6000,0))</f>
        <v/>
      </c>
      <c r="H295" s="0" t="str">
        <f aca="false">IF($A295="","",SUMIFS(Avaliacoes!$G$2:$G$6000,Avaliacoes!$A$2:$A$6000,$A295,Avaliacoes!$F$2:$F$6000,"III",Avaliacoes!$H$2:$H$6000,0))</f>
        <v/>
      </c>
      <c r="I295" s="0" t="str">
        <f aca="false">IF($A295="","",SUMIFS(Avaliacoes!$G$2:$G$6000,Avaliacoes!$A$2:$A$6000,$A295,Avaliacoes!$F$2:$F$6000,"IV",Avaliacoes!$H$2:$H$6000,0))</f>
        <v/>
      </c>
      <c r="J295" s="0" t="str">
        <f aca="false">IF($A295="","",COUNTIFS(Avaliacoes!$A$2:$A$6000,$A295,Avaliacoes!$F$2:$F$6000,"I",Avaliacoes!$H$2:$H$6000,0,Avaliacoes!$G$2:$G$6000,"&lt;&gt;")*Dimensoes!$E$2)</f>
        <v/>
      </c>
      <c r="K295" s="0" t="str">
        <f aca="false">IF($A295="","",COUNTIFS(Avaliacoes!$A$2:$A$6000,$A295,Avaliacoes!$F$2:$F$6000,"II",Avaliacoes!$H$2:$H$6000,0,Avaliacoes!$G$2:$G$6000,"&lt;&gt;")*Dimensoes!$E$3)</f>
        <v/>
      </c>
      <c r="L295" s="0" t="str">
        <f aca="false">IF($A295="","",COUNTIFS(Avaliacoes!$A$2:$A$6000,$A295,Avaliacoes!$F$2:$F$6000,"III",Avaliacoes!$H$2:$H$6000,0,Avaliacoes!$G$2:$G$6000,"&lt;&gt;")*Dimensoes!$E$4)</f>
        <v/>
      </c>
      <c r="M295" s="0" t="str">
        <f aca="false">IF($A295="","",COUNTIFS(Avaliacoes!$A$2:$A$6000,$A295,Avaliacoes!$F$2:$F$6000,"IV",Avaliacoes!$H$2:$H$6000,0,Avaliacoes!$G$2:$G$6000,"&lt;&gt;")*Dimensoes!$E$5)</f>
        <v/>
      </c>
      <c r="N295" s="9" t="str">
        <f aca="false">IF($A295="","",IF(J295&gt;0,F295/J295,""))</f>
        <v/>
      </c>
      <c r="O295" s="9" t="str">
        <f aca="false">IF($A295="","",IF(K295&gt;0,G295/K295,""))</f>
        <v/>
      </c>
      <c r="P295" s="9" t="str">
        <f aca="false">IF($A295="","",IF(L295&gt;0,H295/L295,""))</f>
        <v/>
      </c>
      <c r="Q295" s="9" t="str">
        <f aca="false">IF($A295="","",IF(M295&gt;0,I295/M295,""))</f>
        <v/>
      </c>
      <c r="R295" s="17" t="str">
        <f aca="false">IF($A295="","",IF((IF(N295="",0,Dimensoes!$C$2)+IF(O295="",0,Dimensoes!$C$3)+IF(P295="",0,Dimensoes!$C$4)+IF(Q295="",0,Dimensoes!$C$5))=0,"",(IF(N295="",0,N295*Dimensoes!$C$2)+IF(O295="",0,O295*Dimensoes!$C$3)+IF(P295="",0,P295*Dimensoes!$C$4)+IF(Q295="",0,Q295*Dimensoes!$C$5))/(IF(N295="",0,Dimensoes!$C$2)+IF(O295="",0,Dimensoes!$C$3)+IF(P295="",0,Dimensoes!$C$4)+IF(Q295="",0,Dimensoes!$C$5))))</f>
        <v/>
      </c>
      <c r="S295" s="0" t="str">
        <f aca="false">IF(R295="","",IF(R295&lt;Faixas!$C$3,"vermelho",IF(R295&lt;Faixas!$C$4,"amarelo","verde")))</f>
        <v/>
      </c>
      <c r="T295" s="9" t="str">
        <f aca="false">IF($A295="","",IF(N295="",0,N295*Dimensoes!$C$2)+IF(O295="",0,O295*Dimensoes!$C$3)+IF(P295="",0,P295*Dimensoes!$C$4)+IF(Q295="",0,Q295*Dimensoes!$C$5))</f>
        <v/>
      </c>
      <c r="U295" s="0" t="str">
        <f aca="false">IF($A295="","",IF(OR(E295="concluida",E295="incompleta"),1,0))</f>
        <v/>
      </c>
    </row>
    <row r="296" customFormat="false" ht="15" hidden="false" customHeight="false" outlineLevel="0" collapsed="false">
      <c r="A296" s="0" t="str">
        <f aca="false">IF(Visitas!A296="","",Visitas!A296)</f>
        <v/>
      </c>
      <c r="B296" s="0" t="str">
        <f aca="false">IF($A296="","",Visitas!C296)</f>
        <v/>
      </c>
      <c r="C296" s="7" t="str">
        <f aca="false">IF($A296="","",Visitas!D296)</f>
        <v/>
      </c>
      <c r="D296" s="0" t="str">
        <f aca="false">IF($A296="","",Visitas!B296)</f>
        <v/>
      </c>
      <c r="E296" s="0" t="str">
        <f aca="false">IF($A296="","",Visitas!F296)</f>
        <v/>
      </c>
      <c r="F296" s="0" t="str">
        <f aca="false">IF($A296="","",SUMIFS(Avaliacoes!$G$2:$G$6000,Avaliacoes!$A$2:$A$6000,$A296,Avaliacoes!$F$2:$F$6000,"I",Avaliacoes!$H$2:$H$6000,0))</f>
        <v/>
      </c>
      <c r="G296" s="0" t="str">
        <f aca="false">IF($A296="","",SUMIFS(Avaliacoes!$G$2:$G$6000,Avaliacoes!$A$2:$A$6000,$A296,Avaliacoes!$F$2:$F$6000,"II",Avaliacoes!$H$2:$H$6000,0))</f>
        <v/>
      </c>
      <c r="H296" s="0" t="str">
        <f aca="false">IF($A296="","",SUMIFS(Avaliacoes!$G$2:$G$6000,Avaliacoes!$A$2:$A$6000,$A296,Avaliacoes!$F$2:$F$6000,"III",Avaliacoes!$H$2:$H$6000,0))</f>
        <v/>
      </c>
      <c r="I296" s="0" t="str">
        <f aca="false">IF($A296="","",SUMIFS(Avaliacoes!$G$2:$G$6000,Avaliacoes!$A$2:$A$6000,$A296,Avaliacoes!$F$2:$F$6000,"IV",Avaliacoes!$H$2:$H$6000,0))</f>
        <v/>
      </c>
      <c r="J296" s="0" t="str">
        <f aca="false">IF($A296="","",COUNTIFS(Avaliacoes!$A$2:$A$6000,$A296,Avaliacoes!$F$2:$F$6000,"I",Avaliacoes!$H$2:$H$6000,0,Avaliacoes!$G$2:$G$6000,"&lt;&gt;")*Dimensoes!$E$2)</f>
        <v/>
      </c>
      <c r="K296" s="0" t="str">
        <f aca="false">IF($A296="","",COUNTIFS(Avaliacoes!$A$2:$A$6000,$A296,Avaliacoes!$F$2:$F$6000,"II",Avaliacoes!$H$2:$H$6000,0,Avaliacoes!$G$2:$G$6000,"&lt;&gt;")*Dimensoes!$E$3)</f>
        <v/>
      </c>
      <c r="L296" s="0" t="str">
        <f aca="false">IF($A296="","",COUNTIFS(Avaliacoes!$A$2:$A$6000,$A296,Avaliacoes!$F$2:$F$6000,"III",Avaliacoes!$H$2:$H$6000,0,Avaliacoes!$G$2:$G$6000,"&lt;&gt;")*Dimensoes!$E$4)</f>
        <v/>
      </c>
      <c r="M296" s="0" t="str">
        <f aca="false">IF($A296="","",COUNTIFS(Avaliacoes!$A$2:$A$6000,$A296,Avaliacoes!$F$2:$F$6000,"IV",Avaliacoes!$H$2:$H$6000,0,Avaliacoes!$G$2:$G$6000,"&lt;&gt;")*Dimensoes!$E$5)</f>
        <v/>
      </c>
      <c r="N296" s="9" t="str">
        <f aca="false">IF($A296="","",IF(J296&gt;0,F296/J296,""))</f>
        <v/>
      </c>
      <c r="O296" s="9" t="str">
        <f aca="false">IF($A296="","",IF(K296&gt;0,G296/K296,""))</f>
        <v/>
      </c>
      <c r="P296" s="9" t="str">
        <f aca="false">IF($A296="","",IF(L296&gt;0,H296/L296,""))</f>
        <v/>
      </c>
      <c r="Q296" s="9" t="str">
        <f aca="false">IF($A296="","",IF(M296&gt;0,I296/M296,""))</f>
        <v/>
      </c>
      <c r="R296" s="17" t="str">
        <f aca="false">IF($A296="","",IF((IF(N296="",0,Dimensoes!$C$2)+IF(O296="",0,Dimensoes!$C$3)+IF(P296="",0,Dimensoes!$C$4)+IF(Q296="",0,Dimensoes!$C$5))=0,"",(IF(N296="",0,N296*Dimensoes!$C$2)+IF(O296="",0,O296*Dimensoes!$C$3)+IF(P296="",0,P296*Dimensoes!$C$4)+IF(Q296="",0,Q296*Dimensoes!$C$5))/(IF(N296="",0,Dimensoes!$C$2)+IF(O296="",0,Dimensoes!$C$3)+IF(P296="",0,Dimensoes!$C$4)+IF(Q296="",0,Dimensoes!$C$5))))</f>
        <v/>
      </c>
      <c r="S296" s="0" t="str">
        <f aca="false">IF(R296="","",IF(R296&lt;Faixas!$C$3,"vermelho",IF(R296&lt;Faixas!$C$4,"amarelo","verde")))</f>
        <v/>
      </c>
      <c r="T296" s="9" t="str">
        <f aca="false">IF($A296="","",IF(N296="",0,N296*Dimensoes!$C$2)+IF(O296="",0,O296*Dimensoes!$C$3)+IF(P296="",0,P296*Dimensoes!$C$4)+IF(Q296="",0,Q296*Dimensoes!$C$5))</f>
        <v/>
      </c>
      <c r="U296" s="0" t="str">
        <f aca="false">IF($A296="","",IF(OR(E296="concluida",E296="incompleta"),1,0))</f>
        <v/>
      </c>
    </row>
    <row r="297" customFormat="false" ht="15" hidden="false" customHeight="false" outlineLevel="0" collapsed="false">
      <c r="A297" s="0" t="str">
        <f aca="false">IF(Visitas!A297="","",Visitas!A297)</f>
        <v/>
      </c>
      <c r="B297" s="0" t="str">
        <f aca="false">IF($A297="","",Visitas!C297)</f>
        <v/>
      </c>
      <c r="C297" s="7" t="str">
        <f aca="false">IF($A297="","",Visitas!D297)</f>
        <v/>
      </c>
      <c r="D297" s="0" t="str">
        <f aca="false">IF($A297="","",Visitas!B297)</f>
        <v/>
      </c>
      <c r="E297" s="0" t="str">
        <f aca="false">IF($A297="","",Visitas!F297)</f>
        <v/>
      </c>
      <c r="F297" s="0" t="str">
        <f aca="false">IF($A297="","",SUMIFS(Avaliacoes!$G$2:$G$6000,Avaliacoes!$A$2:$A$6000,$A297,Avaliacoes!$F$2:$F$6000,"I",Avaliacoes!$H$2:$H$6000,0))</f>
        <v/>
      </c>
      <c r="G297" s="0" t="str">
        <f aca="false">IF($A297="","",SUMIFS(Avaliacoes!$G$2:$G$6000,Avaliacoes!$A$2:$A$6000,$A297,Avaliacoes!$F$2:$F$6000,"II",Avaliacoes!$H$2:$H$6000,0))</f>
        <v/>
      </c>
      <c r="H297" s="0" t="str">
        <f aca="false">IF($A297="","",SUMIFS(Avaliacoes!$G$2:$G$6000,Avaliacoes!$A$2:$A$6000,$A297,Avaliacoes!$F$2:$F$6000,"III",Avaliacoes!$H$2:$H$6000,0))</f>
        <v/>
      </c>
      <c r="I297" s="0" t="str">
        <f aca="false">IF($A297="","",SUMIFS(Avaliacoes!$G$2:$G$6000,Avaliacoes!$A$2:$A$6000,$A297,Avaliacoes!$F$2:$F$6000,"IV",Avaliacoes!$H$2:$H$6000,0))</f>
        <v/>
      </c>
      <c r="J297" s="0" t="str">
        <f aca="false">IF($A297="","",COUNTIFS(Avaliacoes!$A$2:$A$6000,$A297,Avaliacoes!$F$2:$F$6000,"I",Avaliacoes!$H$2:$H$6000,0,Avaliacoes!$G$2:$G$6000,"&lt;&gt;")*Dimensoes!$E$2)</f>
        <v/>
      </c>
      <c r="K297" s="0" t="str">
        <f aca="false">IF($A297="","",COUNTIFS(Avaliacoes!$A$2:$A$6000,$A297,Avaliacoes!$F$2:$F$6000,"II",Avaliacoes!$H$2:$H$6000,0,Avaliacoes!$G$2:$G$6000,"&lt;&gt;")*Dimensoes!$E$3)</f>
        <v/>
      </c>
      <c r="L297" s="0" t="str">
        <f aca="false">IF($A297="","",COUNTIFS(Avaliacoes!$A$2:$A$6000,$A297,Avaliacoes!$F$2:$F$6000,"III",Avaliacoes!$H$2:$H$6000,0,Avaliacoes!$G$2:$G$6000,"&lt;&gt;")*Dimensoes!$E$4)</f>
        <v/>
      </c>
      <c r="M297" s="0" t="str">
        <f aca="false">IF($A297="","",COUNTIFS(Avaliacoes!$A$2:$A$6000,$A297,Avaliacoes!$F$2:$F$6000,"IV",Avaliacoes!$H$2:$H$6000,0,Avaliacoes!$G$2:$G$6000,"&lt;&gt;")*Dimensoes!$E$5)</f>
        <v/>
      </c>
      <c r="N297" s="9" t="str">
        <f aca="false">IF($A297="","",IF(J297&gt;0,F297/J297,""))</f>
        <v/>
      </c>
      <c r="O297" s="9" t="str">
        <f aca="false">IF($A297="","",IF(K297&gt;0,G297/K297,""))</f>
        <v/>
      </c>
      <c r="P297" s="9" t="str">
        <f aca="false">IF($A297="","",IF(L297&gt;0,H297/L297,""))</f>
        <v/>
      </c>
      <c r="Q297" s="9" t="str">
        <f aca="false">IF($A297="","",IF(M297&gt;0,I297/M297,""))</f>
        <v/>
      </c>
      <c r="R297" s="17" t="str">
        <f aca="false">IF($A297="","",IF((IF(N297="",0,Dimensoes!$C$2)+IF(O297="",0,Dimensoes!$C$3)+IF(P297="",0,Dimensoes!$C$4)+IF(Q297="",0,Dimensoes!$C$5))=0,"",(IF(N297="",0,N297*Dimensoes!$C$2)+IF(O297="",0,O297*Dimensoes!$C$3)+IF(P297="",0,P297*Dimensoes!$C$4)+IF(Q297="",0,Q297*Dimensoes!$C$5))/(IF(N297="",0,Dimensoes!$C$2)+IF(O297="",0,Dimensoes!$C$3)+IF(P297="",0,Dimensoes!$C$4)+IF(Q297="",0,Dimensoes!$C$5))))</f>
        <v/>
      </c>
      <c r="S297" s="0" t="str">
        <f aca="false">IF(R297="","",IF(R297&lt;Faixas!$C$3,"vermelho",IF(R297&lt;Faixas!$C$4,"amarelo","verde")))</f>
        <v/>
      </c>
      <c r="T297" s="9" t="str">
        <f aca="false">IF($A297="","",IF(N297="",0,N297*Dimensoes!$C$2)+IF(O297="",0,O297*Dimensoes!$C$3)+IF(P297="",0,P297*Dimensoes!$C$4)+IF(Q297="",0,Q297*Dimensoes!$C$5))</f>
        <v/>
      </c>
      <c r="U297" s="0" t="str">
        <f aca="false">IF($A297="","",IF(OR(E297="concluida",E297="incompleta"),1,0))</f>
        <v/>
      </c>
    </row>
    <row r="298" customFormat="false" ht="15" hidden="false" customHeight="false" outlineLevel="0" collapsed="false">
      <c r="A298" s="0" t="str">
        <f aca="false">IF(Visitas!A298="","",Visitas!A298)</f>
        <v/>
      </c>
      <c r="B298" s="0" t="str">
        <f aca="false">IF($A298="","",Visitas!C298)</f>
        <v/>
      </c>
      <c r="C298" s="7" t="str">
        <f aca="false">IF($A298="","",Visitas!D298)</f>
        <v/>
      </c>
      <c r="D298" s="0" t="str">
        <f aca="false">IF($A298="","",Visitas!B298)</f>
        <v/>
      </c>
      <c r="E298" s="0" t="str">
        <f aca="false">IF($A298="","",Visitas!F298)</f>
        <v/>
      </c>
      <c r="F298" s="0" t="str">
        <f aca="false">IF($A298="","",SUMIFS(Avaliacoes!$G$2:$G$6000,Avaliacoes!$A$2:$A$6000,$A298,Avaliacoes!$F$2:$F$6000,"I",Avaliacoes!$H$2:$H$6000,0))</f>
        <v/>
      </c>
      <c r="G298" s="0" t="str">
        <f aca="false">IF($A298="","",SUMIFS(Avaliacoes!$G$2:$G$6000,Avaliacoes!$A$2:$A$6000,$A298,Avaliacoes!$F$2:$F$6000,"II",Avaliacoes!$H$2:$H$6000,0))</f>
        <v/>
      </c>
      <c r="H298" s="0" t="str">
        <f aca="false">IF($A298="","",SUMIFS(Avaliacoes!$G$2:$G$6000,Avaliacoes!$A$2:$A$6000,$A298,Avaliacoes!$F$2:$F$6000,"III",Avaliacoes!$H$2:$H$6000,0))</f>
        <v/>
      </c>
      <c r="I298" s="0" t="str">
        <f aca="false">IF($A298="","",SUMIFS(Avaliacoes!$G$2:$G$6000,Avaliacoes!$A$2:$A$6000,$A298,Avaliacoes!$F$2:$F$6000,"IV",Avaliacoes!$H$2:$H$6000,0))</f>
        <v/>
      </c>
      <c r="J298" s="0" t="str">
        <f aca="false">IF($A298="","",COUNTIFS(Avaliacoes!$A$2:$A$6000,$A298,Avaliacoes!$F$2:$F$6000,"I",Avaliacoes!$H$2:$H$6000,0,Avaliacoes!$G$2:$G$6000,"&lt;&gt;")*Dimensoes!$E$2)</f>
        <v/>
      </c>
      <c r="K298" s="0" t="str">
        <f aca="false">IF($A298="","",COUNTIFS(Avaliacoes!$A$2:$A$6000,$A298,Avaliacoes!$F$2:$F$6000,"II",Avaliacoes!$H$2:$H$6000,0,Avaliacoes!$G$2:$G$6000,"&lt;&gt;")*Dimensoes!$E$3)</f>
        <v/>
      </c>
      <c r="L298" s="0" t="str">
        <f aca="false">IF($A298="","",COUNTIFS(Avaliacoes!$A$2:$A$6000,$A298,Avaliacoes!$F$2:$F$6000,"III",Avaliacoes!$H$2:$H$6000,0,Avaliacoes!$G$2:$G$6000,"&lt;&gt;")*Dimensoes!$E$4)</f>
        <v/>
      </c>
      <c r="M298" s="0" t="str">
        <f aca="false">IF($A298="","",COUNTIFS(Avaliacoes!$A$2:$A$6000,$A298,Avaliacoes!$F$2:$F$6000,"IV",Avaliacoes!$H$2:$H$6000,0,Avaliacoes!$G$2:$G$6000,"&lt;&gt;")*Dimensoes!$E$5)</f>
        <v/>
      </c>
      <c r="N298" s="9" t="str">
        <f aca="false">IF($A298="","",IF(J298&gt;0,F298/J298,""))</f>
        <v/>
      </c>
      <c r="O298" s="9" t="str">
        <f aca="false">IF($A298="","",IF(K298&gt;0,G298/K298,""))</f>
        <v/>
      </c>
      <c r="P298" s="9" t="str">
        <f aca="false">IF($A298="","",IF(L298&gt;0,H298/L298,""))</f>
        <v/>
      </c>
      <c r="Q298" s="9" t="str">
        <f aca="false">IF($A298="","",IF(M298&gt;0,I298/M298,""))</f>
        <v/>
      </c>
      <c r="R298" s="17" t="str">
        <f aca="false">IF($A298="","",IF((IF(N298="",0,Dimensoes!$C$2)+IF(O298="",0,Dimensoes!$C$3)+IF(P298="",0,Dimensoes!$C$4)+IF(Q298="",0,Dimensoes!$C$5))=0,"",(IF(N298="",0,N298*Dimensoes!$C$2)+IF(O298="",0,O298*Dimensoes!$C$3)+IF(P298="",0,P298*Dimensoes!$C$4)+IF(Q298="",0,Q298*Dimensoes!$C$5))/(IF(N298="",0,Dimensoes!$C$2)+IF(O298="",0,Dimensoes!$C$3)+IF(P298="",0,Dimensoes!$C$4)+IF(Q298="",0,Dimensoes!$C$5))))</f>
        <v/>
      </c>
      <c r="S298" s="0" t="str">
        <f aca="false">IF(R298="","",IF(R298&lt;Faixas!$C$3,"vermelho",IF(R298&lt;Faixas!$C$4,"amarelo","verde")))</f>
        <v/>
      </c>
      <c r="T298" s="9" t="str">
        <f aca="false">IF($A298="","",IF(N298="",0,N298*Dimensoes!$C$2)+IF(O298="",0,O298*Dimensoes!$C$3)+IF(P298="",0,P298*Dimensoes!$C$4)+IF(Q298="",0,Q298*Dimensoes!$C$5))</f>
        <v/>
      </c>
      <c r="U298" s="0" t="str">
        <f aca="false">IF($A298="","",IF(OR(E298="concluida",E298="incompleta"),1,0))</f>
        <v/>
      </c>
    </row>
    <row r="299" customFormat="false" ht="15" hidden="false" customHeight="false" outlineLevel="0" collapsed="false">
      <c r="A299" s="0" t="str">
        <f aca="false">IF(Visitas!A299="","",Visitas!A299)</f>
        <v/>
      </c>
      <c r="B299" s="0" t="str">
        <f aca="false">IF($A299="","",Visitas!C299)</f>
        <v/>
      </c>
      <c r="C299" s="7" t="str">
        <f aca="false">IF($A299="","",Visitas!D299)</f>
        <v/>
      </c>
      <c r="D299" s="0" t="str">
        <f aca="false">IF($A299="","",Visitas!B299)</f>
        <v/>
      </c>
      <c r="E299" s="0" t="str">
        <f aca="false">IF($A299="","",Visitas!F299)</f>
        <v/>
      </c>
      <c r="F299" s="0" t="str">
        <f aca="false">IF($A299="","",SUMIFS(Avaliacoes!$G$2:$G$6000,Avaliacoes!$A$2:$A$6000,$A299,Avaliacoes!$F$2:$F$6000,"I",Avaliacoes!$H$2:$H$6000,0))</f>
        <v/>
      </c>
      <c r="G299" s="0" t="str">
        <f aca="false">IF($A299="","",SUMIFS(Avaliacoes!$G$2:$G$6000,Avaliacoes!$A$2:$A$6000,$A299,Avaliacoes!$F$2:$F$6000,"II",Avaliacoes!$H$2:$H$6000,0))</f>
        <v/>
      </c>
      <c r="H299" s="0" t="str">
        <f aca="false">IF($A299="","",SUMIFS(Avaliacoes!$G$2:$G$6000,Avaliacoes!$A$2:$A$6000,$A299,Avaliacoes!$F$2:$F$6000,"III",Avaliacoes!$H$2:$H$6000,0))</f>
        <v/>
      </c>
      <c r="I299" s="0" t="str">
        <f aca="false">IF($A299="","",SUMIFS(Avaliacoes!$G$2:$G$6000,Avaliacoes!$A$2:$A$6000,$A299,Avaliacoes!$F$2:$F$6000,"IV",Avaliacoes!$H$2:$H$6000,0))</f>
        <v/>
      </c>
      <c r="J299" s="0" t="str">
        <f aca="false">IF($A299="","",COUNTIFS(Avaliacoes!$A$2:$A$6000,$A299,Avaliacoes!$F$2:$F$6000,"I",Avaliacoes!$H$2:$H$6000,0,Avaliacoes!$G$2:$G$6000,"&lt;&gt;")*Dimensoes!$E$2)</f>
        <v/>
      </c>
      <c r="K299" s="0" t="str">
        <f aca="false">IF($A299="","",COUNTIFS(Avaliacoes!$A$2:$A$6000,$A299,Avaliacoes!$F$2:$F$6000,"II",Avaliacoes!$H$2:$H$6000,0,Avaliacoes!$G$2:$G$6000,"&lt;&gt;")*Dimensoes!$E$3)</f>
        <v/>
      </c>
      <c r="L299" s="0" t="str">
        <f aca="false">IF($A299="","",COUNTIFS(Avaliacoes!$A$2:$A$6000,$A299,Avaliacoes!$F$2:$F$6000,"III",Avaliacoes!$H$2:$H$6000,0,Avaliacoes!$G$2:$G$6000,"&lt;&gt;")*Dimensoes!$E$4)</f>
        <v/>
      </c>
      <c r="M299" s="0" t="str">
        <f aca="false">IF($A299="","",COUNTIFS(Avaliacoes!$A$2:$A$6000,$A299,Avaliacoes!$F$2:$F$6000,"IV",Avaliacoes!$H$2:$H$6000,0,Avaliacoes!$G$2:$G$6000,"&lt;&gt;")*Dimensoes!$E$5)</f>
        <v/>
      </c>
      <c r="N299" s="9" t="str">
        <f aca="false">IF($A299="","",IF(J299&gt;0,F299/J299,""))</f>
        <v/>
      </c>
      <c r="O299" s="9" t="str">
        <f aca="false">IF($A299="","",IF(K299&gt;0,G299/K299,""))</f>
        <v/>
      </c>
      <c r="P299" s="9" t="str">
        <f aca="false">IF($A299="","",IF(L299&gt;0,H299/L299,""))</f>
        <v/>
      </c>
      <c r="Q299" s="9" t="str">
        <f aca="false">IF($A299="","",IF(M299&gt;0,I299/M299,""))</f>
        <v/>
      </c>
      <c r="R299" s="17" t="str">
        <f aca="false">IF($A299="","",IF((IF(N299="",0,Dimensoes!$C$2)+IF(O299="",0,Dimensoes!$C$3)+IF(P299="",0,Dimensoes!$C$4)+IF(Q299="",0,Dimensoes!$C$5))=0,"",(IF(N299="",0,N299*Dimensoes!$C$2)+IF(O299="",0,O299*Dimensoes!$C$3)+IF(P299="",0,P299*Dimensoes!$C$4)+IF(Q299="",0,Q299*Dimensoes!$C$5))/(IF(N299="",0,Dimensoes!$C$2)+IF(O299="",0,Dimensoes!$C$3)+IF(P299="",0,Dimensoes!$C$4)+IF(Q299="",0,Dimensoes!$C$5))))</f>
        <v/>
      </c>
      <c r="S299" s="0" t="str">
        <f aca="false">IF(R299="","",IF(R299&lt;Faixas!$C$3,"vermelho",IF(R299&lt;Faixas!$C$4,"amarelo","verde")))</f>
        <v/>
      </c>
      <c r="T299" s="9" t="str">
        <f aca="false">IF($A299="","",IF(N299="",0,N299*Dimensoes!$C$2)+IF(O299="",0,O299*Dimensoes!$C$3)+IF(P299="",0,P299*Dimensoes!$C$4)+IF(Q299="",0,Q299*Dimensoes!$C$5))</f>
        <v/>
      </c>
      <c r="U299" s="0" t="str">
        <f aca="false">IF($A299="","",IF(OR(E299="concluida",E299="incompleta"),1,0))</f>
        <v/>
      </c>
    </row>
    <row r="300" customFormat="false" ht="15" hidden="false" customHeight="false" outlineLevel="0" collapsed="false">
      <c r="A300" s="0" t="str">
        <f aca="false">IF(Visitas!A300="","",Visitas!A300)</f>
        <v/>
      </c>
      <c r="B300" s="0" t="str">
        <f aca="false">IF($A300="","",Visitas!C300)</f>
        <v/>
      </c>
      <c r="C300" s="7" t="str">
        <f aca="false">IF($A300="","",Visitas!D300)</f>
        <v/>
      </c>
      <c r="D300" s="0" t="str">
        <f aca="false">IF($A300="","",Visitas!B300)</f>
        <v/>
      </c>
      <c r="E300" s="0" t="str">
        <f aca="false">IF($A300="","",Visitas!F300)</f>
        <v/>
      </c>
      <c r="F300" s="0" t="str">
        <f aca="false">IF($A300="","",SUMIFS(Avaliacoes!$G$2:$G$6000,Avaliacoes!$A$2:$A$6000,$A300,Avaliacoes!$F$2:$F$6000,"I",Avaliacoes!$H$2:$H$6000,0))</f>
        <v/>
      </c>
      <c r="G300" s="0" t="str">
        <f aca="false">IF($A300="","",SUMIFS(Avaliacoes!$G$2:$G$6000,Avaliacoes!$A$2:$A$6000,$A300,Avaliacoes!$F$2:$F$6000,"II",Avaliacoes!$H$2:$H$6000,0))</f>
        <v/>
      </c>
      <c r="H300" s="0" t="str">
        <f aca="false">IF($A300="","",SUMIFS(Avaliacoes!$G$2:$G$6000,Avaliacoes!$A$2:$A$6000,$A300,Avaliacoes!$F$2:$F$6000,"III",Avaliacoes!$H$2:$H$6000,0))</f>
        <v/>
      </c>
      <c r="I300" s="0" t="str">
        <f aca="false">IF($A300="","",SUMIFS(Avaliacoes!$G$2:$G$6000,Avaliacoes!$A$2:$A$6000,$A300,Avaliacoes!$F$2:$F$6000,"IV",Avaliacoes!$H$2:$H$6000,0))</f>
        <v/>
      </c>
      <c r="J300" s="0" t="str">
        <f aca="false">IF($A300="","",COUNTIFS(Avaliacoes!$A$2:$A$6000,$A300,Avaliacoes!$F$2:$F$6000,"I",Avaliacoes!$H$2:$H$6000,0,Avaliacoes!$G$2:$G$6000,"&lt;&gt;")*Dimensoes!$E$2)</f>
        <v/>
      </c>
      <c r="K300" s="0" t="str">
        <f aca="false">IF($A300="","",COUNTIFS(Avaliacoes!$A$2:$A$6000,$A300,Avaliacoes!$F$2:$F$6000,"II",Avaliacoes!$H$2:$H$6000,0,Avaliacoes!$G$2:$G$6000,"&lt;&gt;")*Dimensoes!$E$3)</f>
        <v/>
      </c>
      <c r="L300" s="0" t="str">
        <f aca="false">IF($A300="","",COUNTIFS(Avaliacoes!$A$2:$A$6000,$A300,Avaliacoes!$F$2:$F$6000,"III",Avaliacoes!$H$2:$H$6000,0,Avaliacoes!$G$2:$G$6000,"&lt;&gt;")*Dimensoes!$E$4)</f>
        <v/>
      </c>
      <c r="M300" s="0" t="str">
        <f aca="false">IF($A300="","",COUNTIFS(Avaliacoes!$A$2:$A$6000,$A300,Avaliacoes!$F$2:$F$6000,"IV",Avaliacoes!$H$2:$H$6000,0,Avaliacoes!$G$2:$G$6000,"&lt;&gt;")*Dimensoes!$E$5)</f>
        <v/>
      </c>
      <c r="N300" s="9" t="str">
        <f aca="false">IF($A300="","",IF(J300&gt;0,F300/J300,""))</f>
        <v/>
      </c>
      <c r="O300" s="9" t="str">
        <f aca="false">IF($A300="","",IF(K300&gt;0,G300/K300,""))</f>
        <v/>
      </c>
      <c r="P300" s="9" t="str">
        <f aca="false">IF($A300="","",IF(L300&gt;0,H300/L300,""))</f>
        <v/>
      </c>
      <c r="Q300" s="9" t="str">
        <f aca="false">IF($A300="","",IF(M300&gt;0,I300/M300,""))</f>
        <v/>
      </c>
      <c r="R300" s="17" t="str">
        <f aca="false">IF($A300="","",IF((IF(N300="",0,Dimensoes!$C$2)+IF(O300="",0,Dimensoes!$C$3)+IF(P300="",0,Dimensoes!$C$4)+IF(Q300="",0,Dimensoes!$C$5))=0,"",(IF(N300="",0,N300*Dimensoes!$C$2)+IF(O300="",0,O300*Dimensoes!$C$3)+IF(P300="",0,P300*Dimensoes!$C$4)+IF(Q300="",0,Q300*Dimensoes!$C$5))/(IF(N300="",0,Dimensoes!$C$2)+IF(O300="",0,Dimensoes!$C$3)+IF(P300="",0,Dimensoes!$C$4)+IF(Q300="",0,Dimensoes!$C$5))))</f>
        <v/>
      </c>
      <c r="S300" s="0" t="str">
        <f aca="false">IF(R300="","",IF(R300&lt;Faixas!$C$3,"vermelho",IF(R300&lt;Faixas!$C$4,"amarelo","verde")))</f>
        <v/>
      </c>
      <c r="T300" s="9" t="str">
        <f aca="false">IF($A300="","",IF(N300="",0,N300*Dimensoes!$C$2)+IF(O300="",0,O300*Dimensoes!$C$3)+IF(P300="",0,P300*Dimensoes!$C$4)+IF(Q300="",0,Q300*Dimensoes!$C$5))</f>
        <v/>
      </c>
      <c r="U300" s="0" t="str">
        <f aca="false">IF($A300="","",IF(OR(E300="concluida",E300="incompleta"),1,0))</f>
        <v/>
      </c>
    </row>
    <row r="301" customFormat="false" ht="15" hidden="false" customHeight="false" outlineLevel="0" collapsed="false">
      <c r="A301" s="0" t="str">
        <f aca="false">IF(Visitas!A301="","",Visitas!A301)</f>
        <v/>
      </c>
      <c r="B301" s="0" t="str">
        <f aca="false">IF($A301="","",Visitas!C301)</f>
        <v/>
      </c>
      <c r="C301" s="7" t="str">
        <f aca="false">IF($A301="","",Visitas!D301)</f>
        <v/>
      </c>
      <c r="D301" s="0" t="str">
        <f aca="false">IF($A301="","",Visitas!B301)</f>
        <v/>
      </c>
      <c r="E301" s="0" t="str">
        <f aca="false">IF($A301="","",Visitas!F301)</f>
        <v/>
      </c>
      <c r="F301" s="0" t="str">
        <f aca="false">IF($A301="","",SUMIFS(Avaliacoes!$G$2:$G$6000,Avaliacoes!$A$2:$A$6000,$A301,Avaliacoes!$F$2:$F$6000,"I",Avaliacoes!$H$2:$H$6000,0))</f>
        <v/>
      </c>
      <c r="G301" s="0" t="str">
        <f aca="false">IF($A301="","",SUMIFS(Avaliacoes!$G$2:$G$6000,Avaliacoes!$A$2:$A$6000,$A301,Avaliacoes!$F$2:$F$6000,"II",Avaliacoes!$H$2:$H$6000,0))</f>
        <v/>
      </c>
      <c r="H301" s="0" t="str">
        <f aca="false">IF($A301="","",SUMIFS(Avaliacoes!$G$2:$G$6000,Avaliacoes!$A$2:$A$6000,$A301,Avaliacoes!$F$2:$F$6000,"III",Avaliacoes!$H$2:$H$6000,0))</f>
        <v/>
      </c>
      <c r="I301" s="0" t="str">
        <f aca="false">IF($A301="","",SUMIFS(Avaliacoes!$G$2:$G$6000,Avaliacoes!$A$2:$A$6000,$A301,Avaliacoes!$F$2:$F$6000,"IV",Avaliacoes!$H$2:$H$6000,0))</f>
        <v/>
      </c>
      <c r="J301" s="0" t="str">
        <f aca="false">IF($A301="","",COUNTIFS(Avaliacoes!$A$2:$A$6000,$A301,Avaliacoes!$F$2:$F$6000,"I",Avaliacoes!$H$2:$H$6000,0,Avaliacoes!$G$2:$G$6000,"&lt;&gt;")*Dimensoes!$E$2)</f>
        <v/>
      </c>
      <c r="K301" s="0" t="str">
        <f aca="false">IF($A301="","",COUNTIFS(Avaliacoes!$A$2:$A$6000,$A301,Avaliacoes!$F$2:$F$6000,"II",Avaliacoes!$H$2:$H$6000,0,Avaliacoes!$G$2:$G$6000,"&lt;&gt;")*Dimensoes!$E$3)</f>
        <v/>
      </c>
      <c r="L301" s="0" t="str">
        <f aca="false">IF($A301="","",COUNTIFS(Avaliacoes!$A$2:$A$6000,$A301,Avaliacoes!$F$2:$F$6000,"III",Avaliacoes!$H$2:$H$6000,0,Avaliacoes!$G$2:$G$6000,"&lt;&gt;")*Dimensoes!$E$4)</f>
        <v/>
      </c>
      <c r="M301" s="0" t="str">
        <f aca="false">IF($A301="","",COUNTIFS(Avaliacoes!$A$2:$A$6000,$A301,Avaliacoes!$F$2:$F$6000,"IV",Avaliacoes!$H$2:$H$6000,0,Avaliacoes!$G$2:$G$6000,"&lt;&gt;")*Dimensoes!$E$5)</f>
        <v/>
      </c>
      <c r="N301" s="9" t="str">
        <f aca="false">IF($A301="","",IF(J301&gt;0,F301/J301,""))</f>
        <v/>
      </c>
      <c r="O301" s="9" t="str">
        <f aca="false">IF($A301="","",IF(K301&gt;0,G301/K301,""))</f>
        <v/>
      </c>
      <c r="P301" s="9" t="str">
        <f aca="false">IF($A301="","",IF(L301&gt;0,H301/L301,""))</f>
        <v/>
      </c>
      <c r="Q301" s="9" t="str">
        <f aca="false">IF($A301="","",IF(M301&gt;0,I301/M301,""))</f>
        <v/>
      </c>
      <c r="R301" s="17" t="str">
        <f aca="false">IF($A301="","",IF((IF(N301="",0,Dimensoes!$C$2)+IF(O301="",0,Dimensoes!$C$3)+IF(P301="",0,Dimensoes!$C$4)+IF(Q301="",0,Dimensoes!$C$5))=0,"",(IF(N301="",0,N301*Dimensoes!$C$2)+IF(O301="",0,O301*Dimensoes!$C$3)+IF(P301="",0,P301*Dimensoes!$C$4)+IF(Q301="",0,Q301*Dimensoes!$C$5))/(IF(N301="",0,Dimensoes!$C$2)+IF(O301="",0,Dimensoes!$C$3)+IF(P301="",0,Dimensoes!$C$4)+IF(Q301="",0,Dimensoes!$C$5))))</f>
        <v/>
      </c>
      <c r="S301" s="0" t="str">
        <f aca="false">IF(R301="","",IF(R301&lt;Faixas!$C$3,"vermelho",IF(R301&lt;Faixas!$C$4,"amarelo","verde")))</f>
        <v/>
      </c>
      <c r="T301" s="9" t="str">
        <f aca="false">IF($A301="","",IF(N301="",0,N301*Dimensoes!$C$2)+IF(O301="",0,O301*Dimensoes!$C$3)+IF(P301="",0,P301*Dimensoes!$C$4)+IF(Q301="",0,Q301*Dimensoes!$C$5))</f>
        <v/>
      </c>
      <c r="U301" s="0" t="str">
        <f aca="false">IF($A301="","",IF(OR(E301="concluida",E301="incompleta"),1,0))</f>
        <v/>
      </c>
    </row>
    <row r="302" customFormat="false" ht="15" hidden="false" customHeight="false" outlineLevel="0" collapsed="false">
      <c r="A302" s="0" t="str">
        <f aca="false">IF(Visitas!A302="","",Visitas!A302)</f>
        <v/>
      </c>
      <c r="B302" s="0" t="str">
        <f aca="false">IF($A302="","",Visitas!C302)</f>
        <v/>
      </c>
      <c r="C302" s="7" t="str">
        <f aca="false">IF($A302="","",Visitas!D302)</f>
        <v/>
      </c>
      <c r="D302" s="0" t="str">
        <f aca="false">IF($A302="","",Visitas!B302)</f>
        <v/>
      </c>
      <c r="E302" s="0" t="str">
        <f aca="false">IF($A302="","",Visitas!F302)</f>
        <v/>
      </c>
      <c r="F302" s="0" t="str">
        <f aca="false">IF($A302="","",SUMIFS(Avaliacoes!$G$2:$G$6000,Avaliacoes!$A$2:$A$6000,$A302,Avaliacoes!$F$2:$F$6000,"I",Avaliacoes!$H$2:$H$6000,0))</f>
        <v/>
      </c>
      <c r="G302" s="0" t="str">
        <f aca="false">IF($A302="","",SUMIFS(Avaliacoes!$G$2:$G$6000,Avaliacoes!$A$2:$A$6000,$A302,Avaliacoes!$F$2:$F$6000,"II",Avaliacoes!$H$2:$H$6000,0))</f>
        <v/>
      </c>
      <c r="H302" s="0" t="str">
        <f aca="false">IF($A302="","",SUMIFS(Avaliacoes!$G$2:$G$6000,Avaliacoes!$A$2:$A$6000,$A302,Avaliacoes!$F$2:$F$6000,"III",Avaliacoes!$H$2:$H$6000,0))</f>
        <v/>
      </c>
      <c r="I302" s="0" t="str">
        <f aca="false">IF($A302="","",SUMIFS(Avaliacoes!$G$2:$G$6000,Avaliacoes!$A$2:$A$6000,$A302,Avaliacoes!$F$2:$F$6000,"IV",Avaliacoes!$H$2:$H$6000,0))</f>
        <v/>
      </c>
      <c r="J302" s="0" t="str">
        <f aca="false">IF($A302="","",COUNTIFS(Avaliacoes!$A$2:$A$6000,$A302,Avaliacoes!$F$2:$F$6000,"I",Avaliacoes!$H$2:$H$6000,0,Avaliacoes!$G$2:$G$6000,"&lt;&gt;")*Dimensoes!$E$2)</f>
        <v/>
      </c>
      <c r="K302" s="0" t="str">
        <f aca="false">IF($A302="","",COUNTIFS(Avaliacoes!$A$2:$A$6000,$A302,Avaliacoes!$F$2:$F$6000,"II",Avaliacoes!$H$2:$H$6000,0,Avaliacoes!$G$2:$G$6000,"&lt;&gt;")*Dimensoes!$E$3)</f>
        <v/>
      </c>
      <c r="L302" s="0" t="str">
        <f aca="false">IF($A302="","",COUNTIFS(Avaliacoes!$A$2:$A$6000,$A302,Avaliacoes!$F$2:$F$6000,"III",Avaliacoes!$H$2:$H$6000,0,Avaliacoes!$G$2:$G$6000,"&lt;&gt;")*Dimensoes!$E$4)</f>
        <v/>
      </c>
      <c r="M302" s="0" t="str">
        <f aca="false">IF($A302="","",COUNTIFS(Avaliacoes!$A$2:$A$6000,$A302,Avaliacoes!$F$2:$F$6000,"IV",Avaliacoes!$H$2:$H$6000,0,Avaliacoes!$G$2:$G$6000,"&lt;&gt;")*Dimensoes!$E$5)</f>
        <v/>
      </c>
      <c r="N302" s="9" t="str">
        <f aca="false">IF($A302="","",IF(J302&gt;0,F302/J302,""))</f>
        <v/>
      </c>
      <c r="O302" s="9" t="str">
        <f aca="false">IF($A302="","",IF(K302&gt;0,G302/K302,""))</f>
        <v/>
      </c>
      <c r="P302" s="9" t="str">
        <f aca="false">IF($A302="","",IF(L302&gt;0,H302/L302,""))</f>
        <v/>
      </c>
      <c r="Q302" s="9" t="str">
        <f aca="false">IF($A302="","",IF(M302&gt;0,I302/M302,""))</f>
        <v/>
      </c>
      <c r="R302" s="17" t="str">
        <f aca="false">IF($A302="","",IF((IF(N302="",0,Dimensoes!$C$2)+IF(O302="",0,Dimensoes!$C$3)+IF(P302="",0,Dimensoes!$C$4)+IF(Q302="",0,Dimensoes!$C$5))=0,"",(IF(N302="",0,N302*Dimensoes!$C$2)+IF(O302="",0,O302*Dimensoes!$C$3)+IF(P302="",0,P302*Dimensoes!$C$4)+IF(Q302="",0,Q302*Dimensoes!$C$5))/(IF(N302="",0,Dimensoes!$C$2)+IF(O302="",0,Dimensoes!$C$3)+IF(P302="",0,Dimensoes!$C$4)+IF(Q302="",0,Dimensoes!$C$5))))</f>
        <v/>
      </c>
      <c r="S302" s="0" t="str">
        <f aca="false">IF(R302="","",IF(R302&lt;Faixas!$C$3,"vermelho",IF(R302&lt;Faixas!$C$4,"amarelo","verde")))</f>
        <v/>
      </c>
      <c r="T302" s="9" t="str">
        <f aca="false">IF($A302="","",IF(N302="",0,N302*Dimensoes!$C$2)+IF(O302="",0,O302*Dimensoes!$C$3)+IF(P302="",0,P302*Dimensoes!$C$4)+IF(Q302="",0,Q302*Dimensoes!$C$5))</f>
        <v/>
      </c>
      <c r="U302" s="0" t="str">
        <f aca="false">IF($A302="","",IF(OR(E302="concluida",E302="incompleta"),1,0))</f>
        <v/>
      </c>
    </row>
    <row r="303" customFormat="false" ht="15" hidden="false" customHeight="false" outlineLevel="0" collapsed="false">
      <c r="A303" s="0" t="str">
        <f aca="false">IF(Visitas!A303="","",Visitas!A303)</f>
        <v/>
      </c>
      <c r="B303" s="0" t="str">
        <f aca="false">IF($A303="","",Visitas!C303)</f>
        <v/>
      </c>
      <c r="C303" s="7" t="str">
        <f aca="false">IF($A303="","",Visitas!D303)</f>
        <v/>
      </c>
      <c r="D303" s="0" t="str">
        <f aca="false">IF($A303="","",Visitas!B303)</f>
        <v/>
      </c>
      <c r="E303" s="0" t="str">
        <f aca="false">IF($A303="","",Visitas!F303)</f>
        <v/>
      </c>
      <c r="F303" s="0" t="str">
        <f aca="false">IF($A303="","",SUMIFS(Avaliacoes!$G$2:$G$6000,Avaliacoes!$A$2:$A$6000,$A303,Avaliacoes!$F$2:$F$6000,"I",Avaliacoes!$H$2:$H$6000,0))</f>
        <v/>
      </c>
      <c r="G303" s="0" t="str">
        <f aca="false">IF($A303="","",SUMIFS(Avaliacoes!$G$2:$G$6000,Avaliacoes!$A$2:$A$6000,$A303,Avaliacoes!$F$2:$F$6000,"II",Avaliacoes!$H$2:$H$6000,0))</f>
        <v/>
      </c>
      <c r="H303" s="0" t="str">
        <f aca="false">IF($A303="","",SUMIFS(Avaliacoes!$G$2:$G$6000,Avaliacoes!$A$2:$A$6000,$A303,Avaliacoes!$F$2:$F$6000,"III",Avaliacoes!$H$2:$H$6000,0))</f>
        <v/>
      </c>
      <c r="I303" s="0" t="str">
        <f aca="false">IF($A303="","",SUMIFS(Avaliacoes!$G$2:$G$6000,Avaliacoes!$A$2:$A$6000,$A303,Avaliacoes!$F$2:$F$6000,"IV",Avaliacoes!$H$2:$H$6000,0))</f>
        <v/>
      </c>
      <c r="J303" s="0" t="str">
        <f aca="false">IF($A303="","",COUNTIFS(Avaliacoes!$A$2:$A$6000,$A303,Avaliacoes!$F$2:$F$6000,"I",Avaliacoes!$H$2:$H$6000,0,Avaliacoes!$G$2:$G$6000,"&lt;&gt;")*Dimensoes!$E$2)</f>
        <v/>
      </c>
      <c r="K303" s="0" t="str">
        <f aca="false">IF($A303="","",COUNTIFS(Avaliacoes!$A$2:$A$6000,$A303,Avaliacoes!$F$2:$F$6000,"II",Avaliacoes!$H$2:$H$6000,0,Avaliacoes!$G$2:$G$6000,"&lt;&gt;")*Dimensoes!$E$3)</f>
        <v/>
      </c>
      <c r="L303" s="0" t="str">
        <f aca="false">IF($A303="","",COUNTIFS(Avaliacoes!$A$2:$A$6000,$A303,Avaliacoes!$F$2:$F$6000,"III",Avaliacoes!$H$2:$H$6000,0,Avaliacoes!$G$2:$G$6000,"&lt;&gt;")*Dimensoes!$E$4)</f>
        <v/>
      </c>
      <c r="M303" s="0" t="str">
        <f aca="false">IF($A303="","",COUNTIFS(Avaliacoes!$A$2:$A$6000,$A303,Avaliacoes!$F$2:$F$6000,"IV",Avaliacoes!$H$2:$H$6000,0,Avaliacoes!$G$2:$G$6000,"&lt;&gt;")*Dimensoes!$E$5)</f>
        <v/>
      </c>
      <c r="N303" s="9" t="str">
        <f aca="false">IF($A303="","",IF(J303&gt;0,F303/J303,""))</f>
        <v/>
      </c>
      <c r="O303" s="9" t="str">
        <f aca="false">IF($A303="","",IF(K303&gt;0,G303/K303,""))</f>
        <v/>
      </c>
      <c r="P303" s="9" t="str">
        <f aca="false">IF($A303="","",IF(L303&gt;0,H303/L303,""))</f>
        <v/>
      </c>
      <c r="Q303" s="9" t="str">
        <f aca="false">IF($A303="","",IF(M303&gt;0,I303/M303,""))</f>
        <v/>
      </c>
      <c r="R303" s="17" t="str">
        <f aca="false">IF($A303="","",IF((IF(N303="",0,Dimensoes!$C$2)+IF(O303="",0,Dimensoes!$C$3)+IF(P303="",0,Dimensoes!$C$4)+IF(Q303="",0,Dimensoes!$C$5))=0,"",(IF(N303="",0,N303*Dimensoes!$C$2)+IF(O303="",0,O303*Dimensoes!$C$3)+IF(P303="",0,P303*Dimensoes!$C$4)+IF(Q303="",0,Q303*Dimensoes!$C$5))/(IF(N303="",0,Dimensoes!$C$2)+IF(O303="",0,Dimensoes!$C$3)+IF(P303="",0,Dimensoes!$C$4)+IF(Q303="",0,Dimensoes!$C$5))))</f>
        <v/>
      </c>
      <c r="S303" s="0" t="str">
        <f aca="false">IF(R303="","",IF(R303&lt;Faixas!$C$3,"vermelho",IF(R303&lt;Faixas!$C$4,"amarelo","verde")))</f>
        <v/>
      </c>
      <c r="T303" s="9" t="str">
        <f aca="false">IF($A303="","",IF(N303="",0,N303*Dimensoes!$C$2)+IF(O303="",0,O303*Dimensoes!$C$3)+IF(P303="",0,P303*Dimensoes!$C$4)+IF(Q303="",0,Q303*Dimensoes!$C$5))</f>
        <v/>
      </c>
      <c r="U303" s="0" t="str">
        <f aca="false">IF($A303="","",IF(OR(E303="concluida",E303="incompleta"),1,0))</f>
        <v/>
      </c>
    </row>
    <row r="304" customFormat="false" ht="15" hidden="false" customHeight="false" outlineLevel="0" collapsed="false">
      <c r="A304" s="0" t="str">
        <f aca="false">IF(Visitas!A304="","",Visitas!A304)</f>
        <v/>
      </c>
      <c r="B304" s="0" t="str">
        <f aca="false">IF($A304="","",Visitas!C304)</f>
        <v/>
      </c>
      <c r="C304" s="7" t="str">
        <f aca="false">IF($A304="","",Visitas!D304)</f>
        <v/>
      </c>
      <c r="D304" s="0" t="str">
        <f aca="false">IF($A304="","",Visitas!B304)</f>
        <v/>
      </c>
      <c r="E304" s="0" t="str">
        <f aca="false">IF($A304="","",Visitas!F304)</f>
        <v/>
      </c>
      <c r="F304" s="0" t="str">
        <f aca="false">IF($A304="","",SUMIFS(Avaliacoes!$G$2:$G$6000,Avaliacoes!$A$2:$A$6000,$A304,Avaliacoes!$F$2:$F$6000,"I",Avaliacoes!$H$2:$H$6000,0))</f>
        <v/>
      </c>
      <c r="G304" s="0" t="str">
        <f aca="false">IF($A304="","",SUMIFS(Avaliacoes!$G$2:$G$6000,Avaliacoes!$A$2:$A$6000,$A304,Avaliacoes!$F$2:$F$6000,"II",Avaliacoes!$H$2:$H$6000,0))</f>
        <v/>
      </c>
      <c r="H304" s="0" t="str">
        <f aca="false">IF($A304="","",SUMIFS(Avaliacoes!$G$2:$G$6000,Avaliacoes!$A$2:$A$6000,$A304,Avaliacoes!$F$2:$F$6000,"III",Avaliacoes!$H$2:$H$6000,0))</f>
        <v/>
      </c>
      <c r="I304" s="0" t="str">
        <f aca="false">IF($A304="","",SUMIFS(Avaliacoes!$G$2:$G$6000,Avaliacoes!$A$2:$A$6000,$A304,Avaliacoes!$F$2:$F$6000,"IV",Avaliacoes!$H$2:$H$6000,0))</f>
        <v/>
      </c>
      <c r="J304" s="0" t="str">
        <f aca="false">IF($A304="","",COUNTIFS(Avaliacoes!$A$2:$A$6000,$A304,Avaliacoes!$F$2:$F$6000,"I",Avaliacoes!$H$2:$H$6000,0,Avaliacoes!$G$2:$G$6000,"&lt;&gt;")*Dimensoes!$E$2)</f>
        <v/>
      </c>
      <c r="K304" s="0" t="str">
        <f aca="false">IF($A304="","",COUNTIFS(Avaliacoes!$A$2:$A$6000,$A304,Avaliacoes!$F$2:$F$6000,"II",Avaliacoes!$H$2:$H$6000,0,Avaliacoes!$G$2:$G$6000,"&lt;&gt;")*Dimensoes!$E$3)</f>
        <v/>
      </c>
      <c r="L304" s="0" t="str">
        <f aca="false">IF($A304="","",COUNTIFS(Avaliacoes!$A$2:$A$6000,$A304,Avaliacoes!$F$2:$F$6000,"III",Avaliacoes!$H$2:$H$6000,0,Avaliacoes!$G$2:$G$6000,"&lt;&gt;")*Dimensoes!$E$4)</f>
        <v/>
      </c>
      <c r="M304" s="0" t="str">
        <f aca="false">IF($A304="","",COUNTIFS(Avaliacoes!$A$2:$A$6000,$A304,Avaliacoes!$F$2:$F$6000,"IV",Avaliacoes!$H$2:$H$6000,0,Avaliacoes!$G$2:$G$6000,"&lt;&gt;")*Dimensoes!$E$5)</f>
        <v/>
      </c>
      <c r="N304" s="9" t="str">
        <f aca="false">IF($A304="","",IF(J304&gt;0,F304/J304,""))</f>
        <v/>
      </c>
      <c r="O304" s="9" t="str">
        <f aca="false">IF($A304="","",IF(K304&gt;0,G304/K304,""))</f>
        <v/>
      </c>
      <c r="P304" s="9" t="str">
        <f aca="false">IF($A304="","",IF(L304&gt;0,H304/L304,""))</f>
        <v/>
      </c>
      <c r="Q304" s="9" t="str">
        <f aca="false">IF($A304="","",IF(M304&gt;0,I304/M304,""))</f>
        <v/>
      </c>
      <c r="R304" s="17" t="str">
        <f aca="false">IF($A304="","",IF((IF(N304="",0,Dimensoes!$C$2)+IF(O304="",0,Dimensoes!$C$3)+IF(P304="",0,Dimensoes!$C$4)+IF(Q304="",0,Dimensoes!$C$5))=0,"",(IF(N304="",0,N304*Dimensoes!$C$2)+IF(O304="",0,O304*Dimensoes!$C$3)+IF(P304="",0,P304*Dimensoes!$C$4)+IF(Q304="",0,Q304*Dimensoes!$C$5))/(IF(N304="",0,Dimensoes!$C$2)+IF(O304="",0,Dimensoes!$C$3)+IF(P304="",0,Dimensoes!$C$4)+IF(Q304="",0,Dimensoes!$C$5))))</f>
        <v/>
      </c>
      <c r="S304" s="0" t="str">
        <f aca="false">IF(R304="","",IF(R304&lt;Faixas!$C$3,"vermelho",IF(R304&lt;Faixas!$C$4,"amarelo","verde")))</f>
        <v/>
      </c>
      <c r="T304" s="9" t="str">
        <f aca="false">IF($A304="","",IF(N304="",0,N304*Dimensoes!$C$2)+IF(O304="",0,O304*Dimensoes!$C$3)+IF(P304="",0,P304*Dimensoes!$C$4)+IF(Q304="",0,Q304*Dimensoes!$C$5))</f>
        <v/>
      </c>
      <c r="U304" s="0" t="str">
        <f aca="false">IF($A304="","",IF(OR(E304="concluida",E304="incompleta"),1,0))</f>
        <v/>
      </c>
    </row>
    <row r="305" customFormat="false" ht="15" hidden="false" customHeight="false" outlineLevel="0" collapsed="false">
      <c r="A305" s="0" t="str">
        <f aca="false">IF(Visitas!A305="","",Visitas!A305)</f>
        <v/>
      </c>
      <c r="B305" s="0" t="str">
        <f aca="false">IF($A305="","",Visitas!C305)</f>
        <v/>
      </c>
      <c r="C305" s="7" t="str">
        <f aca="false">IF($A305="","",Visitas!D305)</f>
        <v/>
      </c>
      <c r="D305" s="0" t="str">
        <f aca="false">IF($A305="","",Visitas!B305)</f>
        <v/>
      </c>
      <c r="E305" s="0" t="str">
        <f aca="false">IF($A305="","",Visitas!F305)</f>
        <v/>
      </c>
      <c r="F305" s="0" t="str">
        <f aca="false">IF($A305="","",SUMIFS(Avaliacoes!$G$2:$G$6000,Avaliacoes!$A$2:$A$6000,$A305,Avaliacoes!$F$2:$F$6000,"I",Avaliacoes!$H$2:$H$6000,0))</f>
        <v/>
      </c>
      <c r="G305" s="0" t="str">
        <f aca="false">IF($A305="","",SUMIFS(Avaliacoes!$G$2:$G$6000,Avaliacoes!$A$2:$A$6000,$A305,Avaliacoes!$F$2:$F$6000,"II",Avaliacoes!$H$2:$H$6000,0))</f>
        <v/>
      </c>
      <c r="H305" s="0" t="str">
        <f aca="false">IF($A305="","",SUMIFS(Avaliacoes!$G$2:$G$6000,Avaliacoes!$A$2:$A$6000,$A305,Avaliacoes!$F$2:$F$6000,"III",Avaliacoes!$H$2:$H$6000,0))</f>
        <v/>
      </c>
      <c r="I305" s="0" t="str">
        <f aca="false">IF($A305="","",SUMIFS(Avaliacoes!$G$2:$G$6000,Avaliacoes!$A$2:$A$6000,$A305,Avaliacoes!$F$2:$F$6000,"IV",Avaliacoes!$H$2:$H$6000,0))</f>
        <v/>
      </c>
      <c r="J305" s="0" t="str">
        <f aca="false">IF($A305="","",COUNTIFS(Avaliacoes!$A$2:$A$6000,$A305,Avaliacoes!$F$2:$F$6000,"I",Avaliacoes!$H$2:$H$6000,0,Avaliacoes!$G$2:$G$6000,"&lt;&gt;")*Dimensoes!$E$2)</f>
        <v/>
      </c>
      <c r="K305" s="0" t="str">
        <f aca="false">IF($A305="","",COUNTIFS(Avaliacoes!$A$2:$A$6000,$A305,Avaliacoes!$F$2:$F$6000,"II",Avaliacoes!$H$2:$H$6000,0,Avaliacoes!$G$2:$G$6000,"&lt;&gt;")*Dimensoes!$E$3)</f>
        <v/>
      </c>
      <c r="L305" s="0" t="str">
        <f aca="false">IF($A305="","",COUNTIFS(Avaliacoes!$A$2:$A$6000,$A305,Avaliacoes!$F$2:$F$6000,"III",Avaliacoes!$H$2:$H$6000,0,Avaliacoes!$G$2:$G$6000,"&lt;&gt;")*Dimensoes!$E$4)</f>
        <v/>
      </c>
      <c r="M305" s="0" t="str">
        <f aca="false">IF($A305="","",COUNTIFS(Avaliacoes!$A$2:$A$6000,$A305,Avaliacoes!$F$2:$F$6000,"IV",Avaliacoes!$H$2:$H$6000,0,Avaliacoes!$G$2:$G$6000,"&lt;&gt;")*Dimensoes!$E$5)</f>
        <v/>
      </c>
      <c r="N305" s="9" t="str">
        <f aca="false">IF($A305="","",IF(J305&gt;0,F305/J305,""))</f>
        <v/>
      </c>
      <c r="O305" s="9" t="str">
        <f aca="false">IF($A305="","",IF(K305&gt;0,G305/K305,""))</f>
        <v/>
      </c>
      <c r="P305" s="9" t="str">
        <f aca="false">IF($A305="","",IF(L305&gt;0,H305/L305,""))</f>
        <v/>
      </c>
      <c r="Q305" s="9" t="str">
        <f aca="false">IF($A305="","",IF(M305&gt;0,I305/M305,""))</f>
        <v/>
      </c>
      <c r="R305" s="17" t="str">
        <f aca="false">IF($A305="","",IF((IF(N305="",0,Dimensoes!$C$2)+IF(O305="",0,Dimensoes!$C$3)+IF(P305="",0,Dimensoes!$C$4)+IF(Q305="",0,Dimensoes!$C$5))=0,"",(IF(N305="",0,N305*Dimensoes!$C$2)+IF(O305="",0,O305*Dimensoes!$C$3)+IF(P305="",0,P305*Dimensoes!$C$4)+IF(Q305="",0,Q305*Dimensoes!$C$5))/(IF(N305="",0,Dimensoes!$C$2)+IF(O305="",0,Dimensoes!$C$3)+IF(P305="",0,Dimensoes!$C$4)+IF(Q305="",0,Dimensoes!$C$5))))</f>
        <v/>
      </c>
      <c r="S305" s="0" t="str">
        <f aca="false">IF(R305="","",IF(R305&lt;Faixas!$C$3,"vermelho",IF(R305&lt;Faixas!$C$4,"amarelo","verde")))</f>
        <v/>
      </c>
      <c r="T305" s="9" t="str">
        <f aca="false">IF($A305="","",IF(N305="",0,N305*Dimensoes!$C$2)+IF(O305="",0,O305*Dimensoes!$C$3)+IF(P305="",0,P305*Dimensoes!$C$4)+IF(Q305="",0,Q305*Dimensoes!$C$5))</f>
        <v/>
      </c>
      <c r="U305" s="0" t="str">
        <f aca="false">IF($A305="","",IF(OR(E305="concluida",E305="incompleta"),1,0))</f>
        <v/>
      </c>
    </row>
    <row r="306" customFormat="false" ht="15" hidden="false" customHeight="false" outlineLevel="0" collapsed="false">
      <c r="A306" s="0" t="str">
        <f aca="false">IF(Visitas!A306="","",Visitas!A306)</f>
        <v/>
      </c>
      <c r="B306" s="0" t="str">
        <f aca="false">IF($A306="","",Visitas!C306)</f>
        <v/>
      </c>
      <c r="C306" s="7" t="str">
        <f aca="false">IF($A306="","",Visitas!D306)</f>
        <v/>
      </c>
      <c r="D306" s="0" t="str">
        <f aca="false">IF($A306="","",Visitas!B306)</f>
        <v/>
      </c>
      <c r="E306" s="0" t="str">
        <f aca="false">IF($A306="","",Visitas!F306)</f>
        <v/>
      </c>
      <c r="F306" s="0" t="str">
        <f aca="false">IF($A306="","",SUMIFS(Avaliacoes!$G$2:$G$6000,Avaliacoes!$A$2:$A$6000,$A306,Avaliacoes!$F$2:$F$6000,"I",Avaliacoes!$H$2:$H$6000,0))</f>
        <v/>
      </c>
      <c r="G306" s="0" t="str">
        <f aca="false">IF($A306="","",SUMIFS(Avaliacoes!$G$2:$G$6000,Avaliacoes!$A$2:$A$6000,$A306,Avaliacoes!$F$2:$F$6000,"II",Avaliacoes!$H$2:$H$6000,0))</f>
        <v/>
      </c>
      <c r="H306" s="0" t="str">
        <f aca="false">IF($A306="","",SUMIFS(Avaliacoes!$G$2:$G$6000,Avaliacoes!$A$2:$A$6000,$A306,Avaliacoes!$F$2:$F$6000,"III",Avaliacoes!$H$2:$H$6000,0))</f>
        <v/>
      </c>
      <c r="I306" s="0" t="str">
        <f aca="false">IF($A306="","",SUMIFS(Avaliacoes!$G$2:$G$6000,Avaliacoes!$A$2:$A$6000,$A306,Avaliacoes!$F$2:$F$6000,"IV",Avaliacoes!$H$2:$H$6000,0))</f>
        <v/>
      </c>
      <c r="J306" s="0" t="str">
        <f aca="false">IF($A306="","",COUNTIFS(Avaliacoes!$A$2:$A$6000,$A306,Avaliacoes!$F$2:$F$6000,"I",Avaliacoes!$H$2:$H$6000,0,Avaliacoes!$G$2:$G$6000,"&lt;&gt;")*Dimensoes!$E$2)</f>
        <v/>
      </c>
      <c r="K306" s="0" t="str">
        <f aca="false">IF($A306="","",COUNTIFS(Avaliacoes!$A$2:$A$6000,$A306,Avaliacoes!$F$2:$F$6000,"II",Avaliacoes!$H$2:$H$6000,0,Avaliacoes!$G$2:$G$6000,"&lt;&gt;")*Dimensoes!$E$3)</f>
        <v/>
      </c>
      <c r="L306" s="0" t="str">
        <f aca="false">IF($A306="","",COUNTIFS(Avaliacoes!$A$2:$A$6000,$A306,Avaliacoes!$F$2:$F$6000,"III",Avaliacoes!$H$2:$H$6000,0,Avaliacoes!$G$2:$G$6000,"&lt;&gt;")*Dimensoes!$E$4)</f>
        <v/>
      </c>
      <c r="M306" s="0" t="str">
        <f aca="false">IF($A306="","",COUNTIFS(Avaliacoes!$A$2:$A$6000,$A306,Avaliacoes!$F$2:$F$6000,"IV",Avaliacoes!$H$2:$H$6000,0,Avaliacoes!$G$2:$G$6000,"&lt;&gt;")*Dimensoes!$E$5)</f>
        <v/>
      </c>
      <c r="N306" s="9" t="str">
        <f aca="false">IF($A306="","",IF(J306&gt;0,F306/J306,""))</f>
        <v/>
      </c>
      <c r="O306" s="9" t="str">
        <f aca="false">IF($A306="","",IF(K306&gt;0,G306/K306,""))</f>
        <v/>
      </c>
      <c r="P306" s="9" t="str">
        <f aca="false">IF($A306="","",IF(L306&gt;0,H306/L306,""))</f>
        <v/>
      </c>
      <c r="Q306" s="9" t="str">
        <f aca="false">IF($A306="","",IF(M306&gt;0,I306/M306,""))</f>
        <v/>
      </c>
      <c r="R306" s="17" t="str">
        <f aca="false">IF($A306="","",IF((IF(N306="",0,Dimensoes!$C$2)+IF(O306="",0,Dimensoes!$C$3)+IF(P306="",0,Dimensoes!$C$4)+IF(Q306="",0,Dimensoes!$C$5))=0,"",(IF(N306="",0,N306*Dimensoes!$C$2)+IF(O306="",0,O306*Dimensoes!$C$3)+IF(P306="",0,P306*Dimensoes!$C$4)+IF(Q306="",0,Q306*Dimensoes!$C$5))/(IF(N306="",0,Dimensoes!$C$2)+IF(O306="",0,Dimensoes!$C$3)+IF(P306="",0,Dimensoes!$C$4)+IF(Q306="",0,Dimensoes!$C$5))))</f>
        <v/>
      </c>
      <c r="S306" s="0" t="str">
        <f aca="false">IF(R306="","",IF(R306&lt;Faixas!$C$3,"vermelho",IF(R306&lt;Faixas!$C$4,"amarelo","verde")))</f>
        <v/>
      </c>
      <c r="T306" s="9" t="str">
        <f aca="false">IF($A306="","",IF(N306="",0,N306*Dimensoes!$C$2)+IF(O306="",0,O306*Dimensoes!$C$3)+IF(P306="",0,P306*Dimensoes!$C$4)+IF(Q306="",0,Q306*Dimensoes!$C$5))</f>
        <v/>
      </c>
      <c r="U306" s="0" t="str">
        <f aca="false">IF($A306="","",IF(OR(E306="concluida",E306="incompleta"),1,0))</f>
        <v/>
      </c>
    </row>
    <row r="307" customFormat="false" ht="15" hidden="false" customHeight="false" outlineLevel="0" collapsed="false">
      <c r="A307" s="0" t="str">
        <f aca="false">IF(Visitas!A307="","",Visitas!A307)</f>
        <v/>
      </c>
      <c r="B307" s="0" t="str">
        <f aca="false">IF($A307="","",Visitas!C307)</f>
        <v/>
      </c>
      <c r="C307" s="7" t="str">
        <f aca="false">IF($A307="","",Visitas!D307)</f>
        <v/>
      </c>
      <c r="D307" s="0" t="str">
        <f aca="false">IF($A307="","",Visitas!B307)</f>
        <v/>
      </c>
      <c r="E307" s="0" t="str">
        <f aca="false">IF($A307="","",Visitas!F307)</f>
        <v/>
      </c>
      <c r="F307" s="0" t="str">
        <f aca="false">IF($A307="","",SUMIFS(Avaliacoes!$G$2:$G$6000,Avaliacoes!$A$2:$A$6000,$A307,Avaliacoes!$F$2:$F$6000,"I",Avaliacoes!$H$2:$H$6000,0))</f>
        <v/>
      </c>
      <c r="G307" s="0" t="str">
        <f aca="false">IF($A307="","",SUMIFS(Avaliacoes!$G$2:$G$6000,Avaliacoes!$A$2:$A$6000,$A307,Avaliacoes!$F$2:$F$6000,"II",Avaliacoes!$H$2:$H$6000,0))</f>
        <v/>
      </c>
      <c r="H307" s="0" t="str">
        <f aca="false">IF($A307="","",SUMIFS(Avaliacoes!$G$2:$G$6000,Avaliacoes!$A$2:$A$6000,$A307,Avaliacoes!$F$2:$F$6000,"III",Avaliacoes!$H$2:$H$6000,0))</f>
        <v/>
      </c>
      <c r="I307" s="0" t="str">
        <f aca="false">IF($A307="","",SUMIFS(Avaliacoes!$G$2:$G$6000,Avaliacoes!$A$2:$A$6000,$A307,Avaliacoes!$F$2:$F$6000,"IV",Avaliacoes!$H$2:$H$6000,0))</f>
        <v/>
      </c>
      <c r="J307" s="0" t="str">
        <f aca="false">IF($A307="","",COUNTIFS(Avaliacoes!$A$2:$A$6000,$A307,Avaliacoes!$F$2:$F$6000,"I",Avaliacoes!$H$2:$H$6000,0,Avaliacoes!$G$2:$G$6000,"&lt;&gt;")*Dimensoes!$E$2)</f>
        <v/>
      </c>
      <c r="K307" s="0" t="str">
        <f aca="false">IF($A307="","",COUNTIFS(Avaliacoes!$A$2:$A$6000,$A307,Avaliacoes!$F$2:$F$6000,"II",Avaliacoes!$H$2:$H$6000,0,Avaliacoes!$G$2:$G$6000,"&lt;&gt;")*Dimensoes!$E$3)</f>
        <v/>
      </c>
      <c r="L307" s="0" t="str">
        <f aca="false">IF($A307="","",COUNTIFS(Avaliacoes!$A$2:$A$6000,$A307,Avaliacoes!$F$2:$F$6000,"III",Avaliacoes!$H$2:$H$6000,0,Avaliacoes!$G$2:$G$6000,"&lt;&gt;")*Dimensoes!$E$4)</f>
        <v/>
      </c>
      <c r="M307" s="0" t="str">
        <f aca="false">IF($A307="","",COUNTIFS(Avaliacoes!$A$2:$A$6000,$A307,Avaliacoes!$F$2:$F$6000,"IV",Avaliacoes!$H$2:$H$6000,0,Avaliacoes!$G$2:$G$6000,"&lt;&gt;")*Dimensoes!$E$5)</f>
        <v/>
      </c>
      <c r="N307" s="9" t="str">
        <f aca="false">IF($A307="","",IF(J307&gt;0,F307/J307,""))</f>
        <v/>
      </c>
      <c r="O307" s="9" t="str">
        <f aca="false">IF($A307="","",IF(K307&gt;0,G307/K307,""))</f>
        <v/>
      </c>
      <c r="P307" s="9" t="str">
        <f aca="false">IF($A307="","",IF(L307&gt;0,H307/L307,""))</f>
        <v/>
      </c>
      <c r="Q307" s="9" t="str">
        <f aca="false">IF($A307="","",IF(M307&gt;0,I307/M307,""))</f>
        <v/>
      </c>
      <c r="R307" s="17" t="str">
        <f aca="false">IF($A307="","",IF((IF(N307="",0,Dimensoes!$C$2)+IF(O307="",0,Dimensoes!$C$3)+IF(P307="",0,Dimensoes!$C$4)+IF(Q307="",0,Dimensoes!$C$5))=0,"",(IF(N307="",0,N307*Dimensoes!$C$2)+IF(O307="",0,O307*Dimensoes!$C$3)+IF(P307="",0,P307*Dimensoes!$C$4)+IF(Q307="",0,Q307*Dimensoes!$C$5))/(IF(N307="",0,Dimensoes!$C$2)+IF(O307="",0,Dimensoes!$C$3)+IF(P307="",0,Dimensoes!$C$4)+IF(Q307="",0,Dimensoes!$C$5))))</f>
        <v/>
      </c>
      <c r="S307" s="0" t="str">
        <f aca="false">IF(R307="","",IF(R307&lt;Faixas!$C$3,"vermelho",IF(R307&lt;Faixas!$C$4,"amarelo","verde")))</f>
        <v/>
      </c>
      <c r="T307" s="9" t="str">
        <f aca="false">IF($A307="","",IF(N307="",0,N307*Dimensoes!$C$2)+IF(O307="",0,O307*Dimensoes!$C$3)+IF(P307="",0,P307*Dimensoes!$C$4)+IF(Q307="",0,Q307*Dimensoes!$C$5))</f>
        <v/>
      </c>
      <c r="U307" s="0" t="str">
        <f aca="false">IF($A307="","",IF(OR(E307="concluida",E307="incompleta"),1,0))</f>
        <v/>
      </c>
    </row>
    <row r="308" customFormat="false" ht="15" hidden="false" customHeight="false" outlineLevel="0" collapsed="false">
      <c r="A308" s="0" t="str">
        <f aca="false">IF(Visitas!A308="","",Visitas!A308)</f>
        <v/>
      </c>
      <c r="B308" s="0" t="str">
        <f aca="false">IF($A308="","",Visitas!C308)</f>
        <v/>
      </c>
      <c r="C308" s="7" t="str">
        <f aca="false">IF($A308="","",Visitas!D308)</f>
        <v/>
      </c>
      <c r="D308" s="0" t="str">
        <f aca="false">IF($A308="","",Visitas!B308)</f>
        <v/>
      </c>
      <c r="E308" s="0" t="str">
        <f aca="false">IF($A308="","",Visitas!F308)</f>
        <v/>
      </c>
      <c r="F308" s="0" t="str">
        <f aca="false">IF($A308="","",SUMIFS(Avaliacoes!$G$2:$G$6000,Avaliacoes!$A$2:$A$6000,$A308,Avaliacoes!$F$2:$F$6000,"I",Avaliacoes!$H$2:$H$6000,0))</f>
        <v/>
      </c>
      <c r="G308" s="0" t="str">
        <f aca="false">IF($A308="","",SUMIFS(Avaliacoes!$G$2:$G$6000,Avaliacoes!$A$2:$A$6000,$A308,Avaliacoes!$F$2:$F$6000,"II",Avaliacoes!$H$2:$H$6000,0))</f>
        <v/>
      </c>
      <c r="H308" s="0" t="str">
        <f aca="false">IF($A308="","",SUMIFS(Avaliacoes!$G$2:$G$6000,Avaliacoes!$A$2:$A$6000,$A308,Avaliacoes!$F$2:$F$6000,"III",Avaliacoes!$H$2:$H$6000,0))</f>
        <v/>
      </c>
      <c r="I308" s="0" t="str">
        <f aca="false">IF($A308="","",SUMIFS(Avaliacoes!$G$2:$G$6000,Avaliacoes!$A$2:$A$6000,$A308,Avaliacoes!$F$2:$F$6000,"IV",Avaliacoes!$H$2:$H$6000,0))</f>
        <v/>
      </c>
      <c r="J308" s="0" t="str">
        <f aca="false">IF($A308="","",COUNTIFS(Avaliacoes!$A$2:$A$6000,$A308,Avaliacoes!$F$2:$F$6000,"I",Avaliacoes!$H$2:$H$6000,0,Avaliacoes!$G$2:$G$6000,"&lt;&gt;")*Dimensoes!$E$2)</f>
        <v/>
      </c>
      <c r="K308" s="0" t="str">
        <f aca="false">IF($A308="","",COUNTIFS(Avaliacoes!$A$2:$A$6000,$A308,Avaliacoes!$F$2:$F$6000,"II",Avaliacoes!$H$2:$H$6000,0,Avaliacoes!$G$2:$G$6000,"&lt;&gt;")*Dimensoes!$E$3)</f>
        <v/>
      </c>
      <c r="L308" s="0" t="str">
        <f aca="false">IF($A308="","",COUNTIFS(Avaliacoes!$A$2:$A$6000,$A308,Avaliacoes!$F$2:$F$6000,"III",Avaliacoes!$H$2:$H$6000,0,Avaliacoes!$G$2:$G$6000,"&lt;&gt;")*Dimensoes!$E$4)</f>
        <v/>
      </c>
      <c r="M308" s="0" t="str">
        <f aca="false">IF($A308="","",COUNTIFS(Avaliacoes!$A$2:$A$6000,$A308,Avaliacoes!$F$2:$F$6000,"IV",Avaliacoes!$H$2:$H$6000,0,Avaliacoes!$G$2:$G$6000,"&lt;&gt;")*Dimensoes!$E$5)</f>
        <v/>
      </c>
      <c r="N308" s="9" t="str">
        <f aca="false">IF($A308="","",IF(J308&gt;0,F308/J308,""))</f>
        <v/>
      </c>
      <c r="O308" s="9" t="str">
        <f aca="false">IF($A308="","",IF(K308&gt;0,G308/K308,""))</f>
        <v/>
      </c>
      <c r="P308" s="9" t="str">
        <f aca="false">IF($A308="","",IF(L308&gt;0,H308/L308,""))</f>
        <v/>
      </c>
      <c r="Q308" s="9" t="str">
        <f aca="false">IF($A308="","",IF(M308&gt;0,I308/M308,""))</f>
        <v/>
      </c>
      <c r="R308" s="17" t="str">
        <f aca="false">IF($A308="","",IF((IF(N308="",0,Dimensoes!$C$2)+IF(O308="",0,Dimensoes!$C$3)+IF(P308="",0,Dimensoes!$C$4)+IF(Q308="",0,Dimensoes!$C$5))=0,"",(IF(N308="",0,N308*Dimensoes!$C$2)+IF(O308="",0,O308*Dimensoes!$C$3)+IF(P308="",0,P308*Dimensoes!$C$4)+IF(Q308="",0,Q308*Dimensoes!$C$5))/(IF(N308="",0,Dimensoes!$C$2)+IF(O308="",0,Dimensoes!$C$3)+IF(P308="",0,Dimensoes!$C$4)+IF(Q308="",0,Dimensoes!$C$5))))</f>
        <v/>
      </c>
      <c r="S308" s="0" t="str">
        <f aca="false">IF(R308="","",IF(R308&lt;Faixas!$C$3,"vermelho",IF(R308&lt;Faixas!$C$4,"amarelo","verde")))</f>
        <v/>
      </c>
      <c r="T308" s="9" t="str">
        <f aca="false">IF($A308="","",IF(N308="",0,N308*Dimensoes!$C$2)+IF(O308="",0,O308*Dimensoes!$C$3)+IF(P308="",0,P308*Dimensoes!$C$4)+IF(Q308="",0,Q308*Dimensoes!$C$5))</f>
        <v/>
      </c>
      <c r="U308" s="0" t="str">
        <f aca="false">IF($A308="","",IF(OR(E308="concluida",E308="incompleta"),1,0))</f>
        <v/>
      </c>
    </row>
    <row r="309" customFormat="false" ht="15" hidden="false" customHeight="false" outlineLevel="0" collapsed="false">
      <c r="A309" s="0" t="str">
        <f aca="false">IF(Visitas!A309="","",Visitas!A309)</f>
        <v/>
      </c>
      <c r="B309" s="0" t="str">
        <f aca="false">IF($A309="","",Visitas!C309)</f>
        <v/>
      </c>
      <c r="C309" s="7" t="str">
        <f aca="false">IF($A309="","",Visitas!D309)</f>
        <v/>
      </c>
      <c r="D309" s="0" t="str">
        <f aca="false">IF($A309="","",Visitas!B309)</f>
        <v/>
      </c>
      <c r="E309" s="0" t="str">
        <f aca="false">IF($A309="","",Visitas!F309)</f>
        <v/>
      </c>
      <c r="F309" s="0" t="str">
        <f aca="false">IF($A309="","",SUMIFS(Avaliacoes!$G$2:$G$6000,Avaliacoes!$A$2:$A$6000,$A309,Avaliacoes!$F$2:$F$6000,"I",Avaliacoes!$H$2:$H$6000,0))</f>
        <v/>
      </c>
      <c r="G309" s="0" t="str">
        <f aca="false">IF($A309="","",SUMIFS(Avaliacoes!$G$2:$G$6000,Avaliacoes!$A$2:$A$6000,$A309,Avaliacoes!$F$2:$F$6000,"II",Avaliacoes!$H$2:$H$6000,0))</f>
        <v/>
      </c>
      <c r="H309" s="0" t="str">
        <f aca="false">IF($A309="","",SUMIFS(Avaliacoes!$G$2:$G$6000,Avaliacoes!$A$2:$A$6000,$A309,Avaliacoes!$F$2:$F$6000,"III",Avaliacoes!$H$2:$H$6000,0))</f>
        <v/>
      </c>
      <c r="I309" s="0" t="str">
        <f aca="false">IF($A309="","",SUMIFS(Avaliacoes!$G$2:$G$6000,Avaliacoes!$A$2:$A$6000,$A309,Avaliacoes!$F$2:$F$6000,"IV",Avaliacoes!$H$2:$H$6000,0))</f>
        <v/>
      </c>
      <c r="J309" s="0" t="str">
        <f aca="false">IF($A309="","",COUNTIFS(Avaliacoes!$A$2:$A$6000,$A309,Avaliacoes!$F$2:$F$6000,"I",Avaliacoes!$H$2:$H$6000,0,Avaliacoes!$G$2:$G$6000,"&lt;&gt;")*Dimensoes!$E$2)</f>
        <v/>
      </c>
      <c r="K309" s="0" t="str">
        <f aca="false">IF($A309="","",COUNTIFS(Avaliacoes!$A$2:$A$6000,$A309,Avaliacoes!$F$2:$F$6000,"II",Avaliacoes!$H$2:$H$6000,0,Avaliacoes!$G$2:$G$6000,"&lt;&gt;")*Dimensoes!$E$3)</f>
        <v/>
      </c>
      <c r="L309" s="0" t="str">
        <f aca="false">IF($A309="","",COUNTIFS(Avaliacoes!$A$2:$A$6000,$A309,Avaliacoes!$F$2:$F$6000,"III",Avaliacoes!$H$2:$H$6000,0,Avaliacoes!$G$2:$G$6000,"&lt;&gt;")*Dimensoes!$E$4)</f>
        <v/>
      </c>
      <c r="M309" s="0" t="str">
        <f aca="false">IF($A309="","",COUNTIFS(Avaliacoes!$A$2:$A$6000,$A309,Avaliacoes!$F$2:$F$6000,"IV",Avaliacoes!$H$2:$H$6000,0,Avaliacoes!$G$2:$G$6000,"&lt;&gt;")*Dimensoes!$E$5)</f>
        <v/>
      </c>
      <c r="N309" s="9" t="str">
        <f aca="false">IF($A309="","",IF(J309&gt;0,F309/J309,""))</f>
        <v/>
      </c>
      <c r="O309" s="9" t="str">
        <f aca="false">IF($A309="","",IF(K309&gt;0,G309/K309,""))</f>
        <v/>
      </c>
      <c r="P309" s="9" t="str">
        <f aca="false">IF($A309="","",IF(L309&gt;0,H309/L309,""))</f>
        <v/>
      </c>
      <c r="Q309" s="9" t="str">
        <f aca="false">IF($A309="","",IF(M309&gt;0,I309/M309,""))</f>
        <v/>
      </c>
      <c r="R309" s="17" t="str">
        <f aca="false">IF($A309="","",IF((IF(N309="",0,Dimensoes!$C$2)+IF(O309="",0,Dimensoes!$C$3)+IF(P309="",0,Dimensoes!$C$4)+IF(Q309="",0,Dimensoes!$C$5))=0,"",(IF(N309="",0,N309*Dimensoes!$C$2)+IF(O309="",0,O309*Dimensoes!$C$3)+IF(P309="",0,P309*Dimensoes!$C$4)+IF(Q309="",0,Q309*Dimensoes!$C$5))/(IF(N309="",0,Dimensoes!$C$2)+IF(O309="",0,Dimensoes!$C$3)+IF(P309="",0,Dimensoes!$C$4)+IF(Q309="",0,Dimensoes!$C$5))))</f>
        <v/>
      </c>
      <c r="S309" s="0" t="str">
        <f aca="false">IF(R309="","",IF(R309&lt;Faixas!$C$3,"vermelho",IF(R309&lt;Faixas!$C$4,"amarelo","verde")))</f>
        <v/>
      </c>
      <c r="T309" s="9" t="str">
        <f aca="false">IF($A309="","",IF(N309="",0,N309*Dimensoes!$C$2)+IF(O309="",0,O309*Dimensoes!$C$3)+IF(P309="",0,P309*Dimensoes!$C$4)+IF(Q309="",0,Q309*Dimensoes!$C$5))</f>
        <v/>
      </c>
      <c r="U309" s="0" t="str">
        <f aca="false">IF($A309="","",IF(OR(E309="concluida",E309="incompleta"),1,0))</f>
        <v/>
      </c>
    </row>
    <row r="310" customFormat="false" ht="15" hidden="false" customHeight="false" outlineLevel="0" collapsed="false">
      <c r="A310" s="0" t="str">
        <f aca="false">IF(Visitas!A310="","",Visitas!A310)</f>
        <v/>
      </c>
      <c r="B310" s="0" t="str">
        <f aca="false">IF($A310="","",Visitas!C310)</f>
        <v/>
      </c>
      <c r="C310" s="7" t="str">
        <f aca="false">IF($A310="","",Visitas!D310)</f>
        <v/>
      </c>
      <c r="D310" s="0" t="str">
        <f aca="false">IF($A310="","",Visitas!B310)</f>
        <v/>
      </c>
      <c r="E310" s="0" t="str">
        <f aca="false">IF($A310="","",Visitas!F310)</f>
        <v/>
      </c>
      <c r="F310" s="0" t="str">
        <f aca="false">IF($A310="","",SUMIFS(Avaliacoes!$G$2:$G$6000,Avaliacoes!$A$2:$A$6000,$A310,Avaliacoes!$F$2:$F$6000,"I",Avaliacoes!$H$2:$H$6000,0))</f>
        <v/>
      </c>
      <c r="G310" s="0" t="str">
        <f aca="false">IF($A310="","",SUMIFS(Avaliacoes!$G$2:$G$6000,Avaliacoes!$A$2:$A$6000,$A310,Avaliacoes!$F$2:$F$6000,"II",Avaliacoes!$H$2:$H$6000,0))</f>
        <v/>
      </c>
      <c r="H310" s="0" t="str">
        <f aca="false">IF($A310="","",SUMIFS(Avaliacoes!$G$2:$G$6000,Avaliacoes!$A$2:$A$6000,$A310,Avaliacoes!$F$2:$F$6000,"III",Avaliacoes!$H$2:$H$6000,0))</f>
        <v/>
      </c>
      <c r="I310" s="0" t="str">
        <f aca="false">IF($A310="","",SUMIFS(Avaliacoes!$G$2:$G$6000,Avaliacoes!$A$2:$A$6000,$A310,Avaliacoes!$F$2:$F$6000,"IV",Avaliacoes!$H$2:$H$6000,0))</f>
        <v/>
      </c>
      <c r="J310" s="0" t="str">
        <f aca="false">IF($A310="","",COUNTIFS(Avaliacoes!$A$2:$A$6000,$A310,Avaliacoes!$F$2:$F$6000,"I",Avaliacoes!$H$2:$H$6000,0,Avaliacoes!$G$2:$G$6000,"&lt;&gt;")*Dimensoes!$E$2)</f>
        <v/>
      </c>
      <c r="K310" s="0" t="str">
        <f aca="false">IF($A310="","",COUNTIFS(Avaliacoes!$A$2:$A$6000,$A310,Avaliacoes!$F$2:$F$6000,"II",Avaliacoes!$H$2:$H$6000,0,Avaliacoes!$G$2:$G$6000,"&lt;&gt;")*Dimensoes!$E$3)</f>
        <v/>
      </c>
      <c r="L310" s="0" t="str">
        <f aca="false">IF($A310="","",COUNTIFS(Avaliacoes!$A$2:$A$6000,$A310,Avaliacoes!$F$2:$F$6000,"III",Avaliacoes!$H$2:$H$6000,0,Avaliacoes!$G$2:$G$6000,"&lt;&gt;")*Dimensoes!$E$4)</f>
        <v/>
      </c>
      <c r="M310" s="0" t="str">
        <f aca="false">IF($A310="","",COUNTIFS(Avaliacoes!$A$2:$A$6000,$A310,Avaliacoes!$F$2:$F$6000,"IV",Avaliacoes!$H$2:$H$6000,0,Avaliacoes!$G$2:$G$6000,"&lt;&gt;")*Dimensoes!$E$5)</f>
        <v/>
      </c>
      <c r="N310" s="9" t="str">
        <f aca="false">IF($A310="","",IF(J310&gt;0,F310/J310,""))</f>
        <v/>
      </c>
      <c r="O310" s="9" t="str">
        <f aca="false">IF($A310="","",IF(K310&gt;0,G310/K310,""))</f>
        <v/>
      </c>
      <c r="P310" s="9" t="str">
        <f aca="false">IF($A310="","",IF(L310&gt;0,H310/L310,""))</f>
        <v/>
      </c>
      <c r="Q310" s="9" t="str">
        <f aca="false">IF($A310="","",IF(M310&gt;0,I310/M310,""))</f>
        <v/>
      </c>
      <c r="R310" s="17" t="str">
        <f aca="false">IF($A310="","",IF((IF(N310="",0,Dimensoes!$C$2)+IF(O310="",0,Dimensoes!$C$3)+IF(P310="",0,Dimensoes!$C$4)+IF(Q310="",0,Dimensoes!$C$5))=0,"",(IF(N310="",0,N310*Dimensoes!$C$2)+IF(O310="",0,O310*Dimensoes!$C$3)+IF(P310="",0,P310*Dimensoes!$C$4)+IF(Q310="",0,Q310*Dimensoes!$C$5))/(IF(N310="",0,Dimensoes!$C$2)+IF(O310="",0,Dimensoes!$C$3)+IF(P310="",0,Dimensoes!$C$4)+IF(Q310="",0,Dimensoes!$C$5))))</f>
        <v/>
      </c>
      <c r="S310" s="0" t="str">
        <f aca="false">IF(R310="","",IF(R310&lt;Faixas!$C$3,"vermelho",IF(R310&lt;Faixas!$C$4,"amarelo","verde")))</f>
        <v/>
      </c>
      <c r="T310" s="9" t="str">
        <f aca="false">IF($A310="","",IF(N310="",0,N310*Dimensoes!$C$2)+IF(O310="",0,O310*Dimensoes!$C$3)+IF(P310="",0,P310*Dimensoes!$C$4)+IF(Q310="",0,Q310*Dimensoes!$C$5))</f>
        <v/>
      </c>
      <c r="U310" s="0" t="str">
        <f aca="false">IF($A310="","",IF(OR(E310="concluida",E310="incompleta"),1,0))</f>
        <v/>
      </c>
    </row>
    <row r="311" customFormat="false" ht="15" hidden="false" customHeight="false" outlineLevel="0" collapsed="false">
      <c r="A311" s="0" t="str">
        <f aca="false">IF(Visitas!A311="","",Visitas!A311)</f>
        <v/>
      </c>
      <c r="B311" s="0" t="str">
        <f aca="false">IF($A311="","",Visitas!C311)</f>
        <v/>
      </c>
      <c r="C311" s="7" t="str">
        <f aca="false">IF($A311="","",Visitas!D311)</f>
        <v/>
      </c>
      <c r="D311" s="0" t="str">
        <f aca="false">IF($A311="","",Visitas!B311)</f>
        <v/>
      </c>
      <c r="E311" s="0" t="str">
        <f aca="false">IF($A311="","",Visitas!F311)</f>
        <v/>
      </c>
      <c r="F311" s="0" t="str">
        <f aca="false">IF($A311="","",SUMIFS(Avaliacoes!$G$2:$G$6000,Avaliacoes!$A$2:$A$6000,$A311,Avaliacoes!$F$2:$F$6000,"I",Avaliacoes!$H$2:$H$6000,0))</f>
        <v/>
      </c>
      <c r="G311" s="0" t="str">
        <f aca="false">IF($A311="","",SUMIFS(Avaliacoes!$G$2:$G$6000,Avaliacoes!$A$2:$A$6000,$A311,Avaliacoes!$F$2:$F$6000,"II",Avaliacoes!$H$2:$H$6000,0))</f>
        <v/>
      </c>
      <c r="H311" s="0" t="str">
        <f aca="false">IF($A311="","",SUMIFS(Avaliacoes!$G$2:$G$6000,Avaliacoes!$A$2:$A$6000,$A311,Avaliacoes!$F$2:$F$6000,"III",Avaliacoes!$H$2:$H$6000,0))</f>
        <v/>
      </c>
      <c r="I311" s="0" t="str">
        <f aca="false">IF($A311="","",SUMIFS(Avaliacoes!$G$2:$G$6000,Avaliacoes!$A$2:$A$6000,$A311,Avaliacoes!$F$2:$F$6000,"IV",Avaliacoes!$H$2:$H$6000,0))</f>
        <v/>
      </c>
      <c r="J311" s="0" t="str">
        <f aca="false">IF($A311="","",COUNTIFS(Avaliacoes!$A$2:$A$6000,$A311,Avaliacoes!$F$2:$F$6000,"I",Avaliacoes!$H$2:$H$6000,0,Avaliacoes!$G$2:$G$6000,"&lt;&gt;")*Dimensoes!$E$2)</f>
        <v/>
      </c>
      <c r="K311" s="0" t="str">
        <f aca="false">IF($A311="","",COUNTIFS(Avaliacoes!$A$2:$A$6000,$A311,Avaliacoes!$F$2:$F$6000,"II",Avaliacoes!$H$2:$H$6000,0,Avaliacoes!$G$2:$G$6000,"&lt;&gt;")*Dimensoes!$E$3)</f>
        <v/>
      </c>
      <c r="L311" s="0" t="str">
        <f aca="false">IF($A311="","",COUNTIFS(Avaliacoes!$A$2:$A$6000,$A311,Avaliacoes!$F$2:$F$6000,"III",Avaliacoes!$H$2:$H$6000,0,Avaliacoes!$G$2:$G$6000,"&lt;&gt;")*Dimensoes!$E$4)</f>
        <v/>
      </c>
      <c r="M311" s="0" t="str">
        <f aca="false">IF($A311="","",COUNTIFS(Avaliacoes!$A$2:$A$6000,$A311,Avaliacoes!$F$2:$F$6000,"IV",Avaliacoes!$H$2:$H$6000,0,Avaliacoes!$G$2:$G$6000,"&lt;&gt;")*Dimensoes!$E$5)</f>
        <v/>
      </c>
      <c r="N311" s="9" t="str">
        <f aca="false">IF($A311="","",IF(J311&gt;0,F311/J311,""))</f>
        <v/>
      </c>
      <c r="O311" s="9" t="str">
        <f aca="false">IF($A311="","",IF(K311&gt;0,G311/K311,""))</f>
        <v/>
      </c>
      <c r="P311" s="9" t="str">
        <f aca="false">IF($A311="","",IF(L311&gt;0,H311/L311,""))</f>
        <v/>
      </c>
      <c r="Q311" s="9" t="str">
        <f aca="false">IF($A311="","",IF(M311&gt;0,I311/M311,""))</f>
        <v/>
      </c>
      <c r="R311" s="17" t="str">
        <f aca="false">IF($A311="","",IF((IF(N311="",0,Dimensoes!$C$2)+IF(O311="",0,Dimensoes!$C$3)+IF(P311="",0,Dimensoes!$C$4)+IF(Q311="",0,Dimensoes!$C$5))=0,"",(IF(N311="",0,N311*Dimensoes!$C$2)+IF(O311="",0,O311*Dimensoes!$C$3)+IF(P311="",0,P311*Dimensoes!$C$4)+IF(Q311="",0,Q311*Dimensoes!$C$5))/(IF(N311="",0,Dimensoes!$C$2)+IF(O311="",0,Dimensoes!$C$3)+IF(P311="",0,Dimensoes!$C$4)+IF(Q311="",0,Dimensoes!$C$5))))</f>
        <v/>
      </c>
      <c r="S311" s="0" t="str">
        <f aca="false">IF(R311="","",IF(R311&lt;Faixas!$C$3,"vermelho",IF(R311&lt;Faixas!$C$4,"amarelo","verde")))</f>
        <v/>
      </c>
      <c r="T311" s="9" t="str">
        <f aca="false">IF($A311="","",IF(N311="",0,N311*Dimensoes!$C$2)+IF(O311="",0,O311*Dimensoes!$C$3)+IF(P311="",0,P311*Dimensoes!$C$4)+IF(Q311="",0,Q311*Dimensoes!$C$5))</f>
        <v/>
      </c>
      <c r="U311" s="0" t="str">
        <f aca="false">IF($A311="","",IF(OR(E311="concluida",E311="incompleta"),1,0))</f>
        <v/>
      </c>
    </row>
    <row r="312" customFormat="false" ht="15" hidden="false" customHeight="false" outlineLevel="0" collapsed="false">
      <c r="A312" s="0" t="str">
        <f aca="false">IF(Visitas!A312="","",Visitas!A312)</f>
        <v/>
      </c>
      <c r="B312" s="0" t="str">
        <f aca="false">IF($A312="","",Visitas!C312)</f>
        <v/>
      </c>
      <c r="C312" s="7" t="str">
        <f aca="false">IF($A312="","",Visitas!D312)</f>
        <v/>
      </c>
      <c r="D312" s="0" t="str">
        <f aca="false">IF($A312="","",Visitas!B312)</f>
        <v/>
      </c>
      <c r="E312" s="0" t="str">
        <f aca="false">IF($A312="","",Visitas!F312)</f>
        <v/>
      </c>
      <c r="F312" s="0" t="str">
        <f aca="false">IF($A312="","",SUMIFS(Avaliacoes!$G$2:$G$6000,Avaliacoes!$A$2:$A$6000,$A312,Avaliacoes!$F$2:$F$6000,"I",Avaliacoes!$H$2:$H$6000,0))</f>
        <v/>
      </c>
      <c r="G312" s="0" t="str">
        <f aca="false">IF($A312="","",SUMIFS(Avaliacoes!$G$2:$G$6000,Avaliacoes!$A$2:$A$6000,$A312,Avaliacoes!$F$2:$F$6000,"II",Avaliacoes!$H$2:$H$6000,0))</f>
        <v/>
      </c>
      <c r="H312" s="0" t="str">
        <f aca="false">IF($A312="","",SUMIFS(Avaliacoes!$G$2:$G$6000,Avaliacoes!$A$2:$A$6000,$A312,Avaliacoes!$F$2:$F$6000,"III",Avaliacoes!$H$2:$H$6000,0))</f>
        <v/>
      </c>
      <c r="I312" s="0" t="str">
        <f aca="false">IF($A312="","",SUMIFS(Avaliacoes!$G$2:$G$6000,Avaliacoes!$A$2:$A$6000,$A312,Avaliacoes!$F$2:$F$6000,"IV",Avaliacoes!$H$2:$H$6000,0))</f>
        <v/>
      </c>
      <c r="J312" s="0" t="str">
        <f aca="false">IF($A312="","",COUNTIFS(Avaliacoes!$A$2:$A$6000,$A312,Avaliacoes!$F$2:$F$6000,"I",Avaliacoes!$H$2:$H$6000,0,Avaliacoes!$G$2:$G$6000,"&lt;&gt;")*Dimensoes!$E$2)</f>
        <v/>
      </c>
      <c r="K312" s="0" t="str">
        <f aca="false">IF($A312="","",COUNTIFS(Avaliacoes!$A$2:$A$6000,$A312,Avaliacoes!$F$2:$F$6000,"II",Avaliacoes!$H$2:$H$6000,0,Avaliacoes!$G$2:$G$6000,"&lt;&gt;")*Dimensoes!$E$3)</f>
        <v/>
      </c>
      <c r="L312" s="0" t="str">
        <f aca="false">IF($A312="","",COUNTIFS(Avaliacoes!$A$2:$A$6000,$A312,Avaliacoes!$F$2:$F$6000,"III",Avaliacoes!$H$2:$H$6000,0,Avaliacoes!$G$2:$G$6000,"&lt;&gt;")*Dimensoes!$E$4)</f>
        <v/>
      </c>
      <c r="M312" s="0" t="str">
        <f aca="false">IF($A312="","",COUNTIFS(Avaliacoes!$A$2:$A$6000,$A312,Avaliacoes!$F$2:$F$6000,"IV",Avaliacoes!$H$2:$H$6000,0,Avaliacoes!$G$2:$G$6000,"&lt;&gt;")*Dimensoes!$E$5)</f>
        <v/>
      </c>
      <c r="N312" s="9" t="str">
        <f aca="false">IF($A312="","",IF(J312&gt;0,F312/J312,""))</f>
        <v/>
      </c>
      <c r="O312" s="9" t="str">
        <f aca="false">IF($A312="","",IF(K312&gt;0,G312/K312,""))</f>
        <v/>
      </c>
      <c r="P312" s="9" t="str">
        <f aca="false">IF($A312="","",IF(L312&gt;0,H312/L312,""))</f>
        <v/>
      </c>
      <c r="Q312" s="9" t="str">
        <f aca="false">IF($A312="","",IF(M312&gt;0,I312/M312,""))</f>
        <v/>
      </c>
      <c r="R312" s="17" t="str">
        <f aca="false">IF($A312="","",IF((IF(N312="",0,Dimensoes!$C$2)+IF(O312="",0,Dimensoes!$C$3)+IF(P312="",0,Dimensoes!$C$4)+IF(Q312="",0,Dimensoes!$C$5))=0,"",(IF(N312="",0,N312*Dimensoes!$C$2)+IF(O312="",0,O312*Dimensoes!$C$3)+IF(P312="",0,P312*Dimensoes!$C$4)+IF(Q312="",0,Q312*Dimensoes!$C$5))/(IF(N312="",0,Dimensoes!$C$2)+IF(O312="",0,Dimensoes!$C$3)+IF(P312="",0,Dimensoes!$C$4)+IF(Q312="",0,Dimensoes!$C$5))))</f>
        <v/>
      </c>
      <c r="S312" s="0" t="str">
        <f aca="false">IF(R312="","",IF(R312&lt;Faixas!$C$3,"vermelho",IF(R312&lt;Faixas!$C$4,"amarelo","verde")))</f>
        <v/>
      </c>
      <c r="T312" s="9" t="str">
        <f aca="false">IF($A312="","",IF(N312="",0,N312*Dimensoes!$C$2)+IF(O312="",0,O312*Dimensoes!$C$3)+IF(P312="",0,P312*Dimensoes!$C$4)+IF(Q312="",0,Q312*Dimensoes!$C$5))</f>
        <v/>
      </c>
      <c r="U312" s="0" t="str">
        <f aca="false">IF($A312="","",IF(OR(E312="concluida",E312="incompleta"),1,0))</f>
        <v/>
      </c>
    </row>
    <row r="313" customFormat="false" ht="15" hidden="false" customHeight="false" outlineLevel="0" collapsed="false">
      <c r="A313" s="0" t="str">
        <f aca="false">IF(Visitas!A313="","",Visitas!A313)</f>
        <v/>
      </c>
      <c r="B313" s="0" t="str">
        <f aca="false">IF($A313="","",Visitas!C313)</f>
        <v/>
      </c>
      <c r="C313" s="7" t="str">
        <f aca="false">IF($A313="","",Visitas!D313)</f>
        <v/>
      </c>
      <c r="D313" s="0" t="str">
        <f aca="false">IF($A313="","",Visitas!B313)</f>
        <v/>
      </c>
      <c r="E313" s="0" t="str">
        <f aca="false">IF($A313="","",Visitas!F313)</f>
        <v/>
      </c>
      <c r="F313" s="0" t="str">
        <f aca="false">IF($A313="","",SUMIFS(Avaliacoes!$G$2:$G$6000,Avaliacoes!$A$2:$A$6000,$A313,Avaliacoes!$F$2:$F$6000,"I",Avaliacoes!$H$2:$H$6000,0))</f>
        <v/>
      </c>
      <c r="G313" s="0" t="str">
        <f aca="false">IF($A313="","",SUMIFS(Avaliacoes!$G$2:$G$6000,Avaliacoes!$A$2:$A$6000,$A313,Avaliacoes!$F$2:$F$6000,"II",Avaliacoes!$H$2:$H$6000,0))</f>
        <v/>
      </c>
      <c r="H313" s="0" t="str">
        <f aca="false">IF($A313="","",SUMIFS(Avaliacoes!$G$2:$G$6000,Avaliacoes!$A$2:$A$6000,$A313,Avaliacoes!$F$2:$F$6000,"III",Avaliacoes!$H$2:$H$6000,0))</f>
        <v/>
      </c>
      <c r="I313" s="0" t="str">
        <f aca="false">IF($A313="","",SUMIFS(Avaliacoes!$G$2:$G$6000,Avaliacoes!$A$2:$A$6000,$A313,Avaliacoes!$F$2:$F$6000,"IV",Avaliacoes!$H$2:$H$6000,0))</f>
        <v/>
      </c>
      <c r="J313" s="0" t="str">
        <f aca="false">IF($A313="","",COUNTIFS(Avaliacoes!$A$2:$A$6000,$A313,Avaliacoes!$F$2:$F$6000,"I",Avaliacoes!$H$2:$H$6000,0,Avaliacoes!$G$2:$G$6000,"&lt;&gt;")*Dimensoes!$E$2)</f>
        <v/>
      </c>
      <c r="K313" s="0" t="str">
        <f aca="false">IF($A313="","",COUNTIFS(Avaliacoes!$A$2:$A$6000,$A313,Avaliacoes!$F$2:$F$6000,"II",Avaliacoes!$H$2:$H$6000,0,Avaliacoes!$G$2:$G$6000,"&lt;&gt;")*Dimensoes!$E$3)</f>
        <v/>
      </c>
      <c r="L313" s="0" t="str">
        <f aca="false">IF($A313="","",COUNTIFS(Avaliacoes!$A$2:$A$6000,$A313,Avaliacoes!$F$2:$F$6000,"III",Avaliacoes!$H$2:$H$6000,0,Avaliacoes!$G$2:$G$6000,"&lt;&gt;")*Dimensoes!$E$4)</f>
        <v/>
      </c>
      <c r="M313" s="0" t="str">
        <f aca="false">IF($A313="","",COUNTIFS(Avaliacoes!$A$2:$A$6000,$A313,Avaliacoes!$F$2:$F$6000,"IV",Avaliacoes!$H$2:$H$6000,0,Avaliacoes!$G$2:$G$6000,"&lt;&gt;")*Dimensoes!$E$5)</f>
        <v/>
      </c>
      <c r="N313" s="9" t="str">
        <f aca="false">IF($A313="","",IF(J313&gt;0,F313/J313,""))</f>
        <v/>
      </c>
      <c r="O313" s="9" t="str">
        <f aca="false">IF($A313="","",IF(K313&gt;0,G313/K313,""))</f>
        <v/>
      </c>
      <c r="P313" s="9" t="str">
        <f aca="false">IF($A313="","",IF(L313&gt;0,H313/L313,""))</f>
        <v/>
      </c>
      <c r="Q313" s="9" t="str">
        <f aca="false">IF($A313="","",IF(M313&gt;0,I313/M313,""))</f>
        <v/>
      </c>
      <c r="R313" s="17" t="str">
        <f aca="false">IF($A313="","",IF((IF(N313="",0,Dimensoes!$C$2)+IF(O313="",0,Dimensoes!$C$3)+IF(P313="",0,Dimensoes!$C$4)+IF(Q313="",0,Dimensoes!$C$5))=0,"",(IF(N313="",0,N313*Dimensoes!$C$2)+IF(O313="",0,O313*Dimensoes!$C$3)+IF(P313="",0,P313*Dimensoes!$C$4)+IF(Q313="",0,Q313*Dimensoes!$C$5))/(IF(N313="",0,Dimensoes!$C$2)+IF(O313="",0,Dimensoes!$C$3)+IF(P313="",0,Dimensoes!$C$4)+IF(Q313="",0,Dimensoes!$C$5))))</f>
        <v/>
      </c>
      <c r="S313" s="0" t="str">
        <f aca="false">IF(R313="","",IF(R313&lt;Faixas!$C$3,"vermelho",IF(R313&lt;Faixas!$C$4,"amarelo","verde")))</f>
        <v/>
      </c>
      <c r="T313" s="9" t="str">
        <f aca="false">IF($A313="","",IF(N313="",0,N313*Dimensoes!$C$2)+IF(O313="",0,O313*Dimensoes!$C$3)+IF(P313="",0,P313*Dimensoes!$C$4)+IF(Q313="",0,Q313*Dimensoes!$C$5))</f>
        <v/>
      </c>
      <c r="U313" s="0" t="str">
        <f aca="false">IF($A313="","",IF(OR(E313="concluida",E313="incompleta"),1,0))</f>
        <v/>
      </c>
    </row>
    <row r="314" customFormat="false" ht="15" hidden="false" customHeight="false" outlineLevel="0" collapsed="false">
      <c r="A314" s="0" t="str">
        <f aca="false">IF(Visitas!A314="","",Visitas!A314)</f>
        <v/>
      </c>
      <c r="B314" s="0" t="str">
        <f aca="false">IF($A314="","",Visitas!C314)</f>
        <v/>
      </c>
      <c r="C314" s="7" t="str">
        <f aca="false">IF($A314="","",Visitas!D314)</f>
        <v/>
      </c>
      <c r="D314" s="0" t="str">
        <f aca="false">IF($A314="","",Visitas!B314)</f>
        <v/>
      </c>
      <c r="E314" s="0" t="str">
        <f aca="false">IF($A314="","",Visitas!F314)</f>
        <v/>
      </c>
      <c r="F314" s="0" t="str">
        <f aca="false">IF($A314="","",SUMIFS(Avaliacoes!$G$2:$G$6000,Avaliacoes!$A$2:$A$6000,$A314,Avaliacoes!$F$2:$F$6000,"I",Avaliacoes!$H$2:$H$6000,0))</f>
        <v/>
      </c>
      <c r="G314" s="0" t="str">
        <f aca="false">IF($A314="","",SUMIFS(Avaliacoes!$G$2:$G$6000,Avaliacoes!$A$2:$A$6000,$A314,Avaliacoes!$F$2:$F$6000,"II",Avaliacoes!$H$2:$H$6000,0))</f>
        <v/>
      </c>
      <c r="H314" s="0" t="str">
        <f aca="false">IF($A314="","",SUMIFS(Avaliacoes!$G$2:$G$6000,Avaliacoes!$A$2:$A$6000,$A314,Avaliacoes!$F$2:$F$6000,"III",Avaliacoes!$H$2:$H$6000,0))</f>
        <v/>
      </c>
      <c r="I314" s="0" t="str">
        <f aca="false">IF($A314="","",SUMIFS(Avaliacoes!$G$2:$G$6000,Avaliacoes!$A$2:$A$6000,$A314,Avaliacoes!$F$2:$F$6000,"IV",Avaliacoes!$H$2:$H$6000,0))</f>
        <v/>
      </c>
      <c r="J314" s="0" t="str">
        <f aca="false">IF($A314="","",COUNTIFS(Avaliacoes!$A$2:$A$6000,$A314,Avaliacoes!$F$2:$F$6000,"I",Avaliacoes!$H$2:$H$6000,0,Avaliacoes!$G$2:$G$6000,"&lt;&gt;")*Dimensoes!$E$2)</f>
        <v/>
      </c>
      <c r="K314" s="0" t="str">
        <f aca="false">IF($A314="","",COUNTIFS(Avaliacoes!$A$2:$A$6000,$A314,Avaliacoes!$F$2:$F$6000,"II",Avaliacoes!$H$2:$H$6000,0,Avaliacoes!$G$2:$G$6000,"&lt;&gt;")*Dimensoes!$E$3)</f>
        <v/>
      </c>
      <c r="L314" s="0" t="str">
        <f aca="false">IF($A314="","",COUNTIFS(Avaliacoes!$A$2:$A$6000,$A314,Avaliacoes!$F$2:$F$6000,"III",Avaliacoes!$H$2:$H$6000,0,Avaliacoes!$G$2:$G$6000,"&lt;&gt;")*Dimensoes!$E$4)</f>
        <v/>
      </c>
      <c r="M314" s="0" t="str">
        <f aca="false">IF($A314="","",COUNTIFS(Avaliacoes!$A$2:$A$6000,$A314,Avaliacoes!$F$2:$F$6000,"IV",Avaliacoes!$H$2:$H$6000,0,Avaliacoes!$G$2:$G$6000,"&lt;&gt;")*Dimensoes!$E$5)</f>
        <v/>
      </c>
      <c r="N314" s="9" t="str">
        <f aca="false">IF($A314="","",IF(J314&gt;0,F314/J314,""))</f>
        <v/>
      </c>
      <c r="O314" s="9" t="str">
        <f aca="false">IF($A314="","",IF(K314&gt;0,G314/K314,""))</f>
        <v/>
      </c>
      <c r="P314" s="9" t="str">
        <f aca="false">IF($A314="","",IF(L314&gt;0,H314/L314,""))</f>
        <v/>
      </c>
      <c r="Q314" s="9" t="str">
        <f aca="false">IF($A314="","",IF(M314&gt;0,I314/M314,""))</f>
        <v/>
      </c>
      <c r="R314" s="17" t="str">
        <f aca="false">IF($A314="","",IF((IF(N314="",0,Dimensoes!$C$2)+IF(O314="",0,Dimensoes!$C$3)+IF(P314="",0,Dimensoes!$C$4)+IF(Q314="",0,Dimensoes!$C$5))=0,"",(IF(N314="",0,N314*Dimensoes!$C$2)+IF(O314="",0,O314*Dimensoes!$C$3)+IF(P314="",0,P314*Dimensoes!$C$4)+IF(Q314="",0,Q314*Dimensoes!$C$5))/(IF(N314="",0,Dimensoes!$C$2)+IF(O314="",0,Dimensoes!$C$3)+IF(P314="",0,Dimensoes!$C$4)+IF(Q314="",0,Dimensoes!$C$5))))</f>
        <v/>
      </c>
      <c r="S314" s="0" t="str">
        <f aca="false">IF(R314="","",IF(R314&lt;Faixas!$C$3,"vermelho",IF(R314&lt;Faixas!$C$4,"amarelo","verde")))</f>
        <v/>
      </c>
      <c r="T314" s="9" t="str">
        <f aca="false">IF($A314="","",IF(N314="",0,N314*Dimensoes!$C$2)+IF(O314="",0,O314*Dimensoes!$C$3)+IF(P314="",0,P314*Dimensoes!$C$4)+IF(Q314="",0,Q314*Dimensoes!$C$5))</f>
        <v/>
      </c>
      <c r="U314" s="0" t="str">
        <f aca="false">IF($A314="","",IF(OR(E314="concluida",E314="incompleta"),1,0))</f>
        <v/>
      </c>
    </row>
    <row r="315" customFormat="false" ht="15" hidden="false" customHeight="false" outlineLevel="0" collapsed="false">
      <c r="A315" s="0" t="str">
        <f aca="false">IF(Visitas!A315="","",Visitas!A315)</f>
        <v/>
      </c>
      <c r="B315" s="0" t="str">
        <f aca="false">IF($A315="","",Visitas!C315)</f>
        <v/>
      </c>
      <c r="C315" s="7" t="str">
        <f aca="false">IF($A315="","",Visitas!D315)</f>
        <v/>
      </c>
      <c r="D315" s="0" t="str">
        <f aca="false">IF($A315="","",Visitas!B315)</f>
        <v/>
      </c>
      <c r="E315" s="0" t="str">
        <f aca="false">IF($A315="","",Visitas!F315)</f>
        <v/>
      </c>
      <c r="F315" s="0" t="str">
        <f aca="false">IF($A315="","",SUMIFS(Avaliacoes!$G$2:$G$6000,Avaliacoes!$A$2:$A$6000,$A315,Avaliacoes!$F$2:$F$6000,"I",Avaliacoes!$H$2:$H$6000,0))</f>
        <v/>
      </c>
      <c r="G315" s="0" t="str">
        <f aca="false">IF($A315="","",SUMIFS(Avaliacoes!$G$2:$G$6000,Avaliacoes!$A$2:$A$6000,$A315,Avaliacoes!$F$2:$F$6000,"II",Avaliacoes!$H$2:$H$6000,0))</f>
        <v/>
      </c>
      <c r="H315" s="0" t="str">
        <f aca="false">IF($A315="","",SUMIFS(Avaliacoes!$G$2:$G$6000,Avaliacoes!$A$2:$A$6000,$A315,Avaliacoes!$F$2:$F$6000,"III",Avaliacoes!$H$2:$H$6000,0))</f>
        <v/>
      </c>
      <c r="I315" s="0" t="str">
        <f aca="false">IF($A315="","",SUMIFS(Avaliacoes!$G$2:$G$6000,Avaliacoes!$A$2:$A$6000,$A315,Avaliacoes!$F$2:$F$6000,"IV",Avaliacoes!$H$2:$H$6000,0))</f>
        <v/>
      </c>
      <c r="J315" s="0" t="str">
        <f aca="false">IF($A315="","",COUNTIFS(Avaliacoes!$A$2:$A$6000,$A315,Avaliacoes!$F$2:$F$6000,"I",Avaliacoes!$H$2:$H$6000,0,Avaliacoes!$G$2:$G$6000,"&lt;&gt;")*Dimensoes!$E$2)</f>
        <v/>
      </c>
      <c r="K315" s="0" t="str">
        <f aca="false">IF($A315="","",COUNTIFS(Avaliacoes!$A$2:$A$6000,$A315,Avaliacoes!$F$2:$F$6000,"II",Avaliacoes!$H$2:$H$6000,0,Avaliacoes!$G$2:$G$6000,"&lt;&gt;")*Dimensoes!$E$3)</f>
        <v/>
      </c>
      <c r="L315" s="0" t="str">
        <f aca="false">IF($A315="","",COUNTIFS(Avaliacoes!$A$2:$A$6000,$A315,Avaliacoes!$F$2:$F$6000,"III",Avaliacoes!$H$2:$H$6000,0,Avaliacoes!$G$2:$G$6000,"&lt;&gt;")*Dimensoes!$E$4)</f>
        <v/>
      </c>
      <c r="M315" s="0" t="str">
        <f aca="false">IF($A315="","",COUNTIFS(Avaliacoes!$A$2:$A$6000,$A315,Avaliacoes!$F$2:$F$6000,"IV",Avaliacoes!$H$2:$H$6000,0,Avaliacoes!$G$2:$G$6000,"&lt;&gt;")*Dimensoes!$E$5)</f>
        <v/>
      </c>
      <c r="N315" s="9" t="str">
        <f aca="false">IF($A315="","",IF(J315&gt;0,F315/J315,""))</f>
        <v/>
      </c>
      <c r="O315" s="9" t="str">
        <f aca="false">IF($A315="","",IF(K315&gt;0,G315/K315,""))</f>
        <v/>
      </c>
      <c r="P315" s="9" t="str">
        <f aca="false">IF($A315="","",IF(L315&gt;0,H315/L315,""))</f>
        <v/>
      </c>
      <c r="Q315" s="9" t="str">
        <f aca="false">IF($A315="","",IF(M315&gt;0,I315/M315,""))</f>
        <v/>
      </c>
      <c r="R315" s="17" t="str">
        <f aca="false">IF($A315="","",IF((IF(N315="",0,Dimensoes!$C$2)+IF(O315="",0,Dimensoes!$C$3)+IF(P315="",0,Dimensoes!$C$4)+IF(Q315="",0,Dimensoes!$C$5))=0,"",(IF(N315="",0,N315*Dimensoes!$C$2)+IF(O315="",0,O315*Dimensoes!$C$3)+IF(P315="",0,P315*Dimensoes!$C$4)+IF(Q315="",0,Q315*Dimensoes!$C$5))/(IF(N315="",0,Dimensoes!$C$2)+IF(O315="",0,Dimensoes!$C$3)+IF(P315="",0,Dimensoes!$C$4)+IF(Q315="",0,Dimensoes!$C$5))))</f>
        <v/>
      </c>
      <c r="S315" s="0" t="str">
        <f aca="false">IF(R315="","",IF(R315&lt;Faixas!$C$3,"vermelho",IF(R315&lt;Faixas!$C$4,"amarelo","verde")))</f>
        <v/>
      </c>
      <c r="T315" s="9" t="str">
        <f aca="false">IF($A315="","",IF(N315="",0,N315*Dimensoes!$C$2)+IF(O315="",0,O315*Dimensoes!$C$3)+IF(P315="",0,P315*Dimensoes!$C$4)+IF(Q315="",0,Q315*Dimensoes!$C$5))</f>
        <v/>
      </c>
      <c r="U315" s="0" t="str">
        <f aca="false">IF($A315="","",IF(OR(E315="concluida",E315="incompleta"),1,0))</f>
        <v/>
      </c>
    </row>
    <row r="316" customFormat="false" ht="15" hidden="false" customHeight="false" outlineLevel="0" collapsed="false">
      <c r="A316" s="0" t="str">
        <f aca="false">IF(Visitas!A316="","",Visitas!A316)</f>
        <v/>
      </c>
      <c r="B316" s="0" t="str">
        <f aca="false">IF($A316="","",Visitas!C316)</f>
        <v/>
      </c>
      <c r="C316" s="7" t="str">
        <f aca="false">IF($A316="","",Visitas!D316)</f>
        <v/>
      </c>
      <c r="D316" s="0" t="str">
        <f aca="false">IF($A316="","",Visitas!B316)</f>
        <v/>
      </c>
      <c r="E316" s="0" t="str">
        <f aca="false">IF($A316="","",Visitas!F316)</f>
        <v/>
      </c>
      <c r="F316" s="0" t="str">
        <f aca="false">IF($A316="","",SUMIFS(Avaliacoes!$G$2:$G$6000,Avaliacoes!$A$2:$A$6000,$A316,Avaliacoes!$F$2:$F$6000,"I",Avaliacoes!$H$2:$H$6000,0))</f>
        <v/>
      </c>
      <c r="G316" s="0" t="str">
        <f aca="false">IF($A316="","",SUMIFS(Avaliacoes!$G$2:$G$6000,Avaliacoes!$A$2:$A$6000,$A316,Avaliacoes!$F$2:$F$6000,"II",Avaliacoes!$H$2:$H$6000,0))</f>
        <v/>
      </c>
      <c r="H316" s="0" t="str">
        <f aca="false">IF($A316="","",SUMIFS(Avaliacoes!$G$2:$G$6000,Avaliacoes!$A$2:$A$6000,$A316,Avaliacoes!$F$2:$F$6000,"III",Avaliacoes!$H$2:$H$6000,0))</f>
        <v/>
      </c>
      <c r="I316" s="0" t="str">
        <f aca="false">IF($A316="","",SUMIFS(Avaliacoes!$G$2:$G$6000,Avaliacoes!$A$2:$A$6000,$A316,Avaliacoes!$F$2:$F$6000,"IV",Avaliacoes!$H$2:$H$6000,0))</f>
        <v/>
      </c>
      <c r="J316" s="0" t="str">
        <f aca="false">IF($A316="","",COUNTIFS(Avaliacoes!$A$2:$A$6000,$A316,Avaliacoes!$F$2:$F$6000,"I",Avaliacoes!$H$2:$H$6000,0,Avaliacoes!$G$2:$G$6000,"&lt;&gt;")*Dimensoes!$E$2)</f>
        <v/>
      </c>
      <c r="K316" s="0" t="str">
        <f aca="false">IF($A316="","",COUNTIFS(Avaliacoes!$A$2:$A$6000,$A316,Avaliacoes!$F$2:$F$6000,"II",Avaliacoes!$H$2:$H$6000,0,Avaliacoes!$G$2:$G$6000,"&lt;&gt;")*Dimensoes!$E$3)</f>
        <v/>
      </c>
      <c r="L316" s="0" t="str">
        <f aca="false">IF($A316="","",COUNTIFS(Avaliacoes!$A$2:$A$6000,$A316,Avaliacoes!$F$2:$F$6000,"III",Avaliacoes!$H$2:$H$6000,0,Avaliacoes!$G$2:$G$6000,"&lt;&gt;")*Dimensoes!$E$4)</f>
        <v/>
      </c>
      <c r="M316" s="0" t="str">
        <f aca="false">IF($A316="","",COUNTIFS(Avaliacoes!$A$2:$A$6000,$A316,Avaliacoes!$F$2:$F$6000,"IV",Avaliacoes!$H$2:$H$6000,0,Avaliacoes!$G$2:$G$6000,"&lt;&gt;")*Dimensoes!$E$5)</f>
        <v/>
      </c>
      <c r="N316" s="9" t="str">
        <f aca="false">IF($A316="","",IF(J316&gt;0,F316/J316,""))</f>
        <v/>
      </c>
      <c r="O316" s="9" t="str">
        <f aca="false">IF($A316="","",IF(K316&gt;0,G316/K316,""))</f>
        <v/>
      </c>
      <c r="P316" s="9" t="str">
        <f aca="false">IF($A316="","",IF(L316&gt;0,H316/L316,""))</f>
        <v/>
      </c>
      <c r="Q316" s="9" t="str">
        <f aca="false">IF($A316="","",IF(M316&gt;0,I316/M316,""))</f>
        <v/>
      </c>
      <c r="R316" s="17" t="str">
        <f aca="false">IF($A316="","",IF((IF(N316="",0,Dimensoes!$C$2)+IF(O316="",0,Dimensoes!$C$3)+IF(P316="",0,Dimensoes!$C$4)+IF(Q316="",0,Dimensoes!$C$5))=0,"",(IF(N316="",0,N316*Dimensoes!$C$2)+IF(O316="",0,O316*Dimensoes!$C$3)+IF(P316="",0,P316*Dimensoes!$C$4)+IF(Q316="",0,Q316*Dimensoes!$C$5))/(IF(N316="",0,Dimensoes!$C$2)+IF(O316="",0,Dimensoes!$C$3)+IF(P316="",0,Dimensoes!$C$4)+IF(Q316="",0,Dimensoes!$C$5))))</f>
        <v/>
      </c>
      <c r="S316" s="0" t="str">
        <f aca="false">IF(R316="","",IF(R316&lt;Faixas!$C$3,"vermelho",IF(R316&lt;Faixas!$C$4,"amarelo","verde")))</f>
        <v/>
      </c>
      <c r="T316" s="9" t="str">
        <f aca="false">IF($A316="","",IF(N316="",0,N316*Dimensoes!$C$2)+IF(O316="",0,O316*Dimensoes!$C$3)+IF(P316="",0,P316*Dimensoes!$C$4)+IF(Q316="",0,Q316*Dimensoes!$C$5))</f>
        <v/>
      </c>
      <c r="U316" s="0" t="str">
        <f aca="false">IF($A316="","",IF(OR(E316="concluida",E316="incompleta"),1,0))</f>
        <v/>
      </c>
    </row>
    <row r="317" customFormat="false" ht="15" hidden="false" customHeight="false" outlineLevel="0" collapsed="false">
      <c r="A317" s="0" t="str">
        <f aca="false">IF(Visitas!A317="","",Visitas!A317)</f>
        <v/>
      </c>
      <c r="B317" s="0" t="str">
        <f aca="false">IF($A317="","",Visitas!C317)</f>
        <v/>
      </c>
      <c r="C317" s="7" t="str">
        <f aca="false">IF($A317="","",Visitas!D317)</f>
        <v/>
      </c>
      <c r="D317" s="0" t="str">
        <f aca="false">IF($A317="","",Visitas!B317)</f>
        <v/>
      </c>
      <c r="E317" s="0" t="str">
        <f aca="false">IF($A317="","",Visitas!F317)</f>
        <v/>
      </c>
      <c r="F317" s="0" t="str">
        <f aca="false">IF($A317="","",SUMIFS(Avaliacoes!$G$2:$G$6000,Avaliacoes!$A$2:$A$6000,$A317,Avaliacoes!$F$2:$F$6000,"I",Avaliacoes!$H$2:$H$6000,0))</f>
        <v/>
      </c>
      <c r="G317" s="0" t="str">
        <f aca="false">IF($A317="","",SUMIFS(Avaliacoes!$G$2:$G$6000,Avaliacoes!$A$2:$A$6000,$A317,Avaliacoes!$F$2:$F$6000,"II",Avaliacoes!$H$2:$H$6000,0))</f>
        <v/>
      </c>
      <c r="H317" s="0" t="str">
        <f aca="false">IF($A317="","",SUMIFS(Avaliacoes!$G$2:$G$6000,Avaliacoes!$A$2:$A$6000,$A317,Avaliacoes!$F$2:$F$6000,"III",Avaliacoes!$H$2:$H$6000,0))</f>
        <v/>
      </c>
      <c r="I317" s="0" t="str">
        <f aca="false">IF($A317="","",SUMIFS(Avaliacoes!$G$2:$G$6000,Avaliacoes!$A$2:$A$6000,$A317,Avaliacoes!$F$2:$F$6000,"IV",Avaliacoes!$H$2:$H$6000,0))</f>
        <v/>
      </c>
      <c r="J317" s="0" t="str">
        <f aca="false">IF($A317="","",COUNTIFS(Avaliacoes!$A$2:$A$6000,$A317,Avaliacoes!$F$2:$F$6000,"I",Avaliacoes!$H$2:$H$6000,0,Avaliacoes!$G$2:$G$6000,"&lt;&gt;")*Dimensoes!$E$2)</f>
        <v/>
      </c>
      <c r="K317" s="0" t="str">
        <f aca="false">IF($A317="","",COUNTIFS(Avaliacoes!$A$2:$A$6000,$A317,Avaliacoes!$F$2:$F$6000,"II",Avaliacoes!$H$2:$H$6000,0,Avaliacoes!$G$2:$G$6000,"&lt;&gt;")*Dimensoes!$E$3)</f>
        <v/>
      </c>
      <c r="L317" s="0" t="str">
        <f aca="false">IF($A317="","",COUNTIFS(Avaliacoes!$A$2:$A$6000,$A317,Avaliacoes!$F$2:$F$6000,"III",Avaliacoes!$H$2:$H$6000,0,Avaliacoes!$G$2:$G$6000,"&lt;&gt;")*Dimensoes!$E$4)</f>
        <v/>
      </c>
      <c r="M317" s="0" t="str">
        <f aca="false">IF($A317="","",COUNTIFS(Avaliacoes!$A$2:$A$6000,$A317,Avaliacoes!$F$2:$F$6000,"IV",Avaliacoes!$H$2:$H$6000,0,Avaliacoes!$G$2:$G$6000,"&lt;&gt;")*Dimensoes!$E$5)</f>
        <v/>
      </c>
      <c r="N317" s="9" t="str">
        <f aca="false">IF($A317="","",IF(J317&gt;0,F317/J317,""))</f>
        <v/>
      </c>
      <c r="O317" s="9" t="str">
        <f aca="false">IF($A317="","",IF(K317&gt;0,G317/K317,""))</f>
        <v/>
      </c>
      <c r="P317" s="9" t="str">
        <f aca="false">IF($A317="","",IF(L317&gt;0,H317/L317,""))</f>
        <v/>
      </c>
      <c r="Q317" s="9" t="str">
        <f aca="false">IF($A317="","",IF(M317&gt;0,I317/M317,""))</f>
        <v/>
      </c>
      <c r="R317" s="17" t="str">
        <f aca="false">IF($A317="","",IF((IF(N317="",0,Dimensoes!$C$2)+IF(O317="",0,Dimensoes!$C$3)+IF(P317="",0,Dimensoes!$C$4)+IF(Q317="",0,Dimensoes!$C$5))=0,"",(IF(N317="",0,N317*Dimensoes!$C$2)+IF(O317="",0,O317*Dimensoes!$C$3)+IF(P317="",0,P317*Dimensoes!$C$4)+IF(Q317="",0,Q317*Dimensoes!$C$5))/(IF(N317="",0,Dimensoes!$C$2)+IF(O317="",0,Dimensoes!$C$3)+IF(P317="",0,Dimensoes!$C$4)+IF(Q317="",0,Dimensoes!$C$5))))</f>
        <v/>
      </c>
      <c r="S317" s="0" t="str">
        <f aca="false">IF(R317="","",IF(R317&lt;Faixas!$C$3,"vermelho",IF(R317&lt;Faixas!$C$4,"amarelo","verde")))</f>
        <v/>
      </c>
      <c r="T317" s="9" t="str">
        <f aca="false">IF($A317="","",IF(N317="",0,N317*Dimensoes!$C$2)+IF(O317="",0,O317*Dimensoes!$C$3)+IF(P317="",0,P317*Dimensoes!$C$4)+IF(Q317="",0,Q317*Dimensoes!$C$5))</f>
        <v/>
      </c>
      <c r="U317" s="0" t="str">
        <f aca="false">IF($A317="","",IF(OR(E317="concluida",E317="incompleta"),1,0))</f>
        <v/>
      </c>
    </row>
    <row r="318" customFormat="false" ht="15" hidden="false" customHeight="false" outlineLevel="0" collapsed="false">
      <c r="A318" s="0" t="str">
        <f aca="false">IF(Visitas!A318="","",Visitas!A318)</f>
        <v/>
      </c>
      <c r="B318" s="0" t="str">
        <f aca="false">IF($A318="","",Visitas!C318)</f>
        <v/>
      </c>
      <c r="C318" s="7" t="str">
        <f aca="false">IF($A318="","",Visitas!D318)</f>
        <v/>
      </c>
      <c r="D318" s="0" t="str">
        <f aca="false">IF($A318="","",Visitas!B318)</f>
        <v/>
      </c>
      <c r="E318" s="0" t="str">
        <f aca="false">IF($A318="","",Visitas!F318)</f>
        <v/>
      </c>
      <c r="F318" s="0" t="str">
        <f aca="false">IF($A318="","",SUMIFS(Avaliacoes!$G$2:$G$6000,Avaliacoes!$A$2:$A$6000,$A318,Avaliacoes!$F$2:$F$6000,"I",Avaliacoes!$H$2:$H$6000,0))</f>
        <v/>
      </c>
      <c r="G318" s="0" t="str">
        <f aca="false">IF($A318="","",SUMIFS(Avaliacoes!$G$2:$G$6000,Avaliacoes!$A$2:$A$6000,$A318,Avaliacoes!$F$2:$F$6000,"II",Avaliacoes!$H$2:$H$6000,0))</f>
        <v/>
      </c>
      <c r="H318" s="0" t="str">
        <f aca="false">IF($A318="","",SUMIFS(Avaliacoes!$G$2:$G$6000,Avaliacoes!$A$2:$A$6000,$A318,Avaliacoes!$F$2:$F$6000,"III",Avaliacoes!$H$2:$H$6000,0))</f>
        <v/>
      </c>
      <c r="I318" s="0" t="str">
        <f aca="false">IF($A318="","",SUMIFS(Avaliacoes!$G$2:$G$6000,Avaliacoes!$A$2:$A$6000,$A318,Avaliacoes!$F$2:$F$6000,"IV",Avaliacoes!$H$2:$H$6000,0))</f>
        <v/>
      </c>
      <c r="J318" s="0" t="str">
        <f aca="false">IF($A318="","",COUNTIFS(Avaliacoes!$A$2:$A$6000,$A318,Avaliacoes!$F$2:$F$6000,"I",Avaliacoes!$H$2:$H$6000,0,Avaliacoes!$G$2:$G$6000,"&lt;&gt;")*Dimensoes!$E$2)</f>
        <v/>
      </c>
      <c r="K318" s="0" t="str">
        <f aca="false">IF($A318="","",COUNTIFS(Avaliacoes!$A$2:$A$6000,$A318,Avaliacoes!$F$2:$F$6000,"II",Avaliacoes!$H$2:$H$6000,0,Avaliacoes!$G$2:$G$6000,"&lt;&gt;")*Dimensoes!$E$3)</f>
        <v/>
      </c>
      <c r="L318" s="0" t="str">
        <f aca="false">IF($A318="","",COUNTIFS(Avaliacoes!$A$2:$A$6000,$A318,Avaliacoes!$F$2:$F$6000,"III",Avaliacoes!$H$2:$H$6000,0,Avaliacoes!$G$2:$G$6000,"&lt;&gt;")*Dimensoes!$E$4)</f>
        <v/>
      </c>
      <c r="M318" s="0" t="str">
        <f aca="false">IF($A318="","",COUNTIFS(Avaliacoes!$A$2:$A$6000,$A318,Avaliacoes!$F$2:$F$6000,"IV",Avaliacoes!$H$2:$H$6000,0,Avaliacoes!$G$2:$G$6000,"&lt;&gt;")*Dimensoes!$E$5)</f>
        <v/>
      </c>
      <c r="N318" s="9" t="str">
        <f aca="false">IF($A318="","",IF(J318&gt;0,F318/J318,""))</f>
        <v/>
      </c>
      <c r="O318" s="9" t="str">
        <f aca="false">IF($A318="","",IF(K318&gt;0,G318/K318,""))</f>
        <v/>
      </c>
      <c r="P318" s="9" t="str">
        <f aca="false">IF($A318="","",IF(L318&gt;0,H318/L318,""))</f>
        <v/>
      </c>
      <c r="Q318" s="9" t="str">
        <f aca="false">IF($A318="","",IF(M318&gt;0,I318/M318,""))</f>
        <v/>
      </c>
      <c r="R318" s="17" t="str">
        <f aca="false">IF($A318="","",IF((IF(N318="",0,Dimensoes!$C$2)+IF(O318="",0,Dimensoes!$C$3)+IF(P318="",0,Dimensoes!$C$4)+IF(Q318="",0,Dimensoes!$C$5))=0,"",(IF(N318="",0,N318*Dimensoes!$C$2)+IF(O318="",0,O318*Dimensoes!$C$3)+IF(P318="",0,P318*Dimensoes!$C$4)+IF(Q318="",0,Q318*Dimensoes!$C$5))/(IF(N318="",0,Dimensoes!$C$2)+IF(O318="",0,Dimensoes!$C$3)+IF(P318="",0,Dimensoes!$C$4)+IF(Q318="",0,Dimensoes!$C$5))))</f>
        <v/>
      </c>
      <c r="S318" s="0" t="str">
        <f aca="false">IF(R318="","",IF(R318&lt;Faixas!$C$3,"vermelho",IF(R318&lt;Faixas!$C$4,"amarelo","verde")))</f>
        <v/>
      </c>
      <c r="T318" s="9" t="str">
        <f aca="false">IF($A318="","",IF(N318="",0,N318*Dimensoes!$C$2)+IF(O318="",0,O318*Dimensoes!$C$3)+IF(P318="",0,P318*Dimensoes!$C$4)+IF(Q318="",0,Q318*Dimensoes!$C$5))</f>
        <v/>
      </c>
      <c r="U318" s="0" t="str">
        <f aca="false">IF($A318="","",IF(OR(E318="concluida",E318="incompleta"),1,0))</f>
        <v/>
      </c>
    </row>
    <row r="319" customFormat="false" ht="15" hidden="false" customHeight="false" outlineLevel="0" collapsed="false">
      <c r="A319" s="0" t="str">
        <f aca="false">IF(Visitas!A319="","",Visitas!A319)</f>
        <v/>
      </c>
      <c r="B319" s="0" t="str">
        <f aca="false">IF($A319="","",Visitas!C319)</f>
        <v/>
      </c>
      <c r="C319" s="7" t="str">
        <f aca="false">IF($A319="","",Visitas!D319)</f>
        <v/>
      </c>
      <c r="D319" s="0" t="str">
        <f aca="false">IF($A319="","",Visitas!B319)</f>
        <v/>
      </c>
      <c r="E319" s="0" t="str">
        <f aca="false">IF($A319="","",Visitas!F319)</f>
        <v/>
      </c>
      <c r="F319" s="0" t="str">
        <f aca="false">IF($A319="","",SUMIFS(Avaliacoes!$G$2:$G$6000,Avaliacoes!$A$2:$A$6000,$A319,Avaliacoes!$F$2:$F$6000,"I",Avaliacoes!$H$2:$H$6000,0))</f>
        <v/>
      </c>
      <c r="G319" s="0" t="str">
        <f aca="false">IF($A319="","",SUMIFS(Avaliacoes!$G$2:$G$6000,Avaliacoes!$A$2:$A$6000,$A319,Avaliacoes!$F$2:$F$6000,"II",Avaliacoes!$H$2:$H$6000,0))</f>
        <v/>
      </c>
      <c r="H319" s="0" t="str">
        <f aca="false">IF($A319="","",SUMIFS(Avaliacoes!$G$2:$G$6000,Avaliacoes!$A$2:$A$6000,$A319,Avaliacoes!$F$2:$F$6000,"III",Avaliacoes!$H$2:$H$6000,0))</f>
        <v/>
      </c>
      <c r="I319" s="0" t="str">
        <f aca="false">IF($A319="","",SUMIFS(Avaliacoes!$G$2:$G$6000,Avaliacoes!$A$2:$A$6000,$A319,Avaliacoes!$F$2:$F$6000,"IV",Avaliacoes!$H$2:$H$6000,0))</f>
        <v/>
      </c>
      <c r="J319" s="0" t="str">
        <f aca="false">IF($A319="","",COUNTIFS(Avaliacoes!$A$2:$A$6000,$A319,Avaliacoes!$F$2:$F$6000,"I",Avaliacoes!$H$2:$H$6000,0,Avaliacoes!$G$2:$G$6000,"&lt;&gt;")*Dimensoes!$E$2)</f>
        <v/>
      </c>
      <c r="K319" s="0" t="str">
        <f aca="false">IF($A319="","",COUNTIFS(Avaliacoes!$A$2:$A$6000,$A319,Avaliacoes!$F$2:$F$6000,"II",Avaliacoes!$H$2:$H$6000,0,Avaliacoes!$G$2:$G$6000,"&lt;&gt;")*Dimensoes!$E$3)</f>
        <v/>
      </c>
      <c r="L319" s="0" t="str">
        <f aca="false">IF($A319="","",COUNTIFS(Avaliacoes!$A$2:$A$6000,$A319,Avaliacoes!$F$2:$F$6000,"III",Avaliacoes!$H$2:$H$6000,0,Avaliacoes!$G$2:$G$6000,"&lt;&gt;")*Dimensoes!$E$4)</f>
        <v/>
      </c>
      <c r="M319" s="0" t="str">
        <f aca="false">IF($A319="","",COUNTIFS(Avaliacoes!$A$2:$A$6000,$A319,Avaliacoes!$F$2:$F$6000,"IV",Avaliacoes!$H$2:$H$6000,0,Avaliacoes!$G$2:$G$6000,"&lt;&gt;")*Dimensoes!$E$5)</f>
        <v/>
      </c>
      <c r="N319" s="9" t="str">
        <f aca="false">IF($A319="","",IF(J319&gt;0,F319/J319,""))</f>
        <v/>
      </c>
      <c r="O319" s="9" t="str">
        <f aca="false">IF($A319="","",IF(K319&gt;0,G319/K319,""))</f>
        <v/>
      </c>
      <c r="P319" s="9" t="str">
        <f aca="false">IF($A319="","",IF(L319&gt;0,H319/L319,""))</f>
        <v/>
      </c>
      <c r="Q319" s="9" t="str">
        <f aca="false">IF($A319="","",IF(M319&gt;0,I319/M319,""))</f>
        <v/>
      </c>
      <c r="R319" s="17" t="str">
        <f aca="false">IF($A319="","",IF((IF(N319="",0,Dimensoes!$C$2)+IF(O319="",0,Dimensoes!$C$3)+IF(P319="",0,Dimensoes!$C$4)+IF(Q319="",0,Dimensoes!$C$5))=0,"",(IF(N319="",0,N319*Dimensoes!$C$2)+IF(O319="",0,O319*Dimensoes!$C$3)+IF(P319="",0,P319*Dimensoes!$C$4)+IF(Q319="",0,Q319*Dimensoes!$C$5))/(IF(N319="",0,Dimensoes!$C$2)+IF(O319="",0,Dimensoes!$C$3)+IF(P319="",0,Dimensoes!$C$4)+IF(Q319="",0,Dimensoes!$C$5))))</f>
        <v/>
      </c>
      <c r="S319" s="0" t="str">
        <f aca="false">IF(R319="","",IF(R319&lt;Faixas!$C$3,"vermelho",IF(R319&lt;Faixas!$C$4,"amarelo","verde")))</f>
        <v/>
      </c>
      <c r="T319" s="9" t="str">
        <f aca="false">IF($A319="","",IF(N319="",0,N319*Dimensoes!$C$2)+IF(O319="",0,O319*Dimensoes!$C$3)+IF(P319="",0,P319*Dimensoes!$C$4)+IF(Q319="",0,Q319*Dimensoes!$C$5))</f>
        <v/>
      </c>
      <c r="U319" s="0" t="str">
        <f aca="false">IF($A319="","",IF(OR(E319="concluida",E319="incompleta"),1,0))</f>
        <v/>
      </c>
    </row>
    <row r="320" customFormat="false" ht="15" hidden="false" customHeight="false" outlineLevel="0" collapsed="false">
      <c r="A320" s="0" t="str">
        <f aca="false">IF(Visitas!A320="","",Visitas!A320)</f>
        <v/>
      </c>
      <c r="B320" s="0" t="str">
        <f aca="false">IF($A320="","",Visitas!C320)</f>
        <v/>
      </c>
      <c r="C320" s="7" t="str">
        <f aca="false">IF($A320="","",Visitas!D320)</f>
        <v/>
      </c>
      <c r="D320" s="0" t="str">
        <f aca="false">IF($A320="","",Visitas!B320)</f>
        <v/>
      </c>
      <c r="E320" s="0" t="str">
        <f aca="false">IF($A320="","",Visitas!F320)</f>
        <v/>
      </c>
      <c r="F320" s="0" t="str">
        <f aca="false">IF($A320="","",SUMIFS(Avaliacoes!$G$2:$G$6000,Avaliacoes!$A$2:$A$6000,$A320,Avaliacoes!$F$2:$F$6000,"I",Avaliacoes!$H$2:$H$6000,0))</f>
        <v/>
      </c>
      <c r="G320" s="0" t="str">
        <f aca="false">IF($A320="","",SUMIFS(Avaliacoes!$G$2:$G$6000,Avaliacoes!$A$2:$A$6000,$A320,Avaliacoes!$F$2:$F$6000,"II",Avaliacoes!$H$2:$H$6000,0))</f>
        <v/>
      </c>
      <c r="H320" s="0" t="str">
        <f aca="false">IF($A320="","",SUMIFS(Avaliacoes!$G$2:$G$6000,Avaliacoes!$A$2:$A$6000,$A320,Avaliacoes!$F$2:$F$6000,"III",Avaliacoes!$H$2:$H$6000,0))</f>
        <v/>
      </c>
      <c r="I320" s="0" t="str">
        <f aca="false">IF($A320="","",SUMIFS(Avaliacoes!$G$2:$G$6000,Avaliacoes!$A$2:$A$6000,$A320,Avaliacoes!$F$2:$F$6000,"IV",Avaliacoes!$H$2:$H$6000,0))</f>
        <v/>
      </c>
      <c r="J320" s="0" t="str">
        <f aca="false">IF($A320="","",COUNTIFS(Avaliacoes!$A$2:$A$6000,$A320,Avaliacoes!$F$2:$F$6000,"I",Avaliacoes!$H$2:$H$6000,0,Avaliacoes!$G$2:$G$6000,"&lt;&gt;")*Dimensoes!$E$2)</f>
        <v/>
      </c>
      <c r="K320" s="0" t="str">
        <f aca="false">IF($A320="","",COUNTIFS(Avaliacoes!$A$2:$A$6000,$A320,Avaliacoes!$F$2:$F$6000,"II",Avaliacoes!$H$2:$H$6000,0,Avaliacoes!$G$2:$G$6000,"&lt;&gt;")*Dimensoes!$E$3)</f>
        <v/>
      </c>
      <c r="L320" s="0" t="str">
        <f aca="false">IF($A320="","",COUNTIFS(Avaliacoes!$A$2:$A$6000,$A320,Avaliacoes!$F$2:$F$6000,"III",Avaliacoes!$H$2:$H$6000,0,Avaliacoes!$G$2:$G$6000,"&lt;&gt;")*Dimensoes!$E$4)</f>
        <v/>
      </c>
      <c r="M320" s="0" t="str">
        <f aca="false">IF($A320="","",COUNTIFS(Avaliacoes!$A$2:$A$6000,$A320,Avaliacoes!$F$2:$F$6000,"IV",Avaliacoes!$H$2:$H$6000,0,Avaliacoes!$G$2:$G$6000,"&lt;&gt;")*Dimensoes!$E$5)</f>
        <v/>
      </c>
      <c r="N320" s="9" t="str">
        <f aca="false">IF($A320="","",IF(J320&gt;0,F320/J320,""))</f>
        <v/>
      </c>
      <c r="O320" s="9" t="str">
        <f aca="false">IF($A320="","",IF(K320&gt;0,G320/K320,""))</f>
        <v/>
      </c>
      <c r="P320" s="9" t="str">
        <f aca="false">IF($A320="","",IF(L320&gt;0,H320/L320,""))</f>
        <v/>
      </c>
      <c r="Q320" s="9" t="str">
        <f aca="false">IF($A320="","",IF(M320&gt;0,I320/M320,""))</f>
        <v/>
      </c>
      <c r="R320" s="17" t="str">
        <f aca="false">IF($A320="","",IF((IF(N320="",0,Dimensoes!$C$2)+IF(O320="",0,Dimensoes!$C$3)+IF(P320="",0,Dimensoes!$C$4)+IF(Q320="",0,Dimensoes!$C$5))=0,"",(IF(N320="",0,N320*Dimensoes!$C$2)+IF(O320="",0,O320*Dimensoes!$C$3)+IF(P320="",0,P320*Dimensoes!$C$4)+IF(Q320="",0,Q320*Dimensoes!$C$5))/(IF(N320="",0,Dimensoes!$C$2)+IF(O320="",0,Dimensoes!$C$3)+IF(P320="",0,Dimensoes!$C$4)+IF(Q320="",0,Dimensoes!$C$5))))</f>
        <v/>
      </c>
      <c r="S320" s="0" t="str">
        <f aca="false">IF(R320="","",IF(R320&lt;Faixas!$C$3,"vermelho",IF(R320&lt;Faixas!$C$4,"amarelo","verde")))</f>
        <v/>
      </c>
      <c r="T320" s="9" t="str">
        <f aca="false">IF($A320="","",IF(N320="",0,N320*Dimensoes!$C$2)+IF(O320="",0,O320*Dimensoes!$C$3)+IF(P320="",0,P320*Dimensoes!$C$4)+IF(Q320="",0,Q320*Dimensoes!$C$5))</f>
        <v/>
      </c>
      <c r="U320" s="0" t="str">
        <f aca="false">IF($A320="","",IF(OR(E320="concluida",E320="incompleta"),1,0))</f>
        <v/>
      </c>
    </row>
    <row r="321" customFormat="false" ht="15" hidden="false" customHeight="false" outlineLevel="0" collapsed="false">
      <c r="A321" s="0" t="str">
        <f aca="false">IF(Visitas!A321="","",Visitas!A321)</f>
        <v/>
      </c>
      <c r="B321" s="0" t="str">
        <f aca="false">IF($A321="","",Visitas!C321)</f>
        <v/>
      </c>
      <c r="C321" s="7" t="str">
        <f aca="false">IF($A321="","",Visitas!D321)</f>
        <v/>
      </c>
      <c r="D321" s="0" t="str">
        <f aca="false">IF($A321="","",Visitas!B321)</f>
        <v/>
      </c>
      <c r="E321" s="0" t="str">
        <f aca="false">IF($A321="","",Visitas!F321)</f>
        <v/>
      </c>
      <c r="F321" s="0" t="str">
        <f aca="false">IF($A321="","",SUMIFS(Avaliacoes!$G$2:$G$6000,Avaliacoes!$A$2:$A$6000,$A321,Avaliacoes!$F$2:$F$6000,"I",Avaliacoes!$H$2:$H$6000,0))</f>
        <v/>
      </c>
      <c r="G321" s="0" t="str">
        <f aca="false">IF($A321="","",SUMIFS(Avaliacoes!$G$2:$G$6000,Avaliacoes!$A$2:$A$6000,$A321,Avaliacoes!$F$2:$F$6000,"II",Avaliacoes!$H$2:$H$6000,0))</f>
        <v/>
      </c>
      <c r="H321" s="0" t="str">
        <f aca="false">IF($A321="","",SUMIFS(Avaliacoes!$G$2:$G$6000,Avaliacoes!$A$2:$A$6000,$A321,Avaliacoes!$F$2:$F$6000,"III",Avaliacoes!$H$2:$H$6000,0))</f>
        <v/>
      </c>
      <c r="I321" s="0" t="str">
        <f aca="false">IF($A321="","",SUMIFS(Avaliacoes!$G$2:$G$6000,Avaliacoes!$A$2:$A$6000,$A321,Avaliacoes!$F$2:$F$6000,"IV",Avaliacoes!$H$2:$H$6000,0))</f>
        <v/>
      </c>
      <c r="J321" s="0" t="str">
        <f aca="false">IF($A321="","",COUNTIFS(Avaliacoes!$A$2:$A$6000,$A321,Avaliacoes!$F$2:$F$6000,"I",Avaliacoes!$H$2:$H$6000,0,Avaliacoes!$G$2:$G$6000,"&lt;&gt;")*Dimensoes!$E$2)</f>
        <v/>
      </c>
      <c r="K321" s="0" t="str">
        <f aca="false">IF($A321="","",COUNTIFS(Avaliacoes!$A$2:$A$6000,$A321,Avaliacoes!$F$2:$F$6000,"II",Avaliacoes!$H$2:$H$6000,0,Avaliacoes!$G$2:$G$6000,"&lt;&gt;")*Dimensoes!$E$3)</f>
        <v/>
      </c>
      <c r="L321" s="0" t="str">
        <f aca="false">IF($A321="","",COUNTIFS(Avaliacoes!$A$2:$A$6000,$A321,Avaliacoes!$F$2:$F$6000,"III",Avaliacoes!$H$2:$H$6000,0,Avaliacoes!$G$2:$G$6000,"&lt;&gt;")*Dimensoes!$E$4)</f>
        <v/>
      </c>
      <c r="M321" s="0" t="str">
        <f aca="false">IF($A321="","",COUNTIFS(Avaliacoes!$A$2:$A$6000,$A321,Avaliacoes!$F$2:$F$6000,"IV",Avaliacoes!$H$2:$H$6000,0,Avaliacoes!$G$2:$G$6000,"&lt;&gt;")*Dimensoes!$E$5)</f>
        <v/>
      </c>
      <c r="N321" s="9" t="str">
        <f aca="false">IF($A321="","",IF(J321&gt;0,F321/J321,""))</f>
        <v/>
      </c>
      <c r="O321" s="9" t="str">
        <f aca="false">IF($A321="","",IF(K321&gt;0,G321/K321,""))</f>
        <v/>
      </c>
      <c r="P321" s="9" t="str">
        <f aca="false">IF($A321="","",IF(L321&gt;0,H321/L321,""))</f>
        <v/>
      </c>
      <c r="Q321" s="9" t="str">
        <f aca="false">IF($A321="","",IF(M321&gt;0,I321/M321,""))</f>
        <v/>
      </c>
      <c r="R321" s="17" t="str">
        <f aca="false">IF($A321="","",IF((IF(N321="",0,Dimensoes!$C$2)+IF(O321="",0,Dimensoes!$C$3)+IF(P321="",0,Dimensoes!$C$4)+IF(Q321="",0,Dimensoes!$C$5))=0,"",(IF(N321="",0,N321*Dimensoes!$C$2)+IF(O321="",0,O321*Dimensoes!$C$3)+IF(P321="",0,P321*Dimensoes!$C$4)+IF(Q321="",0,Q321*Dimensoes!$C$5))/(IF(N321="",0,Dimensoes!$C$2)+IF(O321="",0,Dimensoes!$C$3)+IF(P321="",0,Dimensoes!$C$4)+IF(Q321="",0,Dimensoes!$C$5))))</f>
        <v/>
      </c>
      <c r="S321" s="0" t="str">
        <f aca="false">IF(R321="","",IF(R321&lt;Faixas!$C$3,"vermelho",IF(R321&lt;Faixas!$C$4,"amarelo","verde")))</f>
        <v/>
      </c>
      <c r="T321" s="9" t="str">
        <f aca="false">IF($A321="","",IF(N321="",0,N321*Dimensoes!$C$2)+IF(O321="",0,O321*Dimensoes!$C$3)+IF(P321="",0,P321*Dimensoes!$C$4)+IF(Q321="",0,Q321*Dimensoes!$C$5))</f>
        <v/>
      </c>
      <c r="U321" s="0" t="str">
        <f aca="false">IF($A321="","",IF(OR(E321="concluida",E321="incompleta"),1,0))</f>
        <v/>
      </c>
    </row>
    <row r="322" customFormat="false" ht="15" hidden="false" customHeight="false" outlineLevel="0" collapsed="false">
      <c r="A322" s="0" t="str">
        <f aca="false">IF(Visitas!A322="","",Visitas!A322)</f>
        <v/>
      </c>
      <c r="B322" s="0" t="str">
        <f aca="false">IF($A322="","",Visitas!C322)</f>
        <v/>
      </c>
      <c r="C322" s="7" t="str">
        <f aca="false">IF($A322="","",Visitas!D322)</f>
        <v/>
      </c>
      <c r="D322" s="0" t="str">
        <f aca="false">IF($A322="","",Visitas!B322)</f>
        <v/>
      </c>
      <c r="E322" s="0" t="str">
        <f aca="false">IF($A322="","",Visitas!F322)</f>
        <v/>
      </c>
      <c r="F322" s="0" t="str">
        <f aca="false">IF($A322="","",SUMIFS(Avaliacoes!$G$2:$G$6000,Avaliacoes!$A$2:$A$6000,$A322,Avaliacoes!$F$2:$F$6000,"I",Avaliacoes!$H$2:$H$6000,0))</f>
        <v/>
      </c>
      <c r="G322" s="0" t="str">
        <f aca="false">IF($A322="","",SUMIFS(Avaliacoes!$G$2:$G$6000,Avaliacoes!$A$2:$A$6000,$A322,Avaliacoes!$F$2:$F$6000,"II",Avaliacoes!$H$2:$H$6000,0))</f>
        <v/>
      </c>
      <c r="H322" s="0" t="str">
        <f aca="false">IF($A322="","",SUMIFS(Avaliacoes!$G$2:$G$6000,Avaliacoes!$A$2:$A$6000,$A322,Avaliacoes!$F$2:$F$6000,"III",Avaliacoes!$H$2:$H$6000,0))</f>
        <v/>
      </c>
      <c r="I322" s="0" t="str">
        <f aca="false">IF($A322="","",SUMIFS(Avaliacoes!$G$2:$G$6000,Avaliacoes!$A$2:$A$6000,$A322,Avaliacoes!$F$2:$F$6000,"IV",Avaliacoes!$H$2:$H$6000,0))</f>
        <v/>
      </c>
      <c r="J322" s="0" t="str">
        <f aca="false">IF($A322="","",COUNTIFS(Avaliacoes!$A$2:$A$6000,$A322,Avaliacoes!$F$2:$F$6000,"I",Avaliacoes!$H$2:$H$6000,0,Avaliacoes!$G$2:$G$6000,"&lt;&gt;")*Dimensoes!$E$2)</f>
        <v/>
      </c>
      <c r="K322" s="0" t="str">
        <f aca="false">IF($A322="","",COUNTIFS(Avaliacoes!$A$2:$A$6000,$A322,Avaliacoes!$F$2:$F$6000,"II",Avaliacoes!$H$2:$H$6000,0,Avaliacoes!$G$2:$G$6000,"&lt;&gt;")*Dimensoes!$E$3)</f>
        <v/>
      </c>
      <c r="L322" s="0" t="str">
        <f aca="false">IF($A322="","",COUNTIFS(Avaliacoes!$A$2:$A$6000,$A322,Avaliacoes!$F$2:$F$6000,"III",Avaliacoes!$H$2:$H$6000,0,Avaliacoes!$G$2:$G$6000,"&lt;&gt;")*Dimensoes!$E$4)</f>
        <v/>
      </c>
      <c r="M322" s="0" t="str">
        <f aca="false">IF($A322="","",COUNTIFS(Avaliacoes!$A$2:$A$6000,$A322,Avaliacoes!$F$2:$F$6000,"IV",Avaliacoes!$H$2:$H$6000,0,Avaliacoes!$G$2:$G$6000,"&lt;&gt;")*Dimensoes!$E$5)</f>
        <v/>
      </c>
      <c r="N322" s="9" t="str">
        <f aca="false">IF($A322="","",IF(J322&gt;0,F322/J322,""))</f>
        <v/>
      </c>
      <c r="O322" s="9" t="str">
        <f aca="false">IF($A322="","",IF(K322&gt;0,G322/K322,""))</f>
        <v/>
      </c>
      <c r="P322" s="9" t="str">
        <f aca="false">IF($A322="","",IF(L322&gt;0,H322/L322,""))</f>
        <v/>
      </c>
      <c r="Q322" s="9" t="str">
        <f aca="false">IF($A322="","",IF(M322&gt;0,I322/M322,""))</f>
        <v/>
      </c>
      <c r="R322" s="17" t="str">
        <f aca="false">IF($A322="","",IF((IF(N322="",0,Dimensoes!$C$2)+IF(O322="",0,Dimensoes!$C$3)+IF(P322="",0,Dimensoes!$C$4)+IF(Q322="",0,Dimensoes!$C$5))=0,"",(IF(N322="",0,N322*Dimensoes!$C$2)+IF(O322="",0,O322*Dimensoes!$C$3)+IF(P322="",0,P322*Dimensoes!$C$4)+IF(Q322="",0,Q322*Dimensoes!$C$5))/(IF(N322="",0,Dimensoes!$C$2)+IF(O322="",0,Dimensoes!$C$3)+IF(P322="",0,Dimensoes!$C$4)+IF(Q322="",0,Dimensoes!$C$5))))</f>
        <v/>
      </c>
      <c r="S322" s="0" t="str">
        <f aca="false">IF(R322="","",IF(R322&lt;Faixas!$C$3,"vermelho",IF(R322&lt;Faixas!$C$4,"amarelo","verde")))</f>
        <v/>
      </c>
      <c r="T322" s="9" t="str">
        <f aca="false">IF($A322="","",IF(N322="",0,N322*Dimensoes!$C$2)+IF(O322="",0,O322*Dimensoes!$C$3)+IF(P322="",0,P322*Dimensoes!$C$4)+IF(Q322="",0,Q322*Dimensoes!$C$5))</f>
        <v/>
      </c>
      <c r="U322" s="0" t="str">
        <f aca="false">IF($A322="","",IF(OR(E322="concluida",E322="incompleta"),1,0))</f>
        <v/>
      </c>
    </row>
    <row r="323" customFormat="false" ht="15" hidden="false" customHeight="false" outlineLevel="0" collapsed="false">
      <c r="A323" s="0" t="str">
        <f aca="false">IF(Visitas!A323="","",Visitas!A323)</f>
        <v/>
      </c>
      <c r="B323" s="0" t="str">
        <f aca="false">IF($A323="","",Visitas!C323)</f>
        <v/>
      </c>
      <c r="C323" s="7" t="str">
        <f aca="false">IF($A323="","",Visitas!D323)</f>
        <v/>
      </c>
      <c r="D323" s="0" t="str">
        <f aca="false">IF($A323="","",Visitas!B323)</f>
        <v/>
      </c>
      <c r="E323" s="0" t="str">
        <f aca="false">IF($A323="","",Visitas!F323)</f>
        <v/>
      </c>
      <c r="F323" s="0" t="str">
        <f aca="false">IF($A323="","",SUMIFS(Avaliacoes!$G$2:$G$6000,Avaliacoes!$A$2:$A$6000,$A323,Avaliacoes!$F$2:$F$6000,"I",Avaliacoes!$H$2:$H$6000,0))</f>
        <v/>
      </c>
      <c r="G323" s="0" t="str">
        <f aca="false">IF($A323="","",SUMIFS(Avaliacoes!$G$2:$G$6000,Avaliacoes!$A$2:$A$6000,$A323,Avaliacoes!$F$2:$F$6000,"II",Avaliacoes!$H$2:$H$6000,0))</f>
        <v/>
      </c>
      <c r="H323" s="0" t="str">
        <f aca="false">IF($A323="","",SUMIFS(Avaliacoes!$G$2:$G$6000,Avaliacoes!$A$2:$A$6000,$A323,Avaliacoes!$F$2:$F$6000,"III",Avaliacoes!$H$2:$H$6000,0))</f>
        <v/>
      </c>
      <c r="I323" s="0" t="str">
        <f aca="false">IF($A323="","",SUMIFS(Avaliacoes!$G$2:$G$6000,Avaliacoes!$A$2:$A$6000,$A323,Avaliacoes!$F$2:$F$6000,"IV",Avaliacoes!$H$2:$H$6000,0))</f>
        <v/>
      </c>
      <c r="J323" s="0" t="str">
        <f aca="false">IF($A323="","",COUNTIFS(Avaliacoes!$A$2:$A$6000,$A323,Avaliacoes!$F$2:$F$6000,"I",Avaliacoes!$H$2:$H$6000,0,Avaliacoes!$G$2:$G$6000,"&lt;&gt;")*Dimensoes!$E$2)</f>
        <v/>
      </c>
      <c r="K323" s="0" t="str">
        <f aca="false">IF($A323="","",COUNTIFS(Avaliacoes!$A$2:$A$6000,$A323,Avaliacoes!$F$2:$F$6000,"II",Avaliacoes!$H$2:$H$6000,0,Avaliacoes!$G$2:$G$6000,"&lt;&gt;")*Dimensoes!$E$3)</f>
        <v/>
      </c>
      <c r="L323" s="0" t="str">
        <f aca="false">IF($A323="","",COUNTIFS(Avaliacoes!$A$2:$A$6000,$A323,Avaliacoes!$F$2:$F$6000,"III",Avaliacoes!$H$2:$H$6000,0,Avaliacoes!$G$2:$G$6000,"&lt;&gt;")*Dimensoes!$E$4)</f>
        <v/>
      </c>
      <c r="M323" s="0" t="str">
        <f aca="false">IF($A323="","",COUNTIFS(Avaliacoes!$A$2:$A$6000,$A323,Avaliacoes!$F$2:$F$6000,"IV",Avaliacoes!$H$2:$H$6000,0,Avaliacoes!$G$2:$G$6000,"&lt;&gt;")*Dimensoes!$E$5)</f>
        <v/>
      </c>
      <c r="N323" s="9" t="str">
        <f aca="false">IF($A323="","",IF(J323&gt;0,F323/J323,""))</f>
        <v/>
      </c>
      <c r="O323" s="9" t="str">
        <f aca="false">IF($A323="","",IF(K323&gt;0,G323/K323,""))</f>
        <v/>
      </c>
      <c r="P323" s="9" t="str">
        <f aca="false">IF($A323="","",IF(L323&gt;0,H323/L323,""))</f>
        <v/>
      </c>
      <c r="Q323" s="9" t="str">
        <f aca="false">IF($A323="","",IF(M323&gt;0,I323/M323,""))</f>
        <v/>
      </c>
      <c r="R323" s="17" t="str">
        <f aca="false">IF($A323="","",IF((IF(N323="",0,Dimensoes!$C$2)+IF(O323="",0,Dimensoes!$C$3)+IF(P323="",0,Dimensoes!$C$4)+IF(Q323="",0,Dimensoes!$C$5))=0,"",(IF(N323="",0,N323*Dimensoes!$C$2)+IF(O323="",0,O323*Dimensoes!$C$3)+IF(P323="",0,P323*Dimensoes!$C$4)+IF(Q323="",0,Q323*Dimensoes!$C$5))/(IF(N323="",0,Dimensoes!$C$2)+IF(O323="",0,Dimensoes!$C$3)+IF(P323="",0,Dimensoes!$C$4)+IF(Q323="",0,Dimensoes!$C$5))))</f>
        <v/>
      </c>
      <c r="S323" s="0" t="str">
        <f aca="false">IF(R323="","",IF(R323&lt;Faixas!$C$3,"vermelho",IF(R323&lt;Faixas!$C$4,"amarelo","verde")))</f>
        <v/>
      </c>
      <c r="T323" s="9" t="str">
        <f aca="false">IF($A323="","",IF(N323="",0,N323*Dimensoes!$C$2)+IF(O323="",0,O323*Dimensoes!$C$3)+IF(P323="",0,P323*Dimensoes!$C$4)+IF(Q323="",0,Q323*Dimensoes!$C$5))</f>
        <v/>
      </c>
      <c r="U323" s="0" t="str">
        <f aca="false">IF($A323="","",IF(OR(E323="concluida",E323="incompleta"),1,0))</f>
        <v/>
      </c>
    </row>
    <row r="324" customFormat="false" ht="15" hidden="false" customHeight="false" outlineLevel="0" collapsed="false">
      <c r="A324" s="0" t="str">
        <f aca="false">IF(Visitas!A324="","",Visitas!A324)</f>
        <v/>
      </c>
      <c r="B324" s="0" t="str">
        <f aca="false">IF($A324="","",Visitas!C324)</f>
        <v/>
      </c>
      <c r="C324" s="7" t="str">
        <f aca="false">IF($A324="","",Visitas!D324)</f>
        <v/>
      </c>
      <c r="D324" s="0" t="str">
        <f aca="false">IF($A324="","",Visitas!B324)</f>
        <v/>
      </c>
      <c r="E324" s="0" t="str">
        <f aca="false">IF($A324="","",Visitas!F324)</f>
        <v/>
      </c>
      <c r="F324" s="0" t="str">
        <f aca="false">IF($A324="","",SUMIFS(Avaliacoes!$G$2:$G$6000,Avaliacoes!$A$2:$A$6000,$A324,Avaliacoes!$F$2:$F$6000,"I",Avaliacoes!$H$2:$H$6000,0))</f>
        <v/>
      </c>
      <c r="G324" s="0" t="str">
        <f aca="false">IF($A324="","",SUMIFS(Avaliacoes!$G$2:$G$6000,Avaliacoes!$A$2:$A$6000,$A324,Avaliacoes!$F$2:$F$6000,"II",Avaliacoes!$H$2:$H$6000,0))</f>
        <v/>
      </c>
      <c r="H324" s="0" t="str">
        <f aca="false">IF($A324="","",SUMIFS(Avaliacoes!$G$2:$G$6000,Avaliacoes!$A$2:$A$6000,$A324,Avaliacoes!$F$2:$F$6000,"III",Avaliacoes!$H$2:$H$6000,0))</f>
        <v/>
      </c>
      <c r="I324" s="0" t="str">
        <f aca="false">IF($A324="","",SUMIFS(Avaliacoes!$G$2:$G$6000,Avaliacoes!$A$2:$A$6000,$A324,Avaliacoes!$F$2:$F$6000,"IV",Avaliacoes!$H$2:$H$6000,0))</f>
        <v/>
      </c>
      <c r="J324" s="0" t="str">
        <f aca="false">IF($A324="","",COUNTIFS(Avaliacoes!$A$2:$A$6000,$A324,Avaliacoes!$F$2:$F$6000,"I",Avaliacoes!$H$2:$H$6000,0,Avaliacoes!$G$2:$G$6000,"&lt;&gt;")*Dimensoes!$E$2)</f>
        <v/>
      </c>
      <c r="K324" s="0" t="str">
        <f aca="false">IF($A324="","",COUNTIFS(Avaliacoes!$A$2:$A$6000,$A324,Avaliacoes!$F$2:$F$6000,"II",Avaliacoes!$H$2:$H$6000,0,Avaliacoes!$G$2:$G$6000,"&lt;&gt;")*Dimensoes!$E$3)</f>
        <v/>
      </c>
      <c r="L324" s="0" t="str">
        <f aca="false">IF($A324="","",COUNTIFS(Avaliacoes!$A$2:$A$6000,$A324,Avaliacoes!$F$2:$F$6000,"III",Avaliacoes!$H$2:$H$6000,0,Avaliacoes!$G$2:$G$6000,"&lt;&gt;")*Dimensoes!$E$4)</f>
        <v/>
      </c>
      <c r="M324" s="0" t="str">
        <f aca="false">IF($A324="","",COUNTIFS(Avaliacoes!$A$2:$A$6000,$A324,Avaliacoes!$F$2:$F$6000,"IV",Avaliacoes!$H$2:$H$6000,0,Avaliacoes!$G$2:$G$6000,"&lt;&gt;")*Dimensoes!$E$5)</f>
        <v/>
      </c>
      <c r="N324" s="9" t="str">
        <f aca="false">IF($A324="","",IF(J324&gt;0,F324/J324,""))</f>
        <v/>
      </c>
      <c r="O324" s="9" t="str">
        <f aca="false">IF($A324="","",IF(K324&gt;0,G324/K324,""))</f>
        <v/>
      </c>
      <c r="P324" s="9" t="str">
        <f aca="false">IF($A324="","",IF(L324&gt;0,H324/L324,""))</f>
        <v/>
      </c>
      <c r="Q324" s="9" t="str">
        <f aca="false">IF($A324="","",IF(M324&gt;0,I324/M324,""))</f>
        <v/>
      </c>
      <c r="R324" s="17" t="str">
        <f aca="false">IF($A324="","",IF((IF(N324="",0,Dimensoes!$C$2)+IF(O324="",0,Dimensoes!$C$3)+IF(P324="",0,Dimensoes!$C$4)+IF(Q324="",0,Dimensoes!$C$5))=0,"",(IF(N324="",0,N324*Dimensoes!$C$2)+IF(O324="",0,O324*Dimensoes!$C$3)+IF(P324="",0,P324*Dimensoes!$C$4)+IF(Q324="",0,Q324*Dimensoes!$C$5))/(IF(N324="",0,Dimensoes!$C$2)+IF(O324="",0,Dimensoes!$C$3)+IF(P324="",0,Dimensoes!$C$4)+IF(Q324="",0,Dimensoes!$C$5))))</f>
        <v/>
      </c>
      <c r="S324" s="0" t="str">
        <f aca="false">IF(R324="","",IF(R324&lt;Faixas!$C$3,"vermelho",IF(R324&lt;Faixas!$C$4,"amarelo","verde")))</f>
        <v/>
      </c>
      <c r="T324" s="9" t="str">
        <f aca="false">IF($A324="","",IF(N324="",0,N324*Dimensoes!$C$2)+IF(O324="",0,O324*Dimensoes!$C$3)+IF(P324="",0,P324*Dimensoes!$C$4)+IF(Q324="",0,Q324*Dimensoes!$C$5))</f>
        <v/>
      </c>
      <c r="U324" s="0" t="str">
        <f aca="false">IF($A324="","",IF(OR(E324="concluida",E324="incompleta"),1,0))</f>
        <v/>
      </c>
    </row>
    <row r="325" customFormat="false" ht="15" hidden="false" customHeight="false" outlineLevel="0" collapsed="false">
      <c r="A325" s="0" t="str">
        <f aca="false">IF(Visitas!A325="","",Visitas!A325)</f>
        <v/>
      </c>
      <c r="B325" s="0" t="str">
        <f aca="false">IF($A325="","",Visitas!C325)</f>
        <v/>
      </c>
      <c r="C325" s="7" t="str">
        <f aca="false">IF($A325="","",Visitas!D325)</f>
        <v/>
      </c>
      <c r="D325" s="0" t="str">
        <f aca="false">IF($A325="","",Visitas!B325)</f>
        <v/>
      </c>
      <c r="E325" s="0" t="str">
        <f aca="false">IF($A325="","",Visitas!F325)</f>
        <v/>
      </c>
      <c r="F325" s="0" t="str">
        <f aca="false">IF($A325="","",SUMIFS(Avaliacoes!$G$2:$G$6000,Avaliacoes!$A$2:$A$6000,$A325,Avaliacoes!$F$2:$F$6000,"I",Avaliacoes!$H$2:$H$6000,0))</f>
        <v/>
      </c>
      <c r="G325" s="0" t="str">
        <f aca="false">IF($A325="","",SUMIFS(Avaliacoes!$G$2:$G$6000,Avaliacoes!$A$2:$A$6000,$A325,Avaliacoes!$F$2:$F$6000,"II",Avaliacoes!$H$2:$H$6000,0))</f>
        <v/>
      </c>
      <c r="H325" s="0" t="str">
        <f aca="false">IF($A325="","",SUMIFS(Avaliacoes!$G$2:$G$6000,Avaliacoes!$A$2:$A$6000,$A325,Avaliacoes!$F$2:$F$6000,"III",Avaliacoes!$H$2:$H$6000,0))</f>
        <v/>
      </c>
      <c r="I325" s="0" t="str">
        <f aca="false">IF($A325="","",SUMIFS(Avaliacoes!$G$2:$G$6000,Avaliacoes!$A$2:$A$6000,$A325,Avaliacoes!$F$2:$F$6000,"IV",Avaliacoes!$H$2:$H$6000,0))</f>
        <v/>
      </c>
      <c r="J325" s="0" t="str">
        <f aca="false">IF($A325="","",COUNTIFS(Avaliacoes!$A$2:$A$6000,$A325,Avaliacoes!$F$2:$F$6000,"I",Avaliacoes!$H$2:$H$6000,0,Avaliacoes!$G$2:$G$6000,"&lt;&gt;")*Dimensoes!$E$2)</f>
        <v/>
      </c>
      <c r="K325" s="0" t="str">
        <f aca="false">IF($A325="","",COUNTIFS(Avaliacoes!$A$2:$A$6000,$A325,Avaliacoes!$F$2:$F$6000,"II",Avaliacoes!$H$2:$H$6000,0,Avaliacoes!$G$2:$G$6000,"&lt;&gt;")*Dimensoes!$E$3)</f>
        <v/>
      </c>
      <c r="L325" s="0" t="str">
        <f aca="false">IF($A325="","",COUNTIFS(Avaliacoes!$A$2:$A$6000,$A325,Avaliacoes!$F$2:$F$6000,"III",Avaliacoes!$H$2:$H$6000,0,Avaliacoes!$G$2:$G$6000,"&lt;&gt;")*Dimensoes!$E$4)</f>
        <v/>
      </c>
      <c r="M325" s="0" t="str">
        <f aca="false">IF($A325="","",COUNTIFS(Avaliacoes!$A$2:$A$6000,$A325,Avaliacoes!$F$2:$F$6000,"IV",Avaliacoes!$H$2:$H$6000,0,Avaliacoes!$G$2:$G$6000,"&lt;&gt;")*Dimensoes!$E$5)</f>
        <v/>
      </c>
      <c r="N325" s="9" t="str">
        <f aca="false">IF($A325="","",IF(J325&gt;0,F325/J325,""))</f>
        <v/>
      </c>
      <c r="O325" s="9" t="str">
        <f aca="false">IF($A325="","",IF(K325&gt;0,G325/K325,""))</f>
        <v/>
      </c>
      <c r="P325" s="9" t="str">
        <f aca="false">IF($A325="","",IF(L325&gt;0,H325/L325,""))</f>
        <v/>
      </c>
      <c r="Q325" s="9" t="str">
        <f aca="false">IF($A325="","",IF(M325&gt;0,I325/M325,""))</f>
        <v/>
      </c>
      <c r="R325" s="17" t="str">
        <f aca="false">IF($A325="","",IF((IF(N325="",0,Dimensoes!$C$2)+IF(O325="",0,Dimensoes!$C$3)+IF(P325="",0,Dimensoes!$C$4)+IF(Q325="",0,Dimensoes!$C$5))=0,"",(IF(N325="",0,N325*Dimensoes!$C$2)+IF(O325="",0,O325*Dimensoes!$C$3)+IF(P325="",0,P325*Dimensoes!$C$4)+IF(Q325="",0,Q325*Dimensoes!$C$5))/(IF(N325="",0,Dimensoes!$C$2)+IF(O325="",0,Dimensoes!$C$3)+IF(P325="",0,Dimensoes!$C$4)+IF(Q325="",0,Dimensoes!$C$5))))</f>
        <v/>
      </c>
      <c r="S325" s="0" t="str">
        <f aca="false">IF(R325="","",IF(R325&lt;Faixas!$C$3,"vermelho",IF(R325&lt;Faixas!$C$4,"amarelo","verde")))</f>
        <v/>
      </c>
      <c r="T325" s="9" t="str">
        <f aca="false">IF($A325="","",IF(N325="",0,N325*Dimensoes!$C$2)+IF(O325="",0,O325*Dimensoes!$C$3)+IF(P325="",0,P325*Dimensoes!$C$4)+IF(Q325="",0,Q325*Dimensoes!$C$5))</f>
        <v/>
      </c>
      <c r="U325" s="0" t="str">
        <f aca="false">IF($A325="","",IF(OR(E325="concluida",E325="incompleta"),1,0))</f>
        <v/>
      </c>
    </row>
    <row r="326" customFormat="false" ht="15" hidden="false" customHeight="false" outlineLevel="0" collapsed="false">
      <c r="A326" s="0" t="str">
        <f aca="false">IF(Visitas!A326="","",Visitas!A326)</f>
        <v/>
      </c>
      <c r="B326" s="0" t="str">
        <f aca="false">IF($A326="","",Visitas!C326)</f>
        <v/>
      </c>
      <c r="C326" s="7" t="str">
        <f aca="false">IF($A326="","",Visitas!D326)</f>
        <v/>
      </c>
      <c r="D326" s="0" t="str">
        <f aca="false">IF($A326="","",Visitas!B326)</f>
        <v/>
      </c>
      <c r="E326" s="0" t="str">
        <f aca="false">IF($A326="","",Visitas!F326)</f>
        <v/>
      </c>
      <c r="F326" s="0" t="str">
        <f aca="false">IF($A326="","",SUMIFS(Avaliacoes!$G$2:$G$6000,Avaliacoes!$A$2:$A$6000,$A326,Avaliacoes!$F$2:$F$6000,"I",Avaliacoes!$H$2:$H$6000,0))</f>
        <v/>
      </c>
      <c r="G326" s="0" t="str">
        <f aca="false">IF($A326="","",SUMIFS(Avaliacoes!$G$2:$G$6000,Avaliacoes!$A$2:$A$6000,$A326,Avaliacoes!$F$2:$F$6000,"II",Avaliacoes!$H$2:$H$6000,0))</f>
        <v/>
      </c>
      <c r="H326" s="0" t="str">
        <f aca="false">IF($A326="","",SUMIFS(Avaliacoes!$G$2:$G$6000,Avaliacoes!$A$2:$A$6000,$A326,Avaliacoes!$F$2:$F$6000,"III",Avaliacoes!$H$2:$H$6000,0))</f>
        <v/>
      </c>
      <c r="I326" s="0" t="str">
        <f aca="false">IF($A326="","",SUMIFS(Avaliacoes!$G$2:$G$6000,Avaliacoes!$A$2:$A$6000,$A326,Avaliacoes!$F$2:$F$6000,"IV",Avaliacoes!$H$2:$H$6000,0))</f>
        <v/>
      </c>
      <c r="J326" s="0" t="str">
        <f aca="false">IF($A326="","",COUNTIFS(Avaliacoes!$A$2:$A$6000,$A326,Avaliacoes!$F$2:$F$6000,"I",Avaliacoes!$H$2:$H$6000,0,Avaliacoes!$G$2:$G$6000,"&lt;&gt;")*Dimensoes!$E$2)</f>
        <v/>
      </c>
      <c r="K326" s="0" t="str">
        <f aca="false">IF($A326="","",COUNTIFS(Avaliacoes!$A$2:$A$6000,$A326,Avaliacoes!$F$2:$F$6000,"II",Avaliacoes!$H$2:$H$6000,0,Avaliacoes!$G$2:$G$6000,"&lt;&gt;")*Dimensoes!$E$3)</f>
        <v/>
      </c>
      <c r="L326" s="0" t="str">
        <f aca="false">IF($A326="","",COUNTIFS(Avaliacoes!$A$2:$A$6000,$A326,Avaliacoes!$F$2:$F$6000,"III",Avaliacoes!$H$2:$H$6000,0,Avaliacoes!$G$2:$G$6000,"&lt;&gt;")*Dimensoes!$E$4)</f>
        <v/>
      </c>
      <c r="M326" s="0" t="str">
        <f aca="false">IF($A326="","",COUNTIFS(Avaliacoes!$A$2:$A$6000,$A326,Avaliacoes!$F$2:$F$6000,"IV",Avaliacoes!$H$2:$H$6000,0,Avaliacoes!$G$2:$G$6000,"&lt;&gt;")*Dimensoes!$E$5)</f>
        <v/>
      </c>
      <c r="N326" s="9" t="str">
        <f aca="false">IF($A326="","",IF(J326&gt;0,F326/J326,""))</f>
        <v/>
      </c>
      <c r="O326" s="9" t="str">
        <f aca="false">IF($A326="","",IF(K326&gt;0,G326/K326,""))</f>
        <v/>
      </c>
      <c r="P326" s="9" t="str">
        <f aca="false">IF($A326="","",IF(L326&gt;0,H326/L326,""))</f>
        <v/>
      </c>
      <c r="Q326" s="9" t="str">
        <f aca="false">IF($A326="","",IF(M326&gt;0,I326/M326,""))</f>
        <v/>
      </c>
      <c r="R326" s="17" t="str">
        <f aca="false">IF($A326="","",IF((IF(N326="",0,Dimensoes!$C$2)+IF(O326="",0,Dimensoes!$C$3)+IF(P326="",0,Dimensoes!$C$4)+IF(Q326="",0,Dimensoes!$C$5))=0,"",(IF(N326="",0,N326*Dimensoes!$C$2)+IF(O326="",0,O326*Dimensoes!$C$3)+IF(P326="",0,P326*Dimensoes!$C$4)+IF(Q326="",0,Q326*Dimensoes!$C$5))/(IF(N326="",0,Dimensoes!$C$2)+IF(O326="",0,Dimensoes!$C$3)+IF(P326="",0,Dimensoes!$C$4)+IF(Q326="",0,Dimensoes!$C$5))))</f>
        <v/>
      </c>
      <c r="S326" s="0" t="str">
        <f aca="false">IF(R326="","",IF(R326&lt;Faixas!$C$3,"vermelho",IF(R326&lt;Faixas!$C$4,"amarelo","verde")))</f>
        <v/>
      </c>
      <c r="T326" s="9" t="str">
        <f aca="false">IF($A326="","",IF(N326="",0,N326*Dimensoes!$C$2)+IF(O326="",0,O326*Dimensoes!$C$3)+IF(P326="",0,P326*Dimensoes!$C$4)+IF(Q326="",0,Q326*Dimensoes!$C$5))</f>
        <v/>
      </c>
      <c r="U326" s="0" t="str">
        <f aca="false">IF($A326="","",IF(OR(E326="concluida",E326="incompleta"),1,0))</f>
        <v/>
      </c>
    </row>
    <row r="327" customFormat="false" ht="15" hidden="false" customHeight="false" outlineLevel="0" collapsed="false">
      <c r="A327" s="0" t="str">
        <f aca="false">IF(Visitas!A327="","",Visitas!A327)</f>
        <v/>
      </c>
      <c r="B327" s="0" t="str">
        <f aca="false">IF($A327="","",Visitas!C327)</f>
        <v/>
      </c>
      <c r="C327" s="7" t="str">
        <f aca="false">IF($A327="","",Visitas!D327)</f>
        <v/>
      </c>
      <c r="D327" s="0" t="str">
        <f aca="false">IF($A327="","",Visitas!B327)</f>
        <v/>
      </c>
      <c r="E327" s="0" t="str">
        <f aca="false">IF($A327="","",Visitas!F327)</f>
        <v/>
      </c>
      <c r="F327" s="0" t="str">
        <f aca="false">IF($A327="","",SUMIFS(Avaliacoes!$G$2:$G$6000,Avaliacoes!$A$2:$A$6000,$A327,Avaliacoes!$F$2:$F$6000,"I",Avaliacoes!$H$2:$H$6000,0))</f>
        <v/>
      </c>
      <c r="G327" s="0" t="str">
        <f aca="false">IF($A327="","",SUMIFS(Avaliacoes!$G$2:$G$6000,Avaliacoes!$A$2:$A$6000,$A327,Avaliacoes!$F$2:$F$6000,"II",Avaliacoes!$H$2:$H$6000,0))</f>
        <v/>
      </c>
      <c r="H327" s="0" t="str">
        <f aca="false">IF($A327="","",SUMIFS(Avaliacoes!$G$2:$G$6000,Avaliacoes!$A$2:$A$6000,$A327,Avaliacoes!$F$2:$F$6000,"III",Avaliacoes!$H$2:$H$6000,0))</f>
        <v/>
      </c>
      <c r="I327" s="0" t="str">
        <f aca="false">IF($A327="","",SUMIFS(Avaliacoes!$G$2:$G$6000,Avaliacoes!$A$2:$A$6000,$A327,Avaliacoes!$F$2:$F$6000,"IV",Avaliacoes!$H$2:$H$6000,0))</f>
        <v/>
      </c>
      <c r="J327" s="0" t="str">
        <f aca="false">IF($A327="","",COUNTIFS(Avaliacoes!$A$2:$A$6000,$A327,Avaliacoes!$F$2:$F$6000,"I",Avaliacoes!$H$2:$H$6000,0,Avaliacoes!$G$2:$G$6000,"&lt;&gt;")*Dimensoes!$E$2)</f>
        <v/>
      </c>
      <c r="K327" s="0" t="str">
        <f aca="false">IF($A327="","",COUNTIFS(Avaliacoes!$A$2:$A$6000,$A327,Avaliacoes!$F$2:$F$6000,"II",Avaliacoes!$H$2:$H$6000,0,Avaliacoes!$G$2:$G$6000,"&lt;&gt;")*Dimensoes!$E$3)</f>
        <v/>
      </c>
      <c r="L327" s="0" t="str">
        <f aca="false">IF($A327="","",COUNTIFS(Avaliacoes!$A$2:$A$6000,$A327,Avaliacoes!$F$2:$F$6000,"III",Avaliacoes!$H$2:$H$6000,0,Avaliacoes!$G$2:$G$6000,"&lt;&gt;")*Dimensoes!$E$4)</f>
        <v/>
      </c>
      <c r="M327" s="0" t="str">
        <f aca="false">IF($A327="","",COUNTIFS(Avaliacoes!$A$2:$A$6000,$A327,Avaliacoes!$F$2:$F$6000,"IV",Avaliacoes!$H$2:$H$6000,0,Avaliacoes!$G$2:$G$6000,"&lt;&gt;")*Dimensoes!$E$5)</f>
        <v/>
      </c>
      <c r="N327" s="9" t="str">
        <f aca="false">IF($A327="","",IF(J327&gt;0,F327/J327,""))</f>
        <v/>
      </c>
      <c r="O327" s="9" t="str">
        <f aca="false">IF($A327="","",IF(K327&gt;0,G327/K327,""))</f>
        <v/>
      </c>
      <c r="P327" s="9" t="str">
        <f aca="false">IF($A327="","",IF(L327&gt;0,H327/L327,""))</f>
        <v/>
      </c>
      <c r="Q327" s="9" t="str">
        <f aca="false">IF($A327="","",IF(M327&gt;0,I327/M327,""))</f>
        <v/>
      </c>
      <c r="R327" s="17" t="str">
        <f aca="false">IF($A327="","",IF((IF(N327="",0,Dimensoes!$C$2)+IF(O327="",0,Dimensoes!$C$3)+IF(P327="",0,Dimensoes!$C$4)+IF(Q327="",0,Dimensoes!$C$5))=0,"",(IF(N327="",0,N327*Dimensoes!$C$2)+IF(O327="",0,O327*Dimensoes!$C$3)+IF(P327="",0,P327*Dimensoes!$C$4)+IF(Q327="",0,Q327*Dimensoes!$C$5))/(IF(N327="",0,Dimensoes!$C$2)+IF(O327="",0,Dimensoes!$C$3)+IF(P327="",0,Dimensoes!$C$4)+IF(Q327="",0,Dimensoes!$C$5))))</f>
        <v/>
      </c>
      <c r="S327" s="0" t="str">
        <f aca="false">IF(R327="","",IF(R327&lt;Faixas!$C$3,"vermelho",IF(R327&lt;Faixas!$C$4,"amarelo","verde")))</f>
        <v/>
      </c>
      <c r="T327" s="9" t="str">
        <f aca="false">IF($A327="","",IF(N327="",0,N327*Dimensoes!$C$2)+IF(O327="",0,O327*Dimensoes!$C$3)+IF(P327="",0,P327*Dimensoes!$C$4)+IF(Q327="",0,Q327*Dimensoes!$C$5))</f>
        <v/>
      </c>
      <c r="U327" s="0" t="str">
        <f aca="false">IF($A327="","",IF(OR(E327="concluida",E327="incompleta"),1,0))</f>
        <v/>
      </c>
    </row>
    <row r="328" customFormat="false" ht="15" hidden="false" customHeight="false" outlineLevel="0" collapsed="false">
      <c r="A328" s="0" t="str">
        <f aca="false">IF(Visitas!A328="","",Visitas!A328)</f>
        <v/>
      </c>
      <c r="B328" s="0" t="str">
        <f aca="false">IF($A328="","",Visitas!C328)</f>
        <v/>
      </c>
      <c r="C328" s="7" t="str">
        <f aca="false">IF($A328="","",Visitas!D328)</f>
        <v/>
      </c>
      <c r="D328" s="0" t="str">
        <f aca="false">IF($A328="","",Visitas!B328)</f>
        <v/>
      </c>
      <c r="E328" s="0" t="str">
        <f aca="false">IF($A328="","",Visitas!F328)</f>
        <v/>
      </c>
      <c r="F328" s="0" t="str">
        <f aca="false">IF($A328="","",SUMIFS(Avaliacoes!$G$2:$G$6000,Avaliacoes!$A$2:$A$6000,$A328,Avaliacoes!$F$2:$F$6000,"I",Avaliacoes!$H$2:$H$6000,0))</f>
        <v/>
      </c>
      <c r="G328" s="0" t="str">
        <f aca="false">IF($A328="","",SUMIFS(Avaliacoes!$G$2:$G$6000,Avaliacoes!$A$2:$A$6000,$A328,Avaliacoes!$F$2:$F$6000,"II",Avaliacoes!$H$2:$H$6000,0))</f>
        <v/>
      </c>
      <c r="H328" s="0" t="str">
        <f aca="false">IF($A328="","",SUMIFS(Avaliacoes!$G$2:$G$6000,Avaliacoes!$A$2:$A$6000,$A328,Avaliacoes!$F$2:$F$6000,"III",Avaliacoes!$H$2:$H$6000,0))</f>
        <v/>
      </c>
      <c r="I328" s="0" t="str">
        <f aca="false">IF($A328="","",SUMIFS(Avaliacoes!$G$2:$G$6000,Avaliacoes!$A$2:$A$6000,$A328,Avaliacoes!$F$2:$F$6000,"IV",Avaliacoes!$H$2:$H$6000,0))</f>
        <v/>
      </c>
      <c r="J328" s="0" t="str">
        <f aca="false">IF($A328="","",COUNTIFS(Avaliacoes!$A$2:$A$6000,$A328,Avaliacoes!$F$2:$F$6000,"I",Avaliacoes!$H$2:$H$6000,0,Avaliacoes!$G$2:$G$6000,"&lt;&gt;")*Dimensoes!$E$2)</f>
        <v/>
      </c>
      <c r="K328" s="0" t="str">
        <f aca="false">IF($A328="","",COUNTIFS(Avaliacoes!$A$2:$A$6000,$A328,Avaliacoes!$F$2:$F$6000,"II",Avaliacoes!$H$2:$H$6000,0,Avaliacoes!$G$2:$G$6000,"&lt;&gt;")*Dimensoes!$E$3)</f>
        <v/>
      </c>
      <c r="L328" s="0" t="str">
        <f aca="false">IF($A328="","",COUNTIFS(Avaliacoes!$A$2:$A$6000,$A328,Avaliacoes!$F$2:$F$6000,"III",Avaliacoes!$H$2:$H$6000,0,Avaliacoes!$G$2:$G$6000,"&lt;&gt;")*Dimensoes!$E$4)</f>
        <v/>
      </c>
      <c r="M328" s="0" t="str">
        <f aca="false">IF($A328="","",COUNTIFS(Avaliacoes!$A$2:$A$6000,$A328,Avaliacoes!$F$2:$F$6000,"IV",Avaliacoes!$H$2:$H$6000,0,Avaliacoes!$G$2:$G$6000,"&lt;&gt;")*Dimensoes!$E$5)</f>
        <v/>
      </c>
      <c r="N328" s="9" t="str">
        <f aca="false">IF($A328="","",IF(J328&gt;0,F328/J328,""))</f>
        <v/>
      </c>
      <c r="O328" s="9" t="str">
        <f aca="false">IF($A328="","",IF(K328&gt;0,G328/K328,""))</f>
        <v/>
      </c>
      <c r="P328" s="9" t="str">
        <f aca="false">IF($A328="","",IF(L328&gt;0,H328/L328,""))</f>
        <v/>
      </c>
      <c r="Q328" s="9" t="str">
        <f aca="false">IF($A328="","",IF(M328&gt;0,I328/M328,""))</f>
        <v/>
      </c>
      <c r="R328" s="17" t="str">
        <f aca="false">IF($A328="","",IF((IF(N328="",0,Dimensoes!$C$2)+IF(O328="",0,Dimensoes!$C$3)+IF(P328="",0,Dimensoes!$C$4)+IF(Q328="",0,Dimensoes!$C$5))=0,"",(IF(N328="",0,N328*Dimensoes!$C$2)+IF(O328="",0,O328*Dimensoes!$C$3)+IF(P328="",0,P328*Dimensoes!$C$4)+IF(Q328="",0,Q328*Dimensoes!$C$5))/(IF(N328="",0,Dimensoes!$C$2)+IF(O328="",0,Dimensoes!$C$3)+IF(P328="",0,Dimensoes!$C$4)+IF(Q328="",0,Dimensoes!$C$5))))</f>
        <v/>
      </c>
      <c r="S328" s="0" t="str">
        <f aca="false">IF(R328="","",IF(R328&lt;Faixas!$C$3,"vermelho",IF(R328&lt;Faixas!$C$4,"amarelo","verde")))</f>
        <v/>
      </c>
      <c r="T328" s="9" t="str">
        <f aca="false">IF($A328="","",IF(N328="",0,N328*Dimensoes!$C$2)+IF(O328="",0,O328*Dimensoes!$C$3)+IF(P328="",0,P328*Dimensoes!$C$4)+IF(Q328="",0,Q328*Dimensoes!$C$5))</f>
        <v/>
      </c>
      <c r="U328" s="0" t="str">
        <f aca="false">IF($A328="","",IF(OR(E328="concluida",E328="incompleta"),1,0))</f>
        <v/>
      </c>
    </row>
    <row r="329" customFormat="false" ht="15" hidden="false" customHeight="false" outlineLevel="0" collapsed="false">
      <c r="A329" s="0" t="str">
        <f aca="false">IF(Visitas!A329="","",Visitas!A329)</f>
        <v/>
      </c>
      <c r="B329" s="0" t="str">
        <f aca="false">IF($A329="","",Visitas!C329)</f>
        <v/>
      </c>
      <c r="C329" s="7" t="str">
        <f aca="false">IF($A329="","",Visitas!D329)</f>
        <v/>
      </c>
      <c r="D329" s="0" t="str">
        <f aca="false">IF($A329="","",Visitas!B329)</f>
        <v/>
      </c>
      <c r="E329" s="0" t="str">
        <f aca="false">IF($A329="","",Visitas!F329)</f>
        <v/>
      </c>
      <c r="F329" s="0" t="str">
        <f aca="false">IF($A329="","",SUMIFS(Avaliacoes!$G$2:$G$6000,Avaliacoes!$A$2:$A$6000,$A329,Avaliacoes!$F$2:$F$6000,"I",Avaliacoes!$H$2:$H$6000,0))</f>
        <v/>
      </c>
      <c r="G329" s="0" t="str">
        <f aca="false">IF($A329="","",SUMIFS(Avaliacoes!$G$2:$G$6000,Avaliacoes!$A$2:$A$6000,$A329,Avaliacoes!$F$2:$F$6000,"II",Avaliacoes!$H$2:$H$6000,0))</f>
        <v/>
      </c>
      <c r="H329" s="0" t="str">
        <f aca="false">IF($A329="","",SUMIFS(Avaliacoes!$G$2:$G$6000,Avaliacoes!$A$2:$A$6000,$A329,Avaliacoes!$F$2:$F$6000,"III",Avaliacoes!$H$2:$H$6000,0))</f>
        <v/>
      </c>
      <c r="I329" s="0" t="str">
        <f aca="false">IF($A329="","",SUMIFS(Avaliacoes!$G$2:$G$6000,Avaliacoes!$A$2:$A$6000,$A329,Avaliacoes!$F$2:$F$6000,"IV",Avaliacoes!$H$2:$H$6000,0))</f>
        <v/>
      </c>
      <c r="J329" s="0" t="str">
        <f aca="false">IF($A329="","",COUNTIFS(Avaliacoes!$A$2:$A$6000,$A329,Avaliacoes!$F$2:$F$6000,"I",Avaliacoes!$H$2:$H$6000,0,Avaliacoes!$G$2:$G$6000,"&lt;&gt;")*Dimensoes!$E$2)</f>
        <v/>
      </c>
      <c r="K329" s="0" t="str">
        <f aca="false">IF($A329="","",COUNTIFS(Avaliacoes!$A$2:$A$6000,$A329,Avaliacoes!$F$2:$F$6000,"II",Avaliacoes!$H$2:$H$6000,0,Avaliacoes!$G$2:$G$6000,"&lt;&gt;")*Dimensoes!$E$3)</f>
        <v/>
      </c>
      <c r="L329" s="0" t="str">
        <f aca="false">IF($A329="","",COUNTIFS(Avaliacoes!$A$2:$A$6000,$A329,Avaliacoes!$F$2:$F$6000,"III",Avaliacoes!$H$2:$H$6000,0,Avaliacoes!$G$2:$G$6000,"&lt;&gt;")*Dimensoes!$E$4)</f>
        <v/>
      </c>
      <c r="M329" s="0" t="str">
        <f aca="false">IF($A329="","",COUNTIFS(Avaliacoes!$A$2:$A$6000,$A329,Avaliacoes!$F$2:$F$6000,"IV",Avaliacoes!$H$2:$H$6000,0,Avaliacoes!$G$2:$G$6000,"&lt;&gt;")*Dimensoes!$E$5)</f>
        <v/>
      </c>
      <c r="N329" s="9" t="str">
        <f aca="false">IF($A329="","",IF(J329&gt;0,F329/J329,""))</f>
        <v/>
      </c>
      <c r="O329" s="9" t="str">
        <f aca="false">IF($A329="","",IF(K329&gt;0,G329/K329,""))</f>
        <v/>
      </c>
      <c r="P329" s="9" t="str">
        <f aca="false">IF($A329="","",IF(L329&gt;0,H329/L329,""))</f>
        <v/>
      </c>
      <c r="Q329" s="9" t="str">
        <f aca="false">IF($A329="","",IF(M329&gt;0,I329/M329,""))</f>
        <v/>
      </c>
      <c r="R329" s="17" t="str">
        <f aca="false">IF($A329="","",IF((IF(N329="",0,Dimensoes!$C$2)+IF(O329="",0,Dimensoes!$C$3)+IF(P329="",0,Dimensoes!$C$4)+IF(Q329="",0,Dimensoes!$C$5))=0,"",(IF(N329="",0,N329*Dimensoes!$C$2)+IF(O329="",0,O329*Dimensoes!$C$3)+IF(P329="",0,P329*Dimensoes!$C$4)+IF(Q329="",0,Q329*Dimensoes!$C$5))/(IF(N329="",0,Dimensoes!$C$2)+IF(O329="",0,Dimensoes!$C$3)+IF(P329="",0,Dimensoes!$C$4)+IF(Q329="",0,Dimensoes!$C$5))))</f>
        <v/>
      </c>
      <c r="S329" s="0" t="str">
        <f aca="false">IF(R329="","",IF(R329&lt;Faixas!$C$3,"vermelho",IF(R329&lt;Faixas!$C$4,"amarelo","verde")))</f>
        <v/>
      </c>
      <c r="T329" s="9" t="str">
        <f aca="false">IF($A329="","",IF(N329="",0,N329*Dimensoes!$C$2)+IF(O329="",0,O329*Dimensoes!$C$3)+IF(P329="",0,P329*Dimensoes!$C$4)+IF(Q329="",0,Q329*Dimensoes!$C$5))</f>
        <v/>
      </c>
      <c r="U329" s="0" t="str">
        <f aca="false">IF($A329="","",IF(OR(E329="concluida",E329="incompleta"),1,0))</f>
        <v/>
      </c>
    </row>
    <row r="330" customFormat="false" ht="15" hidden="false" customHeight="false" outlineLevel="0" collapsed="false">
      <c r="A330" s="0" t="str">
        <f aca="false">IF(Visitas!A330="","",Visitas!A330)</f>
        <v/>
      </c>
      <c r="B330" s="0" t="str">
        <f aca="false">IF($A330="","",Visitas!C330)</f>
        <v/>
      </c>
      <c r="C330" s="7" t="str">
        <f aca="false">IF($A330="","",Visitas!D330)</f>
        <v/>
      </c>
      <c r="D330" s="0" t="str">
        <f aca="false">IF($A330="","",Visitas!B330)</f>
        <v/>
      </c>
      <c r="E330" s="0" t="str">
        <f aca="false">IF($A330="","",Visitas!F330)</f>
        <v/>
      </c>
      <c r="F330" s="0" t="str">
        <f aca="false">IF($A330="","",SUMIFS(Avaliacoes!$G$2:$G$6000,Avaliacoes!$A$2:$A$6000,$A330,Avaliacoes!$F$2:$F$6000,"I",Avaliacoes!$H$2:$H$6000,0))</f>
        <v/>
      </c>
      <c r="G330" s="0" t="str">
        <f aca="false">IF($A330="","",SUMIFS(Avaliacoes!$G$2:$G$6000,Avaliacoes!$A$2:$A$6000,$A330,Avaliacoes!$F$2:$F$6000,"II",Avaliacoes!$H$2:$H$6000,0))</f>
        <v/>
      </c>
      <c r="H330" s="0" t="str">
        <f aca="false">IF($A330="","",SUMIFS(Avaliacoes!$G$2:$G$6000,Avaliacoes!$A$2:$A$6000,$A330,Avaliacoes!$F$2:$F$6000,"III",Avaliacoes!$H$2:$H$6000,0))</f>
        <v/>
      </c>
      <c r="I330" s="0" t="str">
        <f aca="false">IF($A330="","",SUMIFS(Avaliacoes!$G$2:$G$6000,Avaliacoes!$A$2:$A$6000,$A330,Avaliacoes!$F$2:$F$6000,"IV",Avaliacoes!$H$2:$H$6000,0))</f>
        <v/>
      </c>
      <c r="J330" s="0" t="str">
        <f aca="false">IF($A330="","",COUNTIFS(Avaliacoes!$A$2:$A$6000,$A330,Avaliacoes!$F$2:$F$6000,"I",Avaliacoes!$H$2:$H$6000,0,Avaliacoes!$G$2:$G$6000,"&lt;&gt;")*Dimensoes!$E$2)</f>
        <v/>
      </c>
      <c r="K330" s="0" t="str">
        <f aca="false">IF($A330="","",COUNTIFS(Avaliacoes!$A$2:$A$6000,$A330,Avaliacoes!$F$2:$F$6000,"II",Avaliacoes!$H$2:$H$6000,0,Avaliacoes!$G$2:$G$6000,"&lt;&gt;")*Dimensoes!$E$3)</f>
        <v/>
      </c>
      <c r="L330" s="0" t="str">
        <f aca="false">IF($A330="","",COUNTIFS(Avaliacoes!$A$2:$A$6000,$A330,Avaliacoes!$F$2:$F$6000,"III",Avaliacoes!$H$2:$H$6000,0,Avaliacoes!$G$2:$G$6000,"&lt;&gt;")*Dimensoes!$E$4)</f>
        <v/>
      </c>
      <c r="M330" s="0" t="str">
        <f aca="false">IF($A330="","",COUNTIFS(Avaliacoes!$A$2:$A$6000,$A330,Avaliacoes!$F$2:$F$6000,"IV",Avaliacoes!$H$2:$H$6000,0,Avaliacoes!$G$2:$G$6000,"&lt;&gt;")*Dimensoes!$E$5)</f>
        <v/>
      </c>
      <c r="N330" s="9" t="str">
        <f aca="false">IF($A330="","",IF(J330&gt;0,F330/J330,""))</f>
        <v/>
      </c>
      <c r="O330" s="9" t="str">
        <f aca="false">IF($A330="","",IF(K330&gt;0,G330/K330,""))</f>
        <v/>
      </c>
      <c r="P330" s="9" t="str">
        <f aca="false">IF($A330="","",IF(L330&gt;0,H330/L330,""))</f>
        <v/>
      </c>
      <c r="Q330" s="9" t="str">
        <f aca="false">IF($A330="","",IF(M330&gt;0,I330/M330,""))</f>
        <v/>
      </c>
      <c r="R330" s="17" t="str">
        <f aca="false">IF($A330="","",IF((IF(N330="",0,Dimensoes!$C$2)+IF(O330="",0,Dimensoes!$C$3)+IF(P330="",0,Dimensoes!$C$4)+IF(Q330="",0,Dimensoes!$C$5))=0,"",(IF(N330="",0,N330*Dimensoes!$C$2)+IF(O330="",0,O330*Dimensoes!$C$3)+IF(P330="",0,P330*Dimensoes!$C$4)+IF(Q330="",0,Q330*Dimensoes!$C$5))/(IF(N330="",0,Dimensoes!$C$2)+IF(O330="",0,Dimensoes!$C$3)+IF(P330="",0,Dimensoes!$C$4)+IF(Q330="",0,Dimensoes!$C$5))))</f>
        <v/>
      </c>
      <c r="S330" s="0" t="str">
        <f aca="false">IF(R330="","",IF(R330&lt;Faixas!$C$3,"vermelho",IF(R330&lt;Faixas!$C$4,"amarelo","verde")))</f>
        <v/>
      </c>
      <c r="T330" s="9" t="str">
        <f aca="false">IF($A330="","",IF(N330="",0,N330*Dimensoes!$C$2)+IF(O330="",0,O330*Dimensoes!$C$3)+IF(P330="",0,P330*Dimensoes!$C$4)+IF(Q330="",0,Q330*Dimensoes!$C$5))</f>
        <v/>
      </c>
      <c r="U330" s="0" t="str">
        <f aca="false">IF($A330="","",IF(OR(E330="concluida",E330="incompleta"),1,0))</f>
        <v/>
      </c>
    </row>
    <row r="331" customFormat="false" ht="15" hidden="false" customHeight="false" outlineLevel="0" collapsed="false">
      <c r="A331" s="0" t="str">
        <f aca="false">IF(Visitas!A331="","",Visitas!A331)</f>
        <v/>
      </c>
      <c r="B331" s="0" t="str">
        <f aca="false">IF($A331="","",Visitas!C331)</f>
        <v/>
      </c>
      <c r="C331" s="7" t="str">
        <f aca="false">IF($A331="","",Visitas!D331)</f>
        <v/>
      </c>
      <c r="D331" s="0" t="str">
        <f aca="false">IF($A331="","",Visitas!B331)</f>
        <v/>
      </c>
      <c r="E331" s="0" t="str">
        <f aca="false">IF($A331="","",Visitas!F331)</f>
        <v/>
      </c>
      <c r="F331" s="0" t="str">
        <f aca="false">IF($A331="","",SUMIFS(Avaliacoes!$G$2:$G$6000,Avaliacoes!$A$2:$A$6000,$A331,Avaliacoes!$F$2:$F$6000,"I",Avaliacoes!$H$2:$H$6000,0))</f>
        <v/>
      </c>
      <c r="G331" s="0" t="str">
        <f aca="false">IF($A331="","",SUMIFS(Avaliacoes!$G$2:$G$6000,Avaliacoes!$A$2:$A$6000,$A331,Avaliacoes!$F$2:$F$6000,"II",Avaliacoes!$H$2:$H$6000,0))</f>
        <v/>
      </c>
      <c r="H331" s="0" t="str">
        <f aca="false">IF($A331="","",SUMIFS(Avaliacoes!$G$2:$G$6000,Avaliacoes!$A$2:$A$6000,$A331,Avaliacoes!$F$2:$F$6000,"III",Avaliacoes!$H$2:$H$6000,0))</f>
        <v/>
      </c>
      <c r="I331" s="0" t="str">
        <f aca="false">IF($A331="","",SUMIFS(Avaliacoes!$G$2:$G$6000,Avaliacoes!$A$2:$A$6000,$A331,Avaliacoes!$F$2:$F$6000,"IV",Avaliacoes!$H$2:$H$6000,0))</f>
        <v/>
      </c>
      <c r="J331" s="0" t="str">
        <f aca="false">IF($A331="","",COUNTIFS(Avaliacoes!$A$2:$A$6000,$A331,Avaliacoes!$F$2:$F$6000,"I",Avaliacoes!$H$2:$H$6000,0,Avaliacoes!$G$2:$G$6000,"&lt;&gt;")*Dimensoes!$E$2)</f>
        <v/>
      </c>
      <c r="K331" s="0" t="str">
        <f aca="false">IF($A331="","",COUNTIFS(Avaliacoes!$A$2:$A$6000,$A331,Avaliacoes!$F$2:$F$6000,"II",Avaliacoes!$H$2:$H$6000,0,Avaliacoes!$G$2:$G$6000,"&lt;&gt;")*Dimensoes!$E$3)</f>
        <v/>
      </c>
      <c r="L331" s="0" t="str">
        <f aca="false">IF($A331="","",COUNTIFS(Avaliacoes!$A$2:$A$6000,$A331,Avaliacoes!$F$2:$F$6000,"III",Avaliacoes!$H$2:$H$6000,0,Avaliacoes!$G$2:$G$6000,"&lt;&gt;")*Dimensoes!$E$4)</f>
        <v/>
      </c>
      <c r="M331" s="0" t="str">
        <f aca="false">IF($A331="","",COUNTIFS(Avaliacoes!$A$2:$A$6000,$A331,Avaliacoes!$F$2:$F$6000,"IV",Avaliacoes!$H$2:$H$6000,0,Avaliacoes!$G$2:$G$6000,"&lt;&gt;")*Dimensoes!$E$5)</f>
        <v/>
      </c>
      <c r="N331" s="9" t="str">
        <f aca="false">IF($A331="","",IF(J331&gt;0,F331/J331,""))</f>
        <v/>
      </c>
      <c r="O331" s="9" t="str">
        <f aca="false">IF($A331="","",IF(K331&gt;0,G331/K331,""))</f>
        <v/>
      </c>
      <c r="P331" s="9" t="str">
        <f aca="false">IF($A331="","",IF(L331&gt;0,H331/L331,""))</f>
        <v/>
      </c>
      <c r="Q331" s="9" t="str">
        <f aca="false">IF($A331="","",IF(M331&gt;0,I331/M331,""))</f>
        <v/>
      </c>
      <c r="R331" s="17" t="str">
        <f aca="false">IF($A331="","",IF((IF(N331="",0,Dimensoes!$C$2)+IF(O331="",0,Dimensoes!$C$3)+IF(P331="",0,Dimensoes!$C$4)+IF(Q331="",0,Dimensoes!$C$5))=0,"",(IF(N331="",0,N331*Dimensoes!$C$2)+IF(O331="",0,O331*Dimensoes!$C$3)+IF(P331="",0,P331*Dimensoes!$C$4)+IF(Q331="",0,Q331*Dimensoes!$C$5))/(IF(N331="",0,Dimensoes!$C$2)+IF(O331="",0,Dimensoes!$C$3)+IF(P331="",0,Dimensoes!$C$4)+IF(Q331="",0,Dimensoes!$C$5))))</f>
        <v/>
      </c>
      <c r="S331" s="0" t="str">
        <f aca="false">IF(R331="","",IF(R331&lt;Faixas!$C$3,"vermelho",IF(R331&lt;Faixas!$C$4,"amarelo","verde")))</f>
        <v/>
      </c>
      <c r="T331" s="9" t="str">
        <f aca="false">IF($A331="","",IF(N331="",0,N331*Dimensoes!$C$2)+IF(O331="",0,O331*Dimensoes!$C$3)+IF(P331="",0,P331*Dimensoes!$C$4)+IF(Q331="",0,Q331*Dimensoes!$C$5))</f>
        <v/>
      </c>
      <c r="U331" s="0" t="str">
        <f aca="false">IF($A331="","",IF(OR(E331="concluida",E331="incompleta"),1,0))</f>
        <v/>
      </c>
    </row>
    <row r="332" customFormat="false" ht="15" hidden="false" customHeight="false" outlineLevel="0" collapsed="false">
      <c r="A332" s="0" t="str">
        <f aca="false">IF(Visitas!A332="","",Visitas!A332)</f>
        <v/>
      </c>
      <c r="B332" s="0" t="str">
        <f aca="false">IF($A332="","",Visitas!C332)</f>
        <v/>
      </c>
      <c r="C332" s="7" t="str">
        <f aca="false">IF($A332="","",Visitas!D332)</f>
        <v/>
      </c>
      <c r="D332" s="0" t="str">
        <f aca="false">IF($A332="","",Visitas!B332)</f>
        <v/>
      </c>
      <c r="E332" s="0" t="str">
        <f aca="false">IF($A332="","",Visitas!F332)</f>
        <v/>
      </c>
      <c r="F332" s="0" t="str">
        <f aca="false">IF($A332="","",SUMIFS(Avaliacoes!$G$2:$G$6000,Avaliacoes!$A$2:$A$6000,$A332,Avaliacoes!$F$2:$F$6000,"I",Avaliacoes!$H$2:$H$6000,0))</f>
        <v/>
      </c>
      <c r="G332" s="0" t="str">
        <f aca="false">IF($A332="","",SUMIFS(Avaliacoes!$G$2:$G$6000,Avaliacoes!$A$2:$A$6000,$A332,Avaliacoes!$F$2:$F$6000,"II",Avaliacoes!$H$2:$H$6000,0))</f>
        <v/>
      </c>
      <c r="H332" s="0" t="str">
        <f aca="false">IF($A332="","",SUMIFS(Avaliacoes!$G$2:$G$6000,Avaliacoes!$A$2:$A$6000,$A332,Avaliacoes!$F$2:$F$6000,"III",Avaliacoes!$H$2:$H$6000,0))</f>
        <v/>
      </c>
      <c r="I332" s="0" t="str">
        <f aca="false">IF($A332="","",SUMIFS(Avaliacoes!$G$2:$G$6000,Avaliacoes!$A$2:$A$6000,$A332,Avaliacoes!$F$2:$F$6000,"IV",Avaliacoes!$H$2:$H$6000,0))</f>
        <v/>
      </c>
      <c r="J332" s="0" t="str">
        <f aca="false">IF($A332="","",COUNTIFS(Avaliacoes!$A$2:$A$6000,$A332,Avaliacoes!$F$2:$F$6000,"I",Avaliacoes!$H$2:$H$6000,0,Avaliacoes!$G$2:$G$6000,"&lt;&gt;")*Dimensoes!$E$2)</f>
        <v/>
      </c>
      <c r="K332" s="0" t="str">
        <f aca="false">IF($A332="","",COUNTIFS(Avaliacoes!$A$2:$A$6000,$A332,Avaliacoes!$F$2:$F$6000,"II",Avaliacoes!$H$2:$H$6000,0,Avaliacoes!$G$2:$G$6000,"&lt;&gt;")*Dimensoes!$E$3)</f>
        <v/>
      </c>
      <c r="L332" s="0" t="str">
        <f aca="false">IF($A332="","",COUNTIFS(Avaliacoes!$A$2:$A$6000,$A332,Avaliacoes!$F$2:$F$6000,"III",Avaliacoes!$H$2:$H$6000,0,Avaliacoes!$G$2:$G$6000,"&lt;&gt;")*Dimensoes!$E$4)</f>
        <v/>
      </c>
      <c r="M332" s="0" t="str">
        <f aca="false">IF($A332="","",COUNTIFS(Avaliacoes!$A$2:$A$6000,$A332,Avaliacoes!$F$2:$F$6000,"IV",Avaliacoes!$H$2:$H$6000,0,Avaliacoes!$G$2:$G$6000,"&lt;&gt;")*Dimensoes!$E$5)</f>
        <v/>
      </c>
      <c r="N332" s="9" t="str">
        <f aca="false">IF($A332="","",IF(J332&gt;0,F332/J332,""))</f>
        <v/>
      </c>
      <c r="O332" s="9" t="str">
        <f aca="false">IF($A332="","",IF(K332&gt;0,G332/K332,""))</f>
        <v/>
      </c>
      <c r="P332" s="9" t="str">
        <f aca="false">IF($A332="","",IF(L332&gt;0,H332/L332,""))</f>
        <v/>
      </c>
      <c r="Q332" s="9" t="str">
        <f aca="false">IF($A332="","",IF(M332&gt;0,I332/M332,""))</f>
        <v/>
      </c>
      <c r="R332" s="17" t="str">
        <f aca="false">IF($A332="","",IF((IF(N332="",0,Dimensoes!$C$2)+IF(O332="",0,Dimensoes!$C$3)+IF(P332="",0,Dimensoes!$C$4)+IF(Q332="",0,Dimensoes!$C$5))=0,"",(IF(N332="",0,N332*Dimensoes!$C$2)+IF(O332="",0,O332*Dimensoes!$C$3)+IF(P332="",0,P332*Dimensoes!$C$4)+IF(Q332="",0,Q332*Dimensoes!$C$5))/(IF(N332="",0,Dimensoes!$C$2)+IF(O332="",0,Dimensoes!$C$3)+IF(P332="",0,Dimensoes!$C$4)+IF(Q332="",0,Dimensoes!$C$5))))</f>
        <v/>
      </c>
      <c r="S332" s="0" t="str">
        <f aca="false">IF(R332="","",IF(R332&lt;Faixas!$C$3,"vermelho",IF(R332&lt;Faixas!$C$4,"amarelo","verde")))</f>
        <v/>
      </c>
      <c r="T332" s="9" t="str">
        <f aca="false">IF($A332="","",IF(N332="",0,N332*Dimensoes!$C$2)+IF(O332="",0,O332*Dimensoes!$C$3)+IF(P332="",0,P332*Dimensoes!$C$4)+IF(Q332="",0,Q332*Dimensoes!$C$5))</f>
        <v/>
      </c>
      <c r="U332" s="0" t="str">
        <f aca="false">IF($A332="","",IF(OR(E332="concluida",E332="incompleta"),1,0))</f>
        <v/>
      </c>
    </row>
    <row r="333" customFormat="false" ht="15" hidden="false" customHeight="false" outlineLevel="0" collapsed="false">
      <c r="A333" s="0" t="str">
        <f aca="false">IF(Visitas!A333="","",Visitas!A333)</f>
        <v/>
      </c>
      <c r="B333" s="0" t="str">
        <f aca="false">IF($A333="","",Visitas!C333)</f>
        <v/>
      </c>
      <c r="C333" s="7" t="str">
        <f aca="false">IF($A333="","",Visitas!D333)</f>
        <v/>
      </c>
      <c r="D333" s="0" t="str">
        <f aca="false">IF($A333="","",Visitas!B333)</f>
        <v/>
      </c>
      <c r="E333" s="0" t="str">
        <f aca="false">IF($A333="","",Visitas!F333)</f>
        <v/>
      </c>
      <c r="F333" s="0" t="str">
        <f aca="false">IF($A333="","",SUMIFS(Avaliacoes!$G$2:$G$6000,Avaliacoes!$A$2:$A$6000,$A333,Avaliacoes!$F$2:$F$6000,"I",Avaliacoes!$H$2:$H$6000,0))</f>
        <v/>
      </c>
      <c r="G333" s="0" t="str">
        <f aca="false">IF($A333="","",SUMIFS(Avaliacoes!$G$2:$G$6000,Avaliacoes!$A$2:$A$6000,$A333,Avaliacoes!$F$2:$F$6000,"II",Avaliacoes!$H$2:$H$6000,0))</f>
        <v/>
      </c>
      <c r="H333" s="0" t="str">
        <f aca="false">IF($A333="","",SUMIFS(Avaliacoes!$G$2:$G$6000,Avaliacoes!$A$2:$A$6000,$A333,Avaliacoes!$F$2:$F$6000,"III",Avaliacoes!$H$2:$H$6000,0))</f>
        <v/>
      </c>
      <c r="I333" s="0" t="str">
        <f aca="false">IF($A333="","",SUMIFS(Avaliacoes!$G$2:$G$6000,Avaliacoes!$A$2:$A$6000,$A333,Avaliacoes!$F$2:$F$6000,"IV",Avaliacoes!$H$2:$H$6000,0))</f>
        <v/>
      </c>
      <c r="J333" s="0" t="str">
        <f aca="false">IF($A333="","",COUNTIFS(Avaliacoes!$A$2:$A$6000,$A333,Avaliacoes!$F$2:$F$6000,"I",Avaliacoes!$H$2:$H$6000,0,Avaliacoes!$G$2:$G$6000,"&lt;&gt;")*Dimensoes!$E$2)</f>
        <v/>
      </c>
      <c r="K333" s="0" t="str">
        <f aca="false">IF($A333="","",COUNTIFS(Avaliacoes!$A$2:$A$6000,$A333,Avaliacoes!$F$2:$F$6000,"II",Avaliacoes!$H$2:$H$6000,0,Avaliacoes!$G$2:$G$6000,"&lt;&gt;")*Dimensoes!$E$3)</f>
        <v/>
      </c>
      <c r="L333" s="0" t="str">
        <f aca="false">IF($A333="","",COUNTIFS(Avaliacoes!$A$2:$A$6000,$A333,Avaliacoes!$F$2:$F$6000,"III",Avaliacoes!$H$2:$H$6000,0,Avaliacoes!$G$2:$G$6000,"&lt;&gt;")*Dimensoes!$E$4)</f>
        <v/>
      </c>
      <c r="M333" s="0" t="str">
        <f aca="false">IF($A333="","",COUNTIFS(Avaliacoes!$A$2:$A$6000,$A333,Avaliacoes!$F$2:$F$6000,"IV",Avaliacoes!$H$2:$H$6000,0,Avaliacoes!$G$2:$G$6000,"&lt;&gt;")*Dimensoes!$E$5)</f>
        <v/>
      </c>
      <c r="N333" s="9" t="str">
        <f aca="false">IF($A333="","",IF(J333&gt;0,F333/J333,""))</f>
        <v/>
      </c>
      <c r="O333" s="9" t="str">
        <f aca="false">IF($A333="","",IF(K333&gt;0,G333/K333,""))</f>
        <v/>
      </c>
      <c r="P333" s="9" t="str">
        <f aca="false">IF($A333="","",IF(L333&gt;0,H333/L333,""))</f>
        <v/>
      </c>
      <c r="Q333" s="9" t="str">
        <f aca="false">IF($A333="","",IF(M333&gt;0,I333/M333,""))</f>
        <v/>
      </c>
      <c r="R333" s="17" t="str">
        <f aca="false">IF($A333="","",IF((IF(N333="",0,Dimensoes!$C$2)+IF(O333="",0,Dimensoes!$C$3)+IF(P333="",0,Dimensoes!$C$4)+IF(Q333="",0,Dimensoes!$C$5))=0,"",(IF(N333="",0,N333*Dimensoes!$C$2)+IF(O333="",0,O333*Dimensoes!$C$3)+IF(P333="",0,P333*Dimensoes!$C$4)+IF(Q333="",0,Q333*Dimensoes!$C$5))/(IF(N333="",0,Dimensoes!$C$2)+IF(O333="",0,Dimensoes!$C$3)+IF(P333="",0,Dimensoes!$C$4)+IF(Q333="",0,Dimensoes!$C$5))))</f>
        <v/>
      </c>
      <c r="S333" s="0" t="str">
        <f aca="false">IF(R333="","",IF(R333&lt;Faixas!$C$3,"vermelho",IF(R333&lt;Faixas!$C$4,"amarelo","verde")))</f>
        <v/>
      </c>
      <c r="T333" s="9" t="str">
        <f aca="false">IF($A333="","",IF(N333="",0,N333*Dimensoes!$C$2)+IF(O333="",0,O333*Dimensoes!$C$3)+IF(P333="",0,P333*Dimensoes!$C$4)+IF(Q333="",0,Q333*Dimensoes!$C$5))</f>
        <v/>
      </c>
      <c r="U333" s="0" t="str">
        <f aca="false">IF($A333="","",IF(OR(E333="concluida",E333="incompleta"),1,0))</f>
        <v/>
      </c>
    </row>
    <row r="334" customFormat="false" ht="15" hidden="false" customHeight="false" outlineLevel="0" collapsed="false">
      <c r="A334" s="0" t="str">
        <f aca="false">IF(Visitas!A334="","",Visitas!A334)</f>
        <v/>
      </c>
      <c r="B334" s="0" t="str">
        <f aca="false">IF($A334="","",Visitas!C334)</f>
        <v/>
      </c>
      <c r="C334" s="7" t="str">
        <f aca="false">IF($A334="","",Visitas!D334)</f>
        <v/>
      </c>
      <c r="D334" s="0" t="str">
        <f aca="false">IF($A334="","",Visitas!B334)</f>
        <v/>
      </c>
      <c r="E334" s="0" t="str">
        <f aca="false">IF($A334="","",Visitas!F334)</f>
        <v/>
      </c>
      <c r="F334" s="0" t="str">
        <f aca="false">IF($A334="","",SUMIFS(Avaliacoes!$G$2:$G$6000,Avaliacoes!$A$2:$A$6000,$A334,Avaliacoes!$F$2:$F$6000,"I",Avaliacoes!$H$2:$H$6000,0))</f>
        <v/>
      </c>
      <c r="G334" s="0" t="str">
        <f aca="false">IF($A334="","",SUMIFS(Avaliacoes!$G$2:$G$6000,Avaliacoes!$A$2:$A$6000,$A334,Avaliacoes!$F$2:$F$6000,"II",Avaliacoes!$H$2:$H$6000,0))</f>
        <v/>
      </c>
      <c r="H334" s="0" t="str">
        <f aca="false">IF($A334="","",SUMIFS(Avaliacoes!$G$2:$G$6000,Avaliacoes!$A$2:$A$6000,$A334,Avaliacoes!$F$2:$F$6000,"III",Avaliacoes!$H$2:$H$6000,0))</f>
        <v/>
      </c>
      <c r="I334" s="0" t="str">
        <f aca="false">IF($A334="","",SUMIFS(Avaliacoes!$G$2:$G$6000,Avaliacoes!$A$2:$A$6000,$A334,Avaliacoes!$F$2:$F$6000,"IV",Avaliacoes!$H$2:$H$6000,0))</f>
        <v/>
      </c>
      <c r="J334" s="0" t="str">
        <f aca="false">IF($A334="","",COUNTIFS(Avaliacoes!$A$2:$A$6000,$A334,Avaliacoes!$F$2:$F$6000,"I",Avaliacoes!$H$2:$H$6000,0,Avaliacoes!$G$2:$G$6000,"&lt;&gt;")*Dimensoes!$E$2)</f>
        <v/>
      </c>
      <c r="K334" s="0" t="str">
        <f aca="false">IF($A334="","",COUNTIFS(Avaliacoes!$A$2:$A$6000,$A334,Avaliacoes!$F$2:$F$6000,"II",Avaliacoes!$H$2:$H$6000,0,Avaliacoes!$G$2:$G$6000,"&lt;&gt;")*Dimensoes!$E$3)</f>
        <v/>
      </c>
      <c r="L334" s="0" t="str">
        <f aca="false">IF($A334="","",COUNTIFS(Avaliacoes!$A$2:$A$6000,$A334,Avaliacoes!$F$2:$F$6000,"III",Avaliacoes!$H$2:$H$6000,0,Avaliacoes!$G$2:$G$6000,"&lt;&gt;")*Dimensoes!$E$4)</f>
        <v/>
      </c>
      <c r="M334" s="0" t="str">
        <f aca="false">IF($A334="","",COUNTIFS(Avaliacoes!$A$2:$A$6000,$A334,Avaliacoes!$F$2:$F$6000,"IV",Avaliacoes!$H$2:$H$6000,0,Avaliacoes!$G$2:$G$6000,"&lt;&gt;")*Dimensoes!$E$5)</f>
        <v/>
      </c>
      <c r="N334" s="9" t="str">
        <f aca="false">IF($A334="","",IF(J334&gt;0,F334/J334,""))</f>
        <v/>
      </c>
      <c r="O334" s="9" t="str">
        <f aca="false">IF($A334="","",IF(K334&gt;0,G334/K334,""))</f>
        <v/>
      </c>
      <c r="P334" s="9" t="str">
        <f aca="false">IF($A334="","",IF(L334&gt;0,H334/L334,""))</f>
        <v/>
      </c>
      <c r="Q334" s="9" t="str">
        <f aca="false">IF($A334="","",IF(M334&gt;0,I334/M334,""))</f>
        <v/>
      </c>
      <c r="R334" s="17" t="str">
        <f aca="false">IF($A334="","",IF((IF(N334="",0,Dimensoes!$C$2)+IF(O334="",0,Dimensoes!$C$3)+IF(P334="",0,Dimensoes!$C$4)+IF(Q334="",0,Dimensoes!$C$5))=0,"",(IF(N334="",0,N334*Dimensoes!$C$2)+IF(O334="",0,O334*Dimensoes!$C$3)+IF(P334="",0,P334*Dimensoes!$C$4)+IF(Q334="",0,Q334*Dimensoes!$C$5))/(IF(N334="",0,Dimensoes!$C$2)+IF(O334="",0,Dimensoes!$C$3)+IF(P334="",0,Dimensoes!$C$4)+IF(Q334="",0,Dimensoes!$C$5))))</f>
        <v/>
      </c>
      <c r="S334" s="0" t="str">
        <f aca="false">IF(R334="","",IF(R334&lt;Faixas!$C$3,"vermelho",IF(R334&lt;Faixas!$C$4,"amarelo","verde")))</f>
        <v/>
      </c>
      <c r="T334" s="9" t="str">
        <f aca="false">IF($A334="","",IF(N334="",0,N334*Dimensoes!$C$2)+IF(O334="",0,O334*Dimensoes!$C$3)+IF(P334="",0,P334*Dimensoes!$C$4)+IF(Q334="",0,Q334*Dimensoes!$C$5))</f>
        <v/>
      </c>
      <c r="U334" s="0" t="str">
        <f aca="false">IF($A334="","",IF(OR(E334="concluida",E334="incompleta"),1,0))</f>
        <v/>
      </c>
    </row>
    <row r="335" customFormat="false" ht="15" hidden="false" customHeight="false" outlineLevel="0" collapsed="false">
      <c r="A335" s="0" t="str">
        <f aca="false">IF(Visitas!A335="","",Visitas!A335)</f>
        <v/>
      </c>
      <c r="B335" s="0" t="str">
        <f aca="false">IF($A335="","",Visitas!C335)</f>
        <v/>
      </c>
      <c r="C335" s="7" t="str">
        <f aca="false">IF($A335="","",Visitas!D335)</f>
        <v/>
      </c>
      <c r="D335" s="0" t="str">
        <f aca="false">IF($A335="","",Visitas!B335)</f>
        <v/>
      </c>
      <c r="E335" s="0" t="str">
        <f aca="false">IF($A335="","",Visitas!F335)</f>
        <v/>
      </c>
      <c r="F335" s="0" t="str">
        <f aca="false">IF($A335="","",SUMIFS(Avaliacoes!$G$2:$G$6000,Avaliacoes!$A$2:$A$6000,$A335,Avaliacoes!$F$2:$F$6000,"I",Avaliacoes!$H$2:$H$6000,0))</f>
        <v/>
      </c>
      <c r="G335" s="0" t="str">
        <f aca="false">IF($A335="","",SUMIFS(Avaliacoes!$G$2:$G$6000,Avaliacoes!$A$2:$A$6000,$A335,Avaliacoes!$F$2:$F$6000,"II",Avaliacoes!$H$2:$H$6000,0))</f>
        <v/>
      </c>
      <c r="H335" s="0" t="str">
        <f aca="false">IF($A335="","",SUMIFS(Avaliacoes!$G$2:$G$6000,Avaliacoes!$A$2:$A$6000,$A335,Avaliacoes!$F$2:$F$6000,"III",Avaliacoes!$H$2:$H$6000,0))</f>
        <v/>
      </c>
      <c r="I335" s="0" t="str">
        <f aca="false">IF($A335="","",SUMIFS(Avaliacoes!$G$2:$G$6000,Avaliacoes!$A$2:$A$6000,$A335,Avaliacoes!$F$2:$F$6000,"IV",Avaliacoes!$H$2:$H$6000,0))</f>
        <v/>
      </c>
      <c r="J335" s="0" t="str">
        <f aca="false">IF($A335="","",COUNTIFS(Avaliacoes!$A$2:$A$6000,$A335,Avaliacoes!$F$2:$F$6000,"I",Avaliacoes!$H$2:$H$6000,0,Avaliacoes!$G$2:$G$6000,"&lt;&gt;")*Dimensoes!$E$2)</f>
        <v/>
      </c>
      <c r="K335" s="0" t="str">
        <f aca="false">IF($A335="","",COUNTIFS(Avaliacoes!$A$2:$A$6000,$A335,Avaliacoes!$F$2:$F$6000,"II",Avaliacoes!$H$2:$H$6000,0,Avaliacoes!$G$2:$G$6000,"&lt;&gt;")*Dimensoes!$E$3)</f>
        <v/>
      </c>
      <c r="L335" s="0" t="str">
        <f aca="false">IF($A335="","",COUNTIFS(Avaliacoes!$A$2:$A$6000,$A335,Avaliacoes!$F$2:$F$6000,"III",Avaliacoes!$H$2:$H$6000,0,Avaliacoes!$G$2:$G$6000,"&lt;&gt;")*Dimensoes!$E$4)</f>
        <v/>
      </c>
      <c r="M335" s="0" t="str">
        <f aca="false">IF($A335="","",COUNTIFS(Avaliacoes!$A$2:$A$6000,$A335,Avaliacoes!$F$2:$F$6000,"IV",Avaliacoes!$H$2:$H$6000,0,Avaliacoes!$G$2:$G$6000,"&lt;&gt;")*Dimensoes!$E$5)</f>
        <v/>
      </c>
      <c r="N335" s="9" t="str">
        <f aca="false">IF($A335="","",IF(J335&gt;0,F335/J335,""))</f>
        <v/>
      </c>
      <c r="O335" s="9" t="str">
        <f aca="false">IF($A335="","",IF(K335&gt;0,G335/K335,""))</f>
        <v/>
      </c>
      <c r="P335" s="9" t="str">
        <f aca="false">IF($A335="","",IF(L335&gt;0,H335/L335,""))</f>
        <v/>
      </c>
      <c r="Q335" s="9" t="str">
        <f aca="false">IF($A335="","",IF(M335&gt;0,I335/M335,""))</f>
        <v/>
      </c>
      <c r="R335" s="17" t="str">
        <f aca="false">IF($A335="","",IF((IF(N335="",0,Dimensoes!$C$2)+IF(O335="",0,Dimensoes!$C$3)+IF(P335="",0,Dimensoes!$C$4)+IF(Q335="",0,Dimensoes!$C$5))=0,"",(IF(N335="",0,N335*Dimensoes!$C$2)+IF(O335="",0,O335*Dimensoes!$C$3)+IF(P335="",0,P335*Dimensoes!$C$4)+IF(Q335="",0,Q335*Dimensoes!$C$5))/(IF(N335="",0,Dimensoes!$C$2)+IF(O335="",0,Dimensoes!$C$3)+IF(P335="",0,Dimensoes!$C$4)+IF(Q335="",0,Dimensoes!$C$5))))</f>
        <v/>
      </c>
      <c r="S335" s="0" t="str">
        <f aca="false">IF(R335="","",IF(R335&lt;Faixas!$C$3,"vermelho",IF(R335&lt;Faixas!$C$4,"amarelo","verde")))</f>
        <v/>
      </c>
      <c r="T335" s="9" t="str">
        <f aca="false">IF($A335="","",IF(N335="",0,N335*Dimensoes!$C$2)+IF(O335="",0,O335*Dimensoes!$C$3)+IF(P335="",0,P335*Dimensoes!$C$4)+IF(Q335="",0,Q335*Dimensoes!$C$5))</f>
        <v/>
      </c>
      <c r="U335" s="0" t="str">
        <f aca="false">IF($A335="","",IF(OR(E335="concluida",E335="incompleta"),1,0))</f>
        <v/>
      </c>
    </row>
    <row r="336" customFormat="false" ht="15" hidden="false" customHeight="false" outlineLevel="0" collapsed="false">
      <c r="A336" s="0" t="str">
        <f aca="false">IF(Visitas!A336="","",Visitas!A336)</f>
        <v/>
      </c>
      <c r="B336" s="0" t="str">
        <f aca="false">IF($A336="","",Visitas!C336)</f>
        <v/>
      </c>
      <c r="C336" s="7" t="str">
        <f aca="false">IF($A336="","",Visitas!D336)</f>
        <v/>
      </c>
      <c r="D336" s="0" t="str">
        <f aca="false">IF($A336="","",Visitas!B336)</f>
        <v/>
      </c>
      <c r="E336" s="0" t="str">
        <f aca="false">IF($A336="","",Visitas!F336)</f>
        <v/>
      </c>
      <c r="F336" s="0" t="str">
        <f aca="false">IF($A336="","",SUMIFS(Avaliacoes!$G$2:$G$6000,Avaliacoes!$A$2:$A$6000,$A336,Avaliacoes!$F$2:$F$6000,"I",Avaliacoes!$H$2:$H$6000,0))</f>
        <v/>
      </c>
      <c r="G336" s="0" t="str">
        <f aca="false">IF($A336="","",SUMIFS(Avaliacoes!$G$2:$G$6000,Avaliacoes!$A$2:$A$6000,$A336,Avaliacoes!$F$2:$F$6000,"II",Avaliacoes!$H$2:$H$6000,0))</f>
        <v/>
      </c>
      <c r="H336" s="0" t="str">
        <f aca="false">IF($A336="","",SUMIFS(Avaliacoes!$G$2:$G$6000,Avaliacoes!$A$2:$A$6000,$A336,Avaliacoes!$F$2:$F$6000,"III",Avaliacoes!$H$2:$H$6000,0))</f>
        <v/>
      </c>
      <c r="I336" s="0" t="str">
        <f aca="false">IF($A336="","",SUMIFS(Avaliacoes!$G$2:$G$6000,Avaliacoes!$A$2:$A$6000,$A336,Avaliacoes!$F$2:$F$6000,"IV",Avaliacoes!$H$2:$H$6000,0))</f>
        <v/>
      </c>
      <c r="J336" s="0" t="str">
        <f aca="false">IF($A336="","",COUNTIFS(Avaliacoes!$A$2:$A$6000,$A336,Avaliacoes!$F$2:$F$6000,"I",Avaliacoes!$H$2:$H$6000,0,Avaliacoes!$G$2:$G$6000,"&lt;&gt;")*Dimensoes!$E$2)</f>
        <v/>
      </c>
      <c r="K336" s="0" t="str">
        <f aca="false">IF($A336="","",COUNTIFS(Avaliacoes!$A$2:$A$6000,$A336,Avaliacoes!$F$2:$F$6000,"II",Avaliacoes!$H$2:$H$6000,0,Avaliacoes!$G$2:$G$6000,"&lt;&gt;")*Dimensoes!$E$3)</f>
        <v/>
      </c>
      <c r="L336" s="0" t="str">
        <f aca="false">IF($A336="","",COUNTIFS(Avaliacoes!$A$2:$A$6000,$A336,Avaliacoes!$F$2:$F$6000,"III",Avaliacoes!$H$2:$H$6000,0,Avaliacoes!$G$2:$G$6000,"&lt;&gt;")*Dimensoes!$E$4)</f>
        <v/>
      </c>
      <c r="M336" s="0" t="str">
        <f aca="false">IF($A336="","",COUNTIFS(Avaliacoes!$A$2:$A$6000,$A336,Avaliacoes!$F$2:$F$6000,"IV",Avaliacoes!$H$2:$H$6000,0,Avaliacoes!$G$2:$G$6000,"&lt;&gt;")*Dimensoes!$E$5)</f>
        <v/>
      </c>
      <c r="N336" s="9" t="str">
        <f aca="false">IF($A336="","",IF(J336&gt;0,F336/J336,""))</f>
        <v/>
      </c>
      <c r="O336" s="9" t="str">
        <f aca="false">IF($A336="","",IF(K336&gt;0,G336/K336,""))</f>
        <v/>
      </c>
      <c r="P336" s="9" t="str">
        <f aca="false">IF($A336="","",IF(L336&gt;0,H336/L336,""))</f>
        <v/>
      </c>
      <c r="Q336" s="9" t="str">
        <f aca="false">IF($A336="","",IF(M336&gt;0,I336/M336,""))</f>
        <v/>
      </c>
      <c r="R336" s="17" t="str">
        <f aca="false">IF($A336="","",IF((IF(N336="",0,Dimensoes!$C$2)+IF(O336="",0,Dimensoes!$C$3)+IF(P336="",0,Dimensoes!$C$4)+IF(Q336="",0,Dimensoes!$C$5))=0,"",(IF(N336="",0,N336*Dimensoes!$C$2)+IF(O336="",0,O336*Dimensoes!$C$3)+IF(P336="",0,P336*Dimensoes!$C$4)+IF(Q336="",0,Q336*Dimensoes!$C$5))/(IF(N336="",0,Dimensoes!$C$2)+IF(O336="",0,Dimensoes!$C$3)+IF(P336="",0,Dimensoes!$C$4)+IF(Q336="",0,Dimensoes!$C$5))))</f>
        <v/>
      </c>
      <c r="S336" s="0" t="str">
        <f aca="false">IF(R336="","",IF(R336&lt;Faixas!$C$3,"vermelho",IF(R336&lt;Faixas!$C$4,"amarelo","verde")))</f>
        <v/>
      </c>
      <c r="T336" s="9" t="str">
        <f aca="false">IF($A336="","",IF(N336="",0,N336*Dimensoes!$C$2)+IF(O336="",0,O336*Dimensoes!$C$3)+IF(P336="",0,P336*Dimensoes!$C$4)+IF(Q336="",0,Q336*Dimensoes!$C$5))</f>
        <v/>
      </c>
      <c r="U336" s="0" t="str">
        <f aca="false">IF($A336="","",IF(OR(E336="concluida",E336="incompleta"),1,0))</f>
        <v/>
      </c>
    </row>
    <row r="337" customFormat="false" ht="15" hidden="false" customHeight="false" outlineLevel="0" collapsed="false">
      <c r="A337" s="0" t="str">
        <f aca="false">IF(Visitas!A337="","",Visitas!A337)</f>
        <v/>
      </c>
      <c r="B337" s="0" t="str">
        <f aca="false">IF($A337="","",Visitas!C337)</f>
        <v/>
      </c>
      <c r="C337" s="7" t="str">
        <f aca="false">IF($A337="","",Visitas!D337)</f>
        <v/>
      </c>
      <c r="D337" s="0" t="str">
        <f aca="false">IF($A337="","",Visitas!B337)</f>
        <v/>
      </c>
      <c r="E337" s="0" t="str">
        <f aca="false">IF($A337="","",Visitas!F337)</f>
        <v/>
      </c>
      <c r="F337" s="0" t="str">
        <f aca="false">IF($A337="","",SUMIFS(Avaliacoes!$G$2:$G$6000,Avaliacoes!$A$2:$A$6000,$A337,Avaliacoes!$F$2:$F$6000,"I",Avaliacoes!$H$2:$H$6000,0))</f>
        <v/>
      </c>
      <c r="G337" s="0" t="str">
        <f aca="false">IF($A337="","",SUMIFS(Avaliacoes!$G$2:$G$6000,Avaliacoes!$A$2:$A$6000,$A337,Avaliacoes!$F$2:$F$6000,"II",Avaliacoes!$H$2:$H$6000,0))</f>
        <v/>
      </c>
      <c r="H337" s="0" t="str">
        <f aca="false">IF($A337="","",SUMIFS(Avaliacoes!$G$2:$G$6000,Avaliacoes!$A$2:$A$6000,$A337,Avaliacoes!$F$2:$F$6000,"III",Avaliacoes!$H$2:$H$6000,0))</f>
        <v/>
      </c>
      <c r="I337" s="0" t="str">
        <f aca="false">IF($A337="","",SUMIFS(Avaliacoes!$G$2:$G$6000,Avaliacoes!$A$2:$A$6000,$A337,Avaliacoes!$F$2:$F$6000,"IV",Avaliacoes!$H$2:$H$6000,0))</f>
        <v/>
      </c>
      <c r="J337" s="0" t="str">
        <f aca="false">IF($A337="","",COUNTIFS(Avaliacoes!$A$2:$A$6000,$A337,Avaliacoes!$F$2:$F$6000,"I",Avaliacoes!$H$2:$H$6000,0,Avaliacoes!$G$2:$G$6000,"&lt;&gt;")*Dimensoes!$E$2)</f>
        <v/>
      </c>
      <c r="K337" s="0" t="str">
        <f aca="false">IF($A337="","",COUNTIFS(Avaliacoes!$A$2:$A$6000,$A337,Avaliacoes!$F$2:$F$6000,"II",Avaliacoes!$H$2:$H$6000,0,Avaliacoes!$G$2:$G$6000,"&lt;&gt;")*Dimensoes!$E$3)</f>
        <v/>
      </c>
      <c r="L337" s="0" t="str">
        <f aca="false">IF($A337="","",COUNTIFS(Avaliacoes!$A$2:$A$6000,$A337,Avaliacoes!$F$2:$F$6000,"III",Avaliacoes!$H$2:$H$6000,0,Avaliacoes!$G$2:$G$6000,"&lt;&gt;")*Dimensoes!$E$4)</f>
        <v/>
      </c>
      <c r="M337" s="0" t="str">
        <f aca="false">IF($A337="","",COUNTIFS(Avaliacoes!$A$2:$A$6000,$A337,Avaliacoes!$F$2:$F$6000,"IV",Avaliacoes!$H$2:$H$6000,0,Avaliacoes!$G$2:$G$6000,"&lt;&gt;")*Dimensoes!$E$5)</f>
        <v/>
      </c>
      <c r="N337" s="9" t="str">
        <f aca="false">IF($A337="","",IF(J337&gt;0,F337/J337,""))</f>
        <v/>
      </c>
      <c r="O337" s="9" t="str">
        <f aca="false">IF($A337="","",IF(K337&gt;0,G337/K337,""))</f>
        <v/>
      </c>
      <c r="P337" s="9" t="str">
        <f aca="false">IF($A337="","",IF(L337&gt;0,H337/L337,""))</f>
        <v/>
      </c>
      <c r="Q337" s="9" t="str">
        <f aca="false">IF($A337="","",IF(M337&gt;0,I337/M337,""))</f>
        <v/>
      </c>
      <c r="R337" s="17" t="str">
        <f aca="false">IF($A337="","",IF((IF(N337="",0,Dimensoes!$C$2)+IF(O337="",0,Dimensoes!$C$3)+IF(P337="",0,Dimensoes!$C$4)+IF(Q337="",0,Dimensoes!$C$5))=0,"",(IF(N337="",0,N337*Dimensoes!$C$2)+IF(O337="",0,O337*Dimensoes!$C$3)+IF(P337="",0,P337*Dimensoes!$C$4)+IF(Q337="",0,Q337*Dimensoes!$C$5))/(IF(N337="",0,Dimensoes!$C$2)+IF(O337="",0,Dimensoes!$C$3)+IF(P337="",0,Dimensoes!$C$4)+IF(Q337="",0,Dimensoes!$C$5))))</f>
        <v/>
      </c>
      <c r="S337" s="0" t="str">
        <f aca="false">IF(R337="","",IF(R337&lt;Faixas!$C$3,"vermelho",IF(R337&lt;Faixas!$C$4,"amarelo","verde")))</f>
        <v/>
      </c>
      <c r="T337" s="9" t="str">
        <f aca="false">IF($A337="","",IF(N337="",0,N337*Dimensoes!$C$2)+IF(O337="",0,O337*Dimensoes!$C$3)+IF(P337="",0,P337*Dimensoes!$C$4)+IF(Q337="",0,Q337*Dimensoes!$C$5))</f>
        <v/>
      </c>
      <c r="U337" s="0" t="str">
        <f aca="false">IF($A337="","",IF(OR(E337="concluida",E337="incompleta"),1,0))</f>
        <v/>
      </c>
    </row>
    <row r="338" customFormat="false" ht="15" hidden="false" customHeight="false" outlineLevel="0" collapsed="false">
      <c r="A338" s="0" t="str">
        <f aca="false">IF(Visitas!A338="","",Visitas!A338)</f>
        <v/>
      </c>
      <c r="B338" s="0" t="str">
        <f aca="false">IF($A338="","",Visitas!C338)</f>
        <v/>
      </c>
      <c r="C338" s="7" t="str">
        <f aca="false">IF($A338="","",Visitas!D338)</f>
        <v/>
      </c>
      <c r="D338" s="0" t="str">
        <f aca="false">IF($A338="","",Visitas!B338)</f>
        <v/>
      </c>
      <c r="E338" s="0" t="str">
        <f aca="false">IF($A338="","",Visitas!F338)</f>
        <v/>
      </c>
      <c r="F338" s="0" t="str">
        <f aca="false">IF($A338="","",SUMIFS(Avaliacoes!$G$2:$G$6000,Avaliacoes!$A$2:$A$6000,$A338,Avaliacoes!$F$2:$F$6000,"I",Avaliacoes!$H$2:$H$6000,0))</f>
        <v/>
      </c>
      <c r="G338" s="0" t="str">
        <f aca="false">IF($A338="","",SUMIFS(Avaliacoes!$G$2:$G$6000,Avaliacoes!$A$2:$A$6000,$A338,Avaliacoes!$F$2:$F$6000,"II",Avaliacoes!$H$2:$H$6000,0))</f>
        <v/>
      </c>
      <c r="H338" s="0" t="str">
        <f aca="false">IF($A338="","",SUMIFS(Avaliacoes!$G$2:$G$6000,Avaliacoes!$A$2:$A$6000,$A338,Avaliacoes!$F$2:$F$6000,"III",Avaliacoes!$H$2:$H$6000,0))</f>
        <v/>
      </c>
      <c r="I338" s="0" t="str">
        <f aca="false">IF($A338="","",SUMIFS(Avaliacoes!$G$2:$G$6000,Avaliacoes!$A$2:$A$6000,$A338,Avaliacoes!$F$2:$F$6000,"IV",Avaliacoes!$H$2:$H$6000,0))</f>
        <v/>
      </c>
      <c r="J338" s="0" t="str">
        <f aca="false">IF($A338="","",COUNTIFS(Avaliacoes!$A$2:$A$6000,$A338,Avaliacoes!$F$2:$F$6000,"I",Avaliacoes!$H$2:$H$6000,0,Avaliacoes!$G$2:$G$6000,"&lt;&gt;")*Dimensoes!$E$2)</f>
        <v/>
      </c>
      <c r="K338" s="0" t="str">
        <f aca="false">IF($A338="","",COUNTIFS(Avaliacoes!$A$2:$A$6000,$A338,Avaliacoes!$F$2:$F$6000,"II",Avaliacoes!$H$2:$H$6000,0,Avaliacoes!$G$2:$G$6000,"&lt;&gt;")*Dimensoes!$E$3)</f>
        <v/>
      </c>
      <c r="L338" s="0" t="str">
        <f aca="false">IF($A338="","",COUNTIFS(Avaliacoes!$A$2:$A$6000,$A338,Avaliacoes!$F$2:$F$6000,"III",Avaliacoes!$H$2:$H$6000,0,Avaliacoes!$G$2:$G$6000,"&lt;&gt;")*Dimensoes!$E$4)</f>
        <v/>
      </c>
      <c r="M338" s="0" t="str">
        <f aca="false">IF($A338="","",COUNTIFS(Avaliacoes!$A$2:$A$6000,$A338,Avaliacoes!$F$2:$F$6000,"IV",Avaliacoes!$H$2:$H$6000,0,Avaliacoes!$G$2:$G$6000,"&lt;&gt;")*Dimensoes!$E$5)</f>
        <v/>
      </c>
      <c r="N338" s="9" t="str">
        <f aca="false">IF($A338="","",IF(J338&gt;0,F338/J338,""))</f>
        <v/>
      </c>
      <c r="O338" s="9" t="str">
        <f aca="false">IF($A338="","",IF(K338&gt;0,G338/K338,""))</f>
        <v/>
      </c>
      <c r="P338" s="9" t="str">
        <f aca="false">IF($A338="","",IF(L338&gt;0,H338/L338,""))</f>
        <v/>
      </c>
      <c r="Q338" s="9" t="str">
        <f aca="false">IF($A338="","",IF(M338&gt;0,I338/M338,""))</f>
        <v/>
      </c>
      <c r="R338" s="17" t="str">
        <f aca="false">IF($A338="","",IF((IF(N338="",0,Dimensoes!$C$2)+IF(O338="",0,Dimensoes!$C$3)+IF(P338="",0,Dimensoes!$C$4)+IF(Q338="",0,Dimensoes!$C$5))=0,"",(IF(N338="",0,N338*Dimensoes!$C$2)+IF(O338="",0,O338*Dimensoes!$C$3)+IF(P338="",0,P338*Dimensoes!$C$4)+IF(Q338="",0,Q338*Dimensoes!$C$5))/(IF(N338="",0,Dimensoes!$C$2)+IF(O338="",0,Dimensoes!$C$3)+IF(P338="",0,Dimensoes!$C$4)+IF(Q338="",0,Dimensoes!$C$5))))</f>
        <v/>
      </c>
      <c r="S338" s="0" t="str">
        <f aca="false">IF(R338="","",IF(R338&lt;Faixas!$C$3,"vermelho",IF(R338&lt;Faixas!$C$4,"amarelo","verde")))</f>
        <v/>
      </c>
      <c r="T338" s="9" t="str">
        <f aca="false">IF($A338="","",IF(N338="",0,N338*Dimensoes!$C$2)+IF(O338="",0,O338*Dimensoes!$C$3)+IF(P338="",0,P338*Dimensoes!$C$4)+IF(Q338="",0,Q338*Dimensoes!$C$5))</f>
        <v/>
      </c>
      <c r="U338" s="0" t="str">
        <f aca="false">IF($A338="","",IF(OR(E338="concluida",E338="incompleta"),1,0))</f>
        <v/>
      </c>
    </row>
    <row r="339" customFormat="false" ht="15" hidden="false" customHeight="false" outlineLevel="0" collapsed="false">
      <c r="A339" s="0" t="str">
        <f aca="false">IF(Visitas!A339="","",Visitas!A339)</f>
        <v/>
      </c>
      <c r="B339" s="0" t="str">
        <f aca="false">IF($A339="","",Visitas!C339)</f>
        <v/>
      </c>
      <c r="C339" s="7" t="str">
        <f aca="false">IF($A339="","",Visitas!D339)</f>
        <v/>
      </c>
      <c r="D339" s="0" t="str">
        <f aca="false">IF($A339="","",Visitas!B339)</f>
        <v/>
      </c>
      <c r="E339" s="0" t="str">
        <f aca="false">IF($A339="","",Visitas!F339)</f>
        <v/>
      </c>
      <c r="F339" s="0" t="str">
        <f aca="false">IF($A339="","",SUMIFS(Avaliacoes!$G$2:$G$6000,Avaliacoes!$A$2:$A$6000,$A339,Avaliacoes!$F$2:$F$6000,"I",Avaliacoes!$H$2:$H$6000,0))</f>
        <v/>
      </c>
      <c r="G339" s="0" t="str">
        <f aca="false">IF($A339="","",SUMIFS(Avaliacoes!$G$2:$G$6000,Avaliacoes!$A$2:$A$6000,$A339,Avaliacoes!$F$2:$F$6000,"II",Avaliacoes!$H$2:$H$6000,0))</f>
        <v/>
      </c>
      <c r="H339" s="0" t="str">
        <f aca="false">IF($A339="","",SUMIFS(Avaliacoes!$G$2:$G$6000,Avaliacoes!$A$2:$A$6000,$A339,Avaliacoes!$F$2:$F$6000,"III",Avaliacoes!$H$2:$H$6000,0))</f>
        <v/>
      </c>
      <c r="I339" s="0" t="str">
        <f aca="false">IF($A339="","",SUMIFS(Avaliacoes!$G$2:$G$6000,Avaliacoes!$A$2:$A$6000,$A339,Avaliacoes!$F$2:$F$6000,"IV",Avaliacoes!$H$2:$H$6000,0))</f>
        <v/>
      </c>
      <c r="J339" s="0" t="str">
        <f aca="false">IF($A339="","",COUNTIFS(Avaliacoes!$A$2:$A$6000,$A339,Avaliacoes!$F$2:$F$6000,"I",Avaliacoes!$H$2:$H$6000,0,Avaliacoes!$G$2:$G$6000,"&lt;&gt;")*Dimensoes!$E$2)</f>
        <v/>
      </c>
      <c r="K339" s="0" t="str">
        <f aca="false">IF($A339="","",COUNTIFS(Avaliacoes!$A$2:$A$6000,$A339,Avaliacoes!$F$2:$F$6000,"II",Avaliacoes!$H$2:$H$6000,0,Avaliacoes!$G$2:$G$6000,"&lt;&gt;")*Dimensoes!$E$3)</f>
        <v/>
      </c>
      <c r="L339" s="0" t="str">
        <f aca="false">IF($A339="","",COUNTIFS(Avaliacoes!$A$2:$A$6000,$A339,Avaliacoes!$F$2:$F$6000,"III",Avaliacoes!$H$2:$H$6000,0,Avaliacoes!$G$2:$G$6000,"&lt;&gt;")*Dimensoes!$E$4)</f>
        <v/>
      </c>
      <c r="M339" s="0" t="str">
        <f aca="false">IF($A339="","",COUNTIFS(Avaliacoes!$A$2:$A$6000,$A339,Avaliacoes!$F$2:$F$6000,"IV",Avaliacoes!$H$2:$H$6000,0,Avaliacoes!$G$2:$G$6000,"&lt;&gt;")*Dimensoes!$E$5)</f>
        <v/>
      </c>
      <c r="N339" s="9" t="str">
        <f aca="false">IF($A339="","",IF(J339&gt;0,F339/J339,""))</f>
        <v/>
      </c>
      <c r="O339" s="9" t="str">
        <f aca="false">IF($A339="","",IF(K339&gt;0,G339/K339,""))</f>
        <v/>
      </c>
      <c r="P339" s="9" t="str">
        <f aca="false">IF($A339="","",IF(L339&gt;0,H339/L339,""))</f>
        <v/>
      </c>
      <c r="Q339" s="9" t="str">
        <f aca="false">IF($A339="","",IF(M339&gt;0,I339/M339,""))</f>
        <v/>
      </c>
      <c r="R339" s="17" t="str">
        <f aca="false">IF($A339="","",IF((IF(N339="",0,Dimensoes!$C$2)+IF(O339="",0,Dimensoes!$C$3)+IF(P339="",0,Dimensoes!$C$4)+IF(Q339="",0,Dimensoes!$C$5))=0,"",(IF(N339="",0,N339*Dimensoes!$C$2)+IF(O339="",0,O339*Dimensoes!$C$3)+IF(P339="",0,P339*Dimensoes!$C$4)+IF(Q339="",0,Q339*Dimensoes!$C$5))/(IF(N339="",0,Dimensoes!$C$2)+IF(O339="",0,Dimensoes!$C$3)+IF(P339="",0,Dimensoes!$C$4)+IF(Q339="",0,Dimensoes!$C$5))))</f>
        <v/>
      </c>
      <c r="S339" s="0" t="str">
        <f aca="false">IF(R339="","",IF(R339&lt;Faixas!$C$3,"vermelho",IF(R339&lt;Faixas!$C$4,"amarelo","verde")))</f>
        <v/>
      </c>
      <c r="T339" s="9" t="str">
        <f aca="false">IF($A339="","",IF(N339="",0,N339*Dimensoes!$C$2)+IF(O339="",0,O339*Dimensoes!$C$3)+IF(P339="",0,P339*Dimensoes!$C$4)+IF(Q339="",0,Q339*Dimensoes!$C$5))</f>
        <v/>
      </c>
      <c r="U339" s="0" t="str">
        <f aca="false">IF($A339="","",IF(OR(E339="concluida",E339="incompleta"),1,0))</f>
        <v/>
      </c>
    </row>
    <row r="340" customFormat="false" ht="15" hidden="false" customHeight="false" outlineLevel="0" collapsed="false">
      <c r="A340" s="0" t="str">
        <f aca="false">IF(Visitas!A340="","",Visitas!A340)</f>
        <v/>
      </c>
      <c r="B340" s="0" t="str">
        <f aca="false">IF($A340="","",Visitas!C340)</f>
        <v/>
      </c>
      <c r="C340" s="7" t="str">
        <f aca="false">IF($A340="","",Visitas!D340)</f>
        <v/>
      </c>
      <c r="D340" s="0" t="str">
        <f aca="false">IF($A340="","",Visitas!B340)</f>
        <v/>
      </c>
      <c r="E340" s="0" t="str">
        <f aca="false">IF($A340="","",Visitas!F340)</f>
        <v/>
      </c>
      <c r="F340" s="0" t="str">
        <f aca="false">IF($A340="","",SUMIFS(Avaliacoes!$G$2:$G$6000,Avaliacoes!$A$2:$A$6000,$A340,Avaliacoes!$F$2:$F$6000,"I",Avaliacoes!$H$2:$H$6000,0))</f>
        <v/>
      </c>
      <c r="G340" s="0" t="str">
        <f aca="false">IF($A340="","",SUMIFS(Avaliacoes!$G$2:$G$6000,Avaliacoes!$A$2:$A$6000,$A340,Avaliacoes!$F$2:$F$6000,"II",Avaliacoes!$H$2:$H$6000,0))</f>
        <v/>
      </c>
      <c r="H340" s="0" t="str">
        <f aca="false">IF($A340="","",SUMIFS(Avaliacoes!$G$2:$G$6000,Avaliacoes!$A$2:$A$6000,$A340,Avaliacoes!$F$2:$F$6000,"III",Avaliacoes!$H$2:$H$6000,0))</f>
        <v/>
      </c>
      <c r="I340" s="0" t="str">
        <f aca="false">IF($A340="","",SUMIFS(Avaliacoes!$G$2:$G$6000,Avaliacoes!$A$2:$A$6000,$A340,Avaliacoes!$F$2:$F$6000,"IV",Avaliacoes!$H$2:$H$6000,0))</f>
        <v/>
      </c>
      <c r="J340" s="0" t="str">
        <f aca="false">IF($A340="","",COUNTIFS(Avaliacoes!$A$2:$A$6000,$A340,Avaliacoes!$F$2:$F$6000,"I",Avaliacoes!$H$2:$H$6000,0,Avaliacoes!$G$2:$G$6000,"&lt;&gt;")*Dimensoes!$E$2)</f>
        <v/>
      </c>
      <c r="K340" s="0" t="str">
        <f aca="false">IF($A340="","",COUNTIFS(Avaliacoes!$A$2:$A$6000,$A340,Avaliacoes!$F$2:$F$6000,"II",Avaliacoes!$H$2:$H$6000,0,Avaliacoes!$G$2:$G$6000,"&lt;&gt;")*Dimensoes!$E$3)</f>
        <v/>
      </c>
      <c r="L340" s="0" t="str">
        <f aca="false">IF($A340="","",COUNTIFS(Avaliacoes!$A$2:$A$6000,$A340,Avaliacoes!$F$2:$F$6000,"III",Avaliacoes!$H$2:$H$6000,0,Avaliacoes!$G$2:$G$6000,"&lt;&gt;")*Dimensoes!$E$4)</f>
        <v/>
      </c>
      <c r="M340" s="0" t="str">
        <f aca="false">IF($A340="","",COUNTIFS(Avaliacoes!$A$2:$A$6000,$A340,Avaliacoes!$F$2:$F$6000,"IV",Avaliacoes!$H$2:$H$6000,0,Avaliacoes!$G$2:$G$6000,"&lt;&gt;")*Dimensoes!$E$5)</f>
        <v/>
      </c>
      <c r="N340" s="9" t="str">
        <f aca="false">IF($A340="","",IF(J340&gt;0,F340/J340,""))</f>
        <v/>
      </c>
      <c r="O340" s="9" t="str">
        <f aca="false">IF($A340="","",IF(K340&gt;0,G340/K340,""))</f>
        <v/>
      </c>
      <c r="P340" s="9" t="str">
        <f aca="false">IF($A340="","",IF(L340&gt;0,H340/L340,""))</f>
        <v/>
      </c>
      <c r="Q340" s="9" t="str">
        <f aca="false">IF($A340="","",IF(M340&gt;0,I340/M340,""))</f>
        <v/>
      </c>
      <c r="R340" s="17" t="str">
        <f aca="false">IF($A340="","",IF((IF(N340="",0,Dimensoes!$C$2)+IF(O340="",0,Dimensoes!$C$3)+IF(P340="",0,Dimensoes!$C$4)+IF(Q340="",0,Dimensoes!$C$5))=0,"",(IF(N340="",0,N340*Dimensoes!$C$2)+IF(O340="",0,O340*Dimensoes!$C$3)+IF(P340="",0,P340*Dimensoes!$C$4)+IF(Q340="",0,Q340*Dimensoes!$C$5))/(IF(N340="",0,Dimensoes!$C$2)+IF(O340="",0,Dimensoes!$C$3)+IF(P340="",0,Dimensoes!$C$4)+IF(Q340="",0,Dimensoes!$C$5))))</f>
        <v/>
      </c>
      <c r="S340" s="0" t="str">
        <f aca="false">IF(R340="","",IF(R340&lt;Faixas!$C$3,"vermelho",IF(R340&lt;Faixas!$C$4,"amarelo","verde")))</f>
        <v/>
      </c>
      <c r="T340" s="9" t="str">
        <f aca="false">IF($A340="","",IF(N340="",0,N340*Dimensoes!$C$2)+IF(O340="",0,O340*Dimensoes!$C$3)+IF(P340="",0,P340*Dimensoes!$C$4)+IF(Q340="",0,Q340*Dimensoes!$C$5))</f>
        <v/>
      </c>
      <c r="U340" s="0" t="str">
        <f aca="false">IF($A340="","",IF(OR(E340="concluida",E340="incompleta"),1,0))</f>
        <v/>
      </c>
    </row>
    <row r="341" customFormat="false" ht="15" hidden="false" customHeight="false" outlineLevel="0" collapsed="false">
      <c r="A341" s="0" t="str">
        <f aca="false">IF(Visitas!A341="","",Visitas!A341)</f>
        <v/>
      </c>
      <c r="B341" s="0" t="str">
        <f aca="false">IF($A341="","",Visitas!C341)</f>
        <v/>
      </c>
      <c r="C341" s="7" t="str">
        <f aca="false">IF($A341="","",Visitas!D341)</f>
        <v/>
      </c>
      <c r="D341" s="0" t="str">
        <f aca="false">IF($A341="","",Visitas!B341)</f>
        <v/>
      </c>
      <c r="E341" s="0" t="str">
        <f aca="false">IF($A341="","",Visitas!F341)</f>
        <v/>
      </c>
      <c r="F341" s="0" t="str">
        <f aca="false">IF($A341="","",SUMIFS(Avaliacoes!$G$2:$G$6000,Avaliacoes!$A$2:$A$6000,$A341,Avaliacoes!$F$2:$F$6000,"I",Avaliacoes!$H$2:$H$6000,0))</f>
        <v/>
      </c>
      <c r="G341" s="0" t="str">
        <f aca="false">IF($A341="","",SUMIFS(Avaliacoes!$G$2:$G$6000,Avaliacoes!$A$2:$A$6000,$A341,Avaliacoes!$F$2:$F$6000,"II",Avaliacoes!$H$2:$H$6000,0))</f>
        <v/>
      </c>
      <c r="H341" s="0" t="str">
        <f aca="false">IF($A341="","",SUMIFS(Avaliacoes!$G$2:$G$6000,Avaliacoes!$A$2:$A$6000,$A341,Avaliacoes!$F$2:$F$6000,"III",Avaliacoes!$H$2:$H$6000,0))</f>
        <v/>
      </c>
      <c r="I341" s="0" t="str">
        <f aca="false">IF($A341="","",SUMIFS(Avaliacoes!$G$2:$G$6000,Avaliacoes!$A$2:$A$6000,$A341,Avaliacoes!$F$2:$F$6000,"IV",Avaliacoes!$H$2:$H$6000,0))</f>
        <v/>
      </c>
      <c r="J341" s="0" t="str">
        <f aca="false">IF($A341="","",COUNTIFS(Avaliacoes!$A$2:$A$6000,$A341,Avaliacoes!$F$2:$F$6000,"I",Avaliacoes!$H$2:$H$6000,0,Avaliacoes!$G$2:$G$6000,"&lt;&gt;")*Dimensoes!$E$2)</f>
        <v/>
      </c>
      <c r="K341" s="0" t="str">
        <f aca="false">IF($A341="","",COUNTIFS(Avaliacoes!$A$2:$A$6000,$A341,Avaliacoes!$F$2:$F$6000,"II",Avaliacoes!$H$2:$H$6000,0,Avaliacoes!$G$2:$G$6000,"&lt;&gt;")*Dimensoes!$E$3)</f>
        <v/>
      </c>
      <c r="L341" s="0" t="str">
        <f aca="false">IF($A341="","",COUNTIFS(Avaliacoes!$A$2:$A$6000,$A341,Avaliacoes!$F$2:$F$6000,"III",Avaliacoes!$H$2:$H$6000,0,Avaliacoes!$G$2:$G$6000,"&lt;&gt;")*Dimensoes!$E$4)</f>
        <v/>
      </c>
      <c r="M341" s="0" t="str">
        <f aca="false">IF($A341="","",COUNTIFS(Avaliacoes!$A$2:$A$6000,$A341,Avaliacoes!$F$2:$F$6000,"IV",Avaliacoes!$H$2:$H$6000,0,Avaliacoes!$G$2:$G$6000,"&lt;&gt;")*Dimensoes!$E$5)</f>
        <v/>
      </c>
      <c r="N341" s="9" t="str">
        <f aca="false">IF($A341="","",IF(J341&gt;0,F341/J341,""))</f>
        <v/>
      </c>
      <c r="O341" s="9" t="str">
        <f aca="false">IF($A341="","",IF(K341&gt;0,G341/K341,""))</f>
        <v/>
      </c>
      <c r="P341" s="9" t="str">
        <f aca="false">IF($A341="","",IF(L341&gt;0,H341/L341,""))</f>
        <v/>
      </c>
      <c r="Q341" s="9" t="str">
        <f aca="false">IF($A341="","",IF(M341&gt;0,I341/M341,""))</f>
        <v/>
      </c>
      <c r="R341" s="17" t="str">
        <f aca="false">IF($A341="","",IF((IF(N341="",0,Dimensoes!$C$2)+IF(O341="",0,Dimensoes!$C$3)+IF(P341="",0,Dimensoes!$C$4)+IF(Q341="",0,Dimensoes!$C$5))=0,"",(IF(N341="",0,N341*Dimensoes!$C$2)+IF(O341="",0,O341*Dimensoes!$C$3)+IF(P341="",0,P341*Dimensoes!$C$4)+IF(Q341="",0,Q341*Dimensoes!$C$5))/(IF(N341="",0,Dimensoes!$C$2)+IF(O341="",0,Dimensoes!$C$3)+IF(P341="",0,Dimensoes!$C$4)+IF(Q341="",0,Dimensoes!$C$5))))</f>
        <v/>
      </c>
      <c r="S341" s="0" t="str">
        <f aca="false">IF(R341="","",IF(R341&lt;Faixas!$C$3,"vermelho",IF(R341&lt;Faixas!$C$4,"amarelo","verde")))</f>
        <v/>
      </c>
      <c r="T341" s="9" t="str">
        <f aca="false">IF($A341="","",IF(N341="",0,N341*Dimensoes!$C$2)+IF(O341="",0,O341*Dimensoes!$C$3)+IF(P341="",0,P341*Dimensoes!$C$4)+IF(Q341="",0,Q341*Dimensoes!$C$5))</f>
        <v/>
      </c>
      <c r="U341" s="0" t="str">
        <f aca="false">IF($A341="","",IF(OR(E341="concluida",E341="incompleta"),1,0))</f>
        <v/>
      </c>
    </row>
    <row r="342" customFormat="false" ht="15" hidden="false" customHeight="false" outlineLevel="0" collapsed="false">
      <c r="A342" s="0" t="str">
        <f aca="false">IF(Visitas!A342="","",Visitas!A342)</f>
        <v/>
      </c>
      <c r="B342" s="0" t="str">
        <f aca="false">IF($A342="","",Visitas!C342)</f>
        <v/>
      </c>
      <c r="C342" s="7" t="str">
        <f aca="false">IF($A342="","",Visitas!D342)</f>
        <v/>
      </c>
      <c r="D342" s="0" t="str">
        <f aca="false">IF($A342="","",Visitas!B342)</f>
        <v/>
      </c>
      <c r="E342" s="0" t="str">
        <f aca="false">IF($A342="","",Visitas!F342)</f>
        <v/>
      </c>
      <c r="F342" s="0" t="str">
        <f aca="false">IF($A342="","",SUMIFS(Avaliacoes!$G$2:$G$6000,Avaliacoes!$A$2:$A$6000,$A342,Avaliacoes!$F$2:$F$6000,"I",Avaliacoes!$H$2:$H$6000,0))</f>
        <v/>
      </c>
      <c r="G342" s="0" t="str">
        <f aca="false">IF($A342="","",SUMIFS(Avaliacoes!$G$2:$G$6000,Avaliacoes!$A$2:$A$6000,$A342,Avaliacoes!$F$2:$F$6000,"II",Avaliacoes!$H$2:$H$6000,0))</f>
        <v/>
      </c>
      <c r="H342" s="0" t="str">
        <f aca="false">IF($A342="","",SUMIFS(Avaliacoes!$G$2:$G$6000,Avaliacoes!$A$2:$A$6000,$A342,Avaliacoes!$F$2:$F$6000,"III",Avaliacoes!$H$2:$H$6000,0))</f>
        <v/>
      </c>
      <c r="I342" s="0" t="str">
        <f aca="false">IF($A342="","",SUMIFS(Avaliacoes!$G$2:$G$6000,Avaliacoes!$A$2:$A$6000,$A342,Avaliacoes!$F$2:$F$6000,"IV",Avaliacoes!$H$2:$H$6000,0))</f>
        <v/>
      </c>
      <c r="J342" s="0" t="str">
        <f aca="false">IF($A342="","",COUNTIFS(Avaliacoes!$A$2:$A$6000,$A342,Avaliacoes!$F$2:$F$6000,"I",Avaliacoes!$H$2:$H$6000,0,Avaliacoes!$G$2:$G$6000,"&lt;&gt;")*Dimensoes!$E$2)</f>
        <v/>
      </c>
      <c r="K342" s="0" t="str">
        <f aca="false">IF($A342="","",COUNTIFS(Avaliacoes!$A$2:$A$6000,$A342,Avaliacoes!$F$2:$F$6000,"II",Avaliacoes!$H$2:$H$6000,0,Avaliacoes!$G$2:$G$6000,"&lt;&gt;")*Dimensoes!$E$3)</f>
        <v/>
      </c>
      <c r="L342" s="0" t="str">
        <f aca="false">IF($A342="","",COUNTIFS(Avaliacoes!$A$2:$A$6000,$A342,Avaliacoes!$F$2:$F$6000,"III",Avaliacoes!$H$2:$H$6000,0,Avaliacoes!$G$2:$G$6000,"&lt;&gt;")*Dimensoes!$E$4)</f>
        <v/>
      </c>
      <c r="M342" s="0" t="str">
        <f aca="false">IF($A342="","",COUNTIFS(Avaliacoes!$A$2:$A$6000,$A342,Avaliacoes!$F$2:$F$6000,"IV",Avaliacoes!$H$2:$H$6000,0,Avaliacoes!$G$2:$G$6000,"&lt;&gt;")*Dimensoes!$E$5)</f>
        <v/>
      </c>
      <c r="N342" s="9" t="str">
        <f aca="false">IF($A342="","",IF(J342&gt;0,F342/J342,""))</f>
        <v/>
      </c>
      <c r="O342" s="9" t="str">
        <f aca="false">IF($A342="","",IF(K342&gt;0,G342/K342,""))</f>
        <v/>
      </c>
      <c r="P342" s="9" t="str">
        <f aca="false">IF($A342="","",IF(L342&gt;0,H342/L342,""))</f>
        <v/>
      </c>
      <c r="Q342" s="9" t="str">
        <f aca="false">IF($A342="","",IF(M342&gt;0,I342/M342,""))</f>
        <v/>
      </c>
      <c r="R342" s="17" t="str">
        <f aca="false">IF($A342="","",IF((IF(N342="",0,Dimensoes!$C$2)+IF(O342="",0,Dimensoes!$C$3)+IF(P342="",0,Dimensoes!$C$4)+IF(Q342="",0,Dimensoes!$C$5))=0,"",(IF(N342="",0,N342*Dimensoes!$C$2)+IF(O342="",0,O342*Dimensoes!$C$3)+IF(P342="",0,P342*Dimensoes!$C$4)+IF(Q342="",0,Q342*Dimensoes!$C$5))/(IF(N342="",0,Dimensoes!$C$2)+IF(O342="",0,Dimensoes!$C$3)+IF(P342="",0,Dimensoes!$C$4)+IF(Q342="",0,Dimensoes!$C$5))))</f>
        <v/>
      </c>
      <c r="S342" s="0" t="str">
        <f aca="false">IF(R342="","",IF(R342&lt;Faixas!$C$3,"vermelho",IF(R342&lt;Faixas!$C$4,"amarelo","verde")))</f>
        <v/>
      </c>
      <c r="T342" s="9" t="str">
        <f aca="false">IF($A342="","",IF(N342="",0,N342*Dimensoes!$C$2)+IF(O342="",0,O342*Dimensoes!$C$3)+IF(P342="",0,P342*Dimensoes!$C$4)+IF(Q342="",0,Q342*Dimensoes!$C$5))</f>
        <v/>
      </c>
      <c r="U342" s="0" t="str">
        <f aca="false">IF($A342="","",IF(OR(E342="concluida",E342="incompleta"),1,0))</f>
        <v/>
      </c>
    </row>
    <row r="343" customFormat="false" ht="15" hidden="false" customHeight="false" outlineLevel="0" collapsed="false">
      <c r="A343" s="0" t="str">
        <f aca="false">IF(Visitas!A343="","",Visitas!A343)</f>
        <v/>
      </c>
      <c r="B343" s="0" t="str">
        <f aca="false">IF($A343="","",Visitas!C343)</f>
        <v/>
      </c>
      <c r="C343" s="7" t="str">
        <f aca="false">IF($A343="","",Visitas!D343)</f>
        <v/>
      </c>
      <c r="D343" s="0" t="str">
        <f aca="false">IF($A343="","",Visitas!B343)</f>
        <v/>
      </c>
      <c r="E343" s="0" t="str">
        <f aca="false">IF($A343="","",Visitas!F343)</f>
        <v/>
      </c>
      <c r="F343" s="0" t="str">
        <f aca="false">IF($A343="","",SUMIFS(Avaliacoes!$G$2:$G$6000,Avaliacoes!$A$2:$A$6000,$A343,Avaliacoes!$F$2:$F$6000,"I",Avaliacoes!$H$2:$H$6000,0))</f>
        <v/>
      </c>
      <c r="G343" s="0" t="str">
        <f aca="false">IF($A343="","",SUMIFS(Avaliacoes!$G$2:$G$6000,Avaliacoes!$A$2:$A$6000,$A343,Avaliacoes!$F$2:$F$6000,"II",Avaliacoes!$H$2:$H$6000,0))</f>
        <v/>
      </c>
      <c r="H343" s="0" t="str">
        <f aca="false">IF($A343="","",SUMIFS(Avaliacoes!$G$2:$G$6000,Avaliacoes!$A$2:$A$6000,$A343,Avaliacoes!$F$2:$F$6000,"III",Avaliacoes!$H$2:$H$6000,0))</f>
        <v/>
      </c>
      <c r="I343" s="0" t="str">
        <f aca="false">IF($A343="","",SUMIFS(Avaliacoes!$G$2:$G$6000,Avaliacoes!$A$2:$A$6000,$A343,Avaliacoes!$F$2:$F$6000,"IV",Avaliacoes!$H$2:$H$6000,0))</f>
        <v/>
      </c>
      <c r="J343" s="0" t="str">
        <f aca="false">IF($A343="","",COUNTIFS(Avaliacoes!$A$2:$A$6000,$A343,Avaliacoes!$F$2:$F$6000,"I",Avaliacoes!$H$2:$H$6000,0,Avaliacoes!$G$2:$G$6000,"&lt;&gt;")*Dimensoes!$E$2)</f>
        <v/>
      </c>
      <c r="K343" s="0" t="str">
        <f aca="false">IF($A343="","",COUNTIFS(Avaliacoes!$A$2:$A$6000,$A343,Avaliacoes!$F$2:$F$6000,"II",Avaliacoes!$H$2:$H$6000,0,Avaliacoes!$G$2:$G$6000,"&lt;&gt;")*Dimensoes!$E$3)</f>
        <v/>
      </c>
      <c r="L343" s="0" t="str">
        <f aca="false">IF($A343="","",COUNTIFS(Avaliacoes!$A$2:$A$6000,$A343,Avaliacoes!$F$2:$F$6000,"III",Avaliacoes!$H$2:$H$6000,0,Avaliacoes!$G$2:$G$6000,"&lt;&gt;")*Dimensoes!$E$4)</f>
        <v/>
      </c>
      <c r="M343" s="0" t="str">
        <f aca="false">IF($A343="","",COUNTIFS(Avaliacoes!$A$2:$A$6000,$A343,Avaliacoes!$F$2:$F$6000,"IV",Avaliacoes!$H$2:$H$6000,0,Avaliacoes!$G$2:$G$6000,"&lt;&gt;")*Dimensoes!$E$5)</f>
        <v/>
      </c>
      <c r="N343" s="9" t="str">
        <f aca="false">IF($A343="","",IF(J343&gt;0,F343/J343,""))</f>
        <v/>
      </c>
      <c r="O343" s="9" t="str">
        <f aca="false">IF($A343="","",IF(K343&gt;0,G343/K343,""))</f>
        <v/>
      </c>
      <c r="P343" s="9" t="str">
        <f aca="false">IF($A343="","",IF(L343&gt;0,H343/L343,""))</f>
        <v/>
      </c>
      <c r="Q343" s="9" t="str">
        <f aca="false">IF($A343="","",IF(M343&gt;0,I343/M343,""))</f>
        <v/>
      </c>
      <c r="R343" s="17" t="str">
        <f aca="false">IF($A343="","",IF((IF(N343="",0,Dimensoes!$C$2)+IF(O343="",0,Dimensoes!$C$3)+IF(P343="",0,Dimensoes!$C$4)+IF(Q343="",0,Dimensoes!$C$5))=0,"",(IF(N343="",0,N343*Dimensoes!$C$2)+IF(O343="",0,O343*Dimensoes!$C$3)+IF(P343="",0,P343*Dimensoes!$C$4)+IF(Q343="",0,Q343*Dimensoes!$C$5))/(IF(N343="",0,Dimensoes!$C$2)+IF(O343="",0,Dimensoes!$C$3)+IF(P343="",0,Dimensoes!$C$4)+IF(Q343="",0,Dimensoes!$C$5))))</f>
        <v/>
      </c>
      <c r="S343" s="0" t="str">
        <f aca="false">IF(R343="","",IF(R343&lt;Faixas!$C$3,"vermelho",IF(R343&lt;Faixas!$C$4,"amarelo","verde")))</f>
        <v/>
      </c>
      <c r="T343" s="9" t="str">
        <f aca="false">IF($A343="","",IF(N343="",0,N343*Dimensoes!$C$2)+IF(O343="",0,O343*Dimensoes!$C$3)+IF(P343="",0,P343*Dimensoes!$C$4)+IF(Q343="",0,Q343*Dimensoes!$C$5))</f>
        <v/>
      </c>
      <c r="U343" s="0" t="str">
        <f aca="false">IF($A343="","",IF(OR(E343="concluida",E343="incompleta"),1,0))</f>
        <v/>
      </c>
    </row>
    <row r="344" customFormat="false" ht="15" hidden="false" customHeight="false" outlineLevel="0" collapsed="false">
      <c r="A344" s="0" t="str">
        <f aca="false">IF(Visitas!A344="","",Visitas!A344)</f>
        <v/>
      </c>
      <c r="B344" s="0" t="str">
        <f aca="false">IF($A344="","",Visitas!C344)</f>
        <v/>
      </c>
      <c r="C344" s="7" t="str">
        <f aca="false">IF($A344="","",Visitas!D344)</f>
        <v/>
      </c>
      <c r="D344" s="0" t="str">
        <f aca="false">IF($A344="","",Visitas!B344)</f>
        <v/>
      </c>
      <c r="E344" s="0" t="str">
        <f aca="false">IF($A344="","",Visitas!F344)</f>
        <v/>
      </c>
      <c r="F344" s="0" t="str">
        <f aca="false">IF($A344="","",SUMIFS(Avaliacoes!$G$2:$G$6000,Avaliacoes!$A$2:$A$6000,$A344,Avaliacoes!$F$2:$F$6000,"I",Avaliacoes!$H$2:$H$6000,0))</f>
        <v/>
      </c>
      <c r="G344" s="0" t="str">
        <f aca="false">IF($A344="","",SUMIFS(Avaliacoes!$G$2:$G$6000,Avaliacoes!$A$2:$A$6000,$A344,Avaliacoes!$F$2:$F$6000,"II",Avaliacoes!$H$2:$H$6000,0))</f>
        <v/>
      </c>
      <c r="H344" s="0" t="str">
        <f aca="false">IF($A344="","",SUMIFS(Avaliacoes!$G$2:$G$6000,Avaliacoes!$A$2:$A$6000,$A344,Avaliacoes!$F$2:$F$6000,"III",Avaliacoes!$H$2:$H$6000,0))</f>
        <v/>
      </c>
      <c r="I344" s="0" t="str">
        <f aca="false">IF($A344="","",SUMIFS(Avaliacoes!$G$2:$G$6000,Avaliacoes!$A$2:$A$6000,$A344,Avaliacoes!$F$2:$F$6000,"IV",Avaliacoes!$H$2:$H$6000,0))</f>
        <v/>
      </c>
      <c r="J344" s="0" t="str">
        <f aca="false">IF($A344="","",COUNTIFS(Avaliacoes!$A$2:$A$6000,$A344,Avaliacoes!$F$2:$F$6000,"I",Avaliacoes!$H$2:$H$6000,0,Avaliacoes!$G$2:$G$6000,"&lt;&gt;")*Dimensoes!$E$2)</f>
        <v/>
      </c>
      <c r="K344" s="0" t="str">
        <f aca="false">IF($A344="","",COUNTIFS(Avaliacoes!$A$2:$A$6000,$A344,Avaliacoes!$F$2:$F$6000,"II",Avaliacoes!$H$2:$H$6000,0,Avaliacoes!$G$2:$G$6000,"&lt;&gt;")*Dimensoes!$E$3)</f>
        <v/>
      </c>
      <c r="L344" s="0" t="str">
        <f aca="false">IF($A344="","",COUNTIFS(Avaliacoes!$A$2:$A$6000,$A344,Avaliacoes!$F$2:$F$6000,"III",Avaliacoes!$H$2:$H$6000,0,Avaliacoes!$G$2:$G$6000,"&lt;&gt;")*Dimensoes!$E$4)</f>
        <v/>
      </c>
      <c r="M344" s="0" t="str">
        <f aca="false">IF($A344="","",COUNTIFS(Avaliacoes!$A$2:$A$6000,$A344,Avaliacoes!$F$2:$F$6000,"IV",Avaliacoes!$H$2:$H$6000,0,Avaliacoes!$G$2:$G$6000,"&lt;&gt;")*Dimensoes!$E$5)</f>
        <v/>
      </c>
      <c r="N344" s="9" t="str">
        <f aca="false">IF($A344="","",IF(J344&gt;0,F344/J344,""))</f>
        <v/>
      </c>
      <c r="O344" s="9" t="str">
        <f aca="false">IF($A344="","",IF(K344&gt;0,G344/K344,""))</f>
        <v/>
      </c>
      <c r="P344" s="9" t="str">
        <f aca="false">IF($A344="","",IF(L344&gt;0,H344/L344,""))</f>
        <v/>
      </c>
      <c r="Q344" s="9" t="str">
        <f aca="false">IF($A344="","",IF(M344&gt;0,I344/M344,""))</f>
        <v/>
      </c>
      <c r="R344" s="17" t="str">
        <f aca="false">IF($A344="","",IF((IF(N344="",0,Dimensoes!$C$2)+IF(O344="",0,Dimensoes!$C$3)+IF(P344="",0,Dimensoes!$C$4)+IF(Q344="",0,Dimensoes!$C$5))=0,"",(IF(N344="",0,N344*Dimensoes!$C$2)+IF(O344="",0,O344*Dimensoes!$C$3)+IF(P344="",0,P344*Dimensoes!$C$4)+IF(Q344="",0,Q344*Dimensoes!$C$5))/(IF(N344="",0,Dimensoes!$C$2)+IF(O344="",0,Dimensoes!$C$3)+IF(P344="",0,Dimensoes!$C$4)+IF(Q344="",0,Dimensoes!$C$5))))</f>
        <v/>
      </c>
      <c r="S344" s="0" t="str">
        <f aca="false">IF(R344="","",IF(R344&lt;Faixas!$C$3,"vermelho",IF(R344&lt;Faixas!$C$4,"amarelo","verde")))</f>
        <v/>
      </c>
      <c r="T344" s="9" t="str">
        <f aca="false">IF($A344="","",IF(N344="",0,N344*Dimensoes!$C$2)+IF(O344="",0,O344*Dimensoes!$C$3)+IF(P344="",0,P344*Dimensoes!$C$4)+IF(Q344="",0,Q344*Dimensoes!$C$5))</f>
        <v/>
      </c>
      <c r="U344" s="0" t="str">
        <f aca="false">IF($A344="","",IF(OR(E344="concluida",E344="incompleta"),1,0))</f>
        <v/>
      </c>
    </row>
    <row r="345" customFormat="false" ht="15" hidden="false" customHeight="false" outlineLevel="0" collapsed="false">
      <c r="A345" s="0" t="str">
        <f aca="false">IF(Visitas!A345="","",Visitas!A345)</f>
        <v/>
      </c>
      <c r="B345" s="0" t="str">
        <f aca="false">IF($A345="","",Visitas!C345)</f>
        <v/>
      </c>
      <c r="C345" s="7" t="str">
        <f aca="false">IF($A345="","",Visitas!D345)</f>
        <v/>
      </c>
      <c r="D345" s="0" t="str">
        <f aca="false">IF($A345="","",Visitas!B345)</f>
        <v/>
      </c>
      <c r="E345" s="0" t="str">
        <f aca="false">IF($A345="","",Visitas!F345)</f>
        <v/>
      </c>
      <c r="F345" s="0" t="str">
        <f aca="false">IF($A345="","",SUMIFS(Avaliacoes!$G$2:$G$6000,Avaliacoes!$A$2:$A$6000,$A345,Avaliacoes!$F$2:$F$6000,"I",Avaliacoes!$H$2:$H$6000,0))</f>
        <v/>
      </c>
      <c r="G345" s="0" t="str">
        <f aca="false">IF($A345="","",SUMIFS(Avaliacoes!$G$2:$G$6000,Avaliacoes!$A$2:$A$6000,$A345,Avaliacoes!$F$2:$F$6000,"II",Avaliacoes!$H$2:$H$6000,0))</f>
        <v/>
      </c>
      <c r="H345" s="0" t="str">
        <f aca="false">IF($A345="","",SUMIFS(Avaliacoes!$G$2:$G$6000,Avaliacoes!$A$2:$A$6000,$A345,Avaliacoes!$F$2:$F$6000,"III",Avaliacoes!$H$2:$H$6000,0))</f>
        <v/>
      </c>
      <c r="I345" s="0" t="str">
        <f aca="false">IF($A345="","",SUMIFS(Avaliacoes!$G$2:$G$6000,Avaliacoes!$A$2:$A$6000,$A345,Avaliacoes!$F$2:$F$6000,"IV",Avaliacoes!$H$2:$H$6000,0))</f>
        <v/>
      </c>
      <c r="J345" s="0" t="str">
        <f aca="false">IF($A345="","",COUNTIFS(Avaliacoes!$A$2:$A$6000,$A345,Avaliacoes!$F$2:$F$6000,"I",Avaliacoes!$H$2:$H$6000,0,Avaliacoes!$G$2:$G$6000,"&lt;&gt;")*Dimensoes!$E$2)</f>
        <v/>
      </c>
      <c r="K345" s="0" t="str">
        <f aca="false">IF($A345="","",COUNTIFS(Avaliacoes!$A$2:$A$6000,$A345,Avaliacoes!$F$2:$F$6000,"II",Avaliacoes!$H$2:$H$6000,0,Avaliacoes!$G$2:$G$6000,"&lt;&gt;")*Dimensoes!$E$3)</f>
        <v/>
      </c>
      <c r="L345" s="0" t="str">
        <f aca="false">IF($A345="","",COUNTIFS(Avaliacoes!$A$2:$A$6000,$A345,Avaliacoes!$F$2:$F$6000,"III",Avaliacoes!$H$2:$H$6000,0,Avaliacoes!$G$2:$G$6000,"&lt;&gt;")*Dimensoes!$E$4)</f>
        <v/>
      </c>
      <c r="M345" s="0" t="str">
        <f aca="false">IF($A345="","",COUNTIFS(Avaliacoes!$A$2:$A$6000,$A345,Avaliacoes!$F$2:$F$6000,"IV",Avaliacoes!$H$2:$H$6000,0,Avaliacoes!$G$2:$G$6000,"&lt;&gt;")*Dimensoes!$E$5)</f>
        <v/>
      </c>
      <c r="N345" s="9" t="str">
        <f aca="false">IF($A345="","",IF(J345&gt;0,F345/J345,""))</f>
        <v/>
      </c>
      <c r="O345" s="9" t="str">
        <f aca="false">IF($A345="","",IF(K345&gt;0,G345/K345,""))</f>
        <v/>
      </c>
      <c r="P345" s="9" t="str">
        <f aca="false">IF($A345="","",IF(L345&gt;0,H345/L345,""))</f>
        <v/>
      </c>
      <c r="Q345" s="9" t="str">
        <f aca="false">IF($A345="","",IF(M345&gt;0,I345/M345,""))</f>
        <v/>
      </c>
      <c r="R345" s="17" t="str">
        <f aca="false">IF($A345="","",IF((IF(N345="",0,Dimensoes!$C$2)+IF(O345="",0,Dimensoes!$C$3)+IF(P345="",0,Dimensoes!$C$4)+IF(Q345="",0,Dimensoes!$C$5))=0,"",(IF(N345="",0,N345*Dimensoes!$C$2)+IF(O345="",0,O345*Dimensoes!$C$3)+IF(P345="",0,P345*Dimensoes!$C$4)+IF(Q345="",0,Q345*Dimensoes!$C$5))/(IF(N345="",0,Dimensoes!$C$2)+IF(O345="",0,Dimensoes!$C$3)+IF(P345="",0,Dimensoes!$C$4)+IF(Q345="",0,Dimensoes!$C$5))))</f>
        <v/>
      </c>
      <c r="S345" s="0" t="str">
        <f aca="false">IF(R345="","",IF(R345&lt;Faixas!$C$3,"vermelho",IF(R345&lt;Faixas!$C$4,"amarelo","verde")))</f>
        <v/>
      </c>
      <c r="T345" s="9" t="str">
        <f aca="false">IF($A345="","",IF(N345="",0,N345*Dimensoes!$C$2)+IF(O345="",0,O345*Dimensoes!$C$3)+IF(P345="",0,P345*Dimensoes!$C$4)+IF(Q345="",0,Q345*Dimensoes!$C$5))</f>
        <v/>
      </c>
      <c r="U345" s="0" t="str">
        <f aca="false">IF($A345="","",IF(OR(E345="concluida",E345="incompleta"),1,0))</f>
        <v/>
      </c>
    </row>
    <row r="346" customFormat="false" ht="15" hidden="false" customHeight="false" outlineLevel="0" collapsed="false">
      <c r="A346" s="0" t="str">
        <f aca="false">IF(Visitas!A346="","",Visitas!A346)</f>
        <v/>
      </c>
      <c r="B346" s="0" t="str">
        <f aca="false">IF($A346="","",Visitas!C346)</f>
        <v/>
      </c>
      <c r="C346" s="7" t="str">
        <f aca="false">IF($A346="","",Visitas!D346)</f>
        <v/>
      </c>
      <c r="D346" s="0" t="str">
        <f aca="false">IF($A346="","",Visitas!B346)</f>
        <v/>
      </c>
      <c r="E346" s="0" t="str">
        <f aca="false">IF($A346="","",Visitas!F346)</f>
        <v/>
      </c>
      <c r="F346" s="0" t="str">
        <f aca="false">IF($A346="","",SUMIFS(Avaliacoes!$G$2:$G$6000,Avaliacoes!$A$2:$A$6000,$A346,Avaliacoes!$F$2:$F$6000,"I",Avaliacoes!$H$2:$H$6000,0))</f>
        <v/>
      </c>
      <c r="G346" s="0" t="str">
        <f aca="false">IF($A346="","",SUMIFS(Avaliacoes!$G$2:$G$6000,Avaliacoes!$A$2:$A$6000,$A346,Avaliacoes!$F$2:$F$6000,"II",Avaliacoes!$H$2:$H$6000,0))</f>
        <v/>
      </c>
      <c r="H346" s="0" t="str">
        <f aca="false">IF($A346="","",SUMIFS(Avaliacoes!$G$2:$G$6000,Avaliacoes!$A$2:$A$6000,$A346,Avaliacoes!$F$2:$F$6000,"III",Avaliacoes!$H$2:$H$6000,0))</f>
        <v/>
      </c>
      <c r="I346" s="0" t="str">
        <f aca="false">IF($A346="","",SUMIFS(Avaliacoes!$G$2:$G$6000,Avaliacoes!$A$2:$A$6000,$A346,Avaliacoes!$F$2:$F$6000,"IV",Avaliacoes!$H$2:$H$6000,0))</f>
        <v/>
      </c>
      <c r="J346" s="0" t="str">
        <f aca="false">IF($A346="","",COUNTIFS(Avaliacoes!$A$2:$A$6000,$A346,Avaliacoes!$F$2:$F$6000,"I",Avaliacoes!$H$2:$H$6000,0,Avaliacoes!$G$2:$G$6000,"&lt;&gt;")*Dimensoes!$E$2)</f>
        <v/>
      </c>
      <c r="K346" s="0" t="str">
        <f aca="false">IF($A346="","",COUNTIFS(Avaliacoes!$A$2:$A$6000,$A346,Avaliacoes!$F$2:$F$6000,"II",Avaliacoes!$H$2:$H$6000,0,Avaliacoes!$G$2:$G$6000,"&lt;&gt;")*Dimensoes!$E$3)</f>
        <v/>
      </c>
      <c r="L346" s="0" t="str">
        <f aca="false">IF($A346="","",COUNTIFS(Avaliacoes!$A$2:$A$6000,$A346,Avaliacoes!$F$2:$F$6000,"III",Avaliacoes!$H$2:$H$6000,0,Avaliacoes!$G$2:$G$6000,"&lt;&gt;")*Dimensoes!$E$4)</f>
        <v/>
      </c>
      <c r="M346" s="0" t="str">
        <f aca="false">IF($A346="","",COUNTIFS(Avaliacoes!$A$2:$A$6000,$A346,Avaliacoes!$F$2:$F$6000,"IV",Avaliacoes!$H$2:$H$6000,0,Avaliacoes!$G$2:$G$6000,"&lt;&gt;")*Dimensoes!$E$5)</f>
        <v/>
      </c>
      <c r="N346" s="9" t="str">
        <f aca="false">IF($A346="","",IF(J346&gt;0,F346/J346,""))</f>
        <v/>
      </c>
      <c r="O346" s="9" t="str">
        <f aca="false">IF($A346="","",IF(K346&gt;0,G346/K346,""))</f>
        <v/>
      </c>
      <c r="P346" s="9" t="str">
        <f aca="false">IF($A346="","",IF(L346&gt;0,H346/L346,""))</f>
        <v/>
      </c>
      <c r="Q346" s="9" t="str">
        <f aca="false">IF($A346="","",IF(M346&gt;0,I346/M346,""))</f>
        <v/>
      </c>
      <c r="R346" s="17" t="str">
        <f aca="false">IF($A346="","",IF((IF(N346="",0,Dimensoes!$C$2)+IF(O346="",0,Dimensoes!$C$3)+IF(P346="",0,Dimensoes!$C$4)+IF(Q346="",0,Dimensoes!$C$5))=0,"",(IF(N346="",0,N346*Dimensoes!$C$2)+IF(O346="",0,O346*Dimensoes!$C$3)+IF(P346="",0,P346*Dimensoes!$C$4)+IF(Q346="",0,Q346*Dimensoes!$C$5))/(IF(N346="",0,Dimensoes!$C$2)+IF(O346="",0,Dimensoes!$C$3)+IF(P346="",0,Dimensoes!$C$4)+IF(Q346="",0,Dimensoes!$C$5))))</f>
        <v/>
      </c>
      <c r="S346" s="0" t="str">
        <f aca="false">IF(R346="","",IF(R346&lt;Faixas!$C$3,"vermelho",IF(R346&lt;Faixas!$C$4,"amarelo","verde")))</f>
        <v/>
      </c>
      <c r="T346" s="9" t="str">
        <f aca="false">IF($A346="","",IF(N346="",0,N346*Dimensoes!$C$2)+IF(O346="",0,O346*Dimensoes!$C$3)+IF(P346="",0,P346*Dimensoes!$C$4)+IF(Q346="",0,Q346*Dimensoes!$C$5))</f>
        <v/>
      </c>
      <c r="U346" s="0" t="str">
        <f aca="false">IF($A346="","",IF(OR(E346="concluida",E346="incompleta"),1,0))</f>
        <v/>
      </c>
    </row>
    <row r="347" customFormat="false" ht="15" hidden="false" customHeight="false" outlineLevel="0" collapsed="false">
      <c r="A347" s="0" t="str">
        <f aca="false">IF(Visitas!A347="","",Visitas!A347)</f>
        <v/>
      </c>
      <c r="B347" s="0" t="str">
        <f aca="false">IF($A347="","",Visitas!C347)</f>
        <v/>
      </c>
      <c r="C347" s="7" t="str">
        <f aca="false">IF($A347="","",Visitas!D347)</f>
        <v/>
      </c>
      <c r="D347" s="0" t="str">
        <f aca="false">IF($A347="","",Visitas!B347)</f>
        <v/>
      </c>
      <c r="E347" s="0" t="str">
        <f aca="false">IF($A347="","",Visitas!F347)</f>
        <v/>
      </c>
      <c r="F347" s="0" t="str">
        <f aca="false">IF($A347="","",SUMIFS(Avaliacoes!$G$2:$G$6000,Avaliacoes!$A$2:$A$6000,$A347,Avaliacoes!$F$2:$F$6000,"I",Avaliacoes!$H$2:$H$6000,0))</f>
        <v/>
      </c>
      <c r="G347" s="0" t="str">
        <f aca="false">IF($A347="","",SUMIFS(Avaliacoes!$G$2:$G$6000,Avaliacoes!$A$2:$A$6000,$A347,Avaliacoes!$F$2:$F$6000,"II",Avaliacoes!$H$2:$H$6000,0))</f>
        <v/>
      </c>
      <c r="H347" s="0" t="str">
        <f aca="false">IF($A347="","",SUMIFS(Avaliacoes!$G$2:$G$6000,Avaliacoes!$A$2:$A$6000,$A347,Avaliacoes!$F$2:$F$6000,"III",Avaliacoes!$H$2:$H$6000,0))</f>
        <v/>
      </c>
      <c r="I347" s="0" t="str">
        <f aca="false">IF($A347="","",SUMIFS(Avaliacoes!$G$2:$G$6000,Avaliacoes!$A$2:$A$6000,$A347,Avaliacoes!$F$2:$F$6000,"IV",Avaliacoes!$H$2:$H$6000,0))</f>
        <v/>
      </c>
      <c r="J347" s="0" t="str">
        <f aca="false">IF($A347="","",COUNTIFS(Avaliacoes!$A$2:$A$6000,$A347,Avaliacoes!$F$2:$F$6000,"I",Avaliacoes!$H$2:$H$6000,0,Avaliacoes!$G$2:$G$6000,"&lt;&gt;")*Dimensoes!$E$2)</f>
        <v/>
      </c>
      <c r="K347" s="0" t="str">
        <f aca="false">IF($A347="","",COUNTIFS(Avaliacoes!$A$2:$A$6000,$A347,Avaliacoes!$F$2:$F$6000,"II",Avaliacoes!$H$2:$H$6000,0,Avaliacoes!$G$2:$G$6000,"&lt;&gt;")*Dimensoes!$E$3)</f>
        <v/>
      </c>
      <c r="L347" s="0" t="str">
        <f aca="false">IF($A347="","",COUNTIFS(Avaliacoes!$A$2:$A$6000,$A347,Avaliacoes!$F$2:$F$6000,"III",Avaliacoes!$H$2:$H$6000,0,Avaliacoes!$G$2:$G$6000,"&lt;&gt;")*Dimensoes!$E$4)</f>
        <v/>
      </c>
      <c r="M347" s="0" t="str">
        <f aca="false">IF($A347="","",COUNTIFS(Avaliacoes!$A$2:$A$6000,$A347,Avaliacoes!$F$2:$F$6000,"IV",Avaliacoes!$H$2:$H$6000,0,Avaliacoes!$G$2:$G$6000,"&lt;&gt;")*Dimensoes!$E$5)</f>
        <v/>
      </c>
      <c r="N347" s="9" t="str">
        <f aca="false">IF($A347="","",IF(J347&gt;0,F347/J347,""))</f>
        <v/>
      </c>
      <c r="O347" s="9" t="str">
        <f aca="false">IF($A347="","",IF(K347&gt;0,G347/K347,""))</f>
        <v/>
      </c>
      <c r="P347" s="9" t="str">
        <f aca="false">IF($A347="","",IF(L347&gt;0,H347/L347,""))</f>
        <v/>
      </c>
      <c r="Q347" s="9" t="str">
        <f aca="false">IF($A347="","",IF(M347&gt;0,I347/M347,""))</f>
        <v/>
      </c>
      <c r="R347" s="17" t="str">
        <f aca="false">IF($A347="","",IF((IF(N347="",0,Dimensoes!$C$2)+IF(O347="",0,Dimensoes!$C$3)+IF(P347="",0,Dimensoes!$C$4)+IF(Q347="",0,Dimensoes!$C$5))=0,"",(IF(N347="",0,N347*Dimensoes!$C$2)+IF(O347="",0,O347*Dimensoes!$C$3)+IF(P347="",0,P347*Dimensoes!$C$4)+IF(Q347="",0,Q347*Dimensoes!$C$5))/(IF(N347="",0,Dimensoes!$C$2)+IF(O347="",0,Dimensoes!$C$3)+IF(P347="",0,Dimensoes!$C$4)+IF(Q347="",0,Dimensoes!$C$5))))</f>
        <v/>
      </c>
      <c r="S347" s="0" t="str">
        <f aca="false">IF(R347="","",IF(R347&lt;Faixas!$C$3,"vermelho",IF(R347&lt;Faixas!$C$4,"amarelo","verde")))</f>
        <v/>
      </c>
      <c r="T347" s="9" t="str">
        <f aca="false">IF($A347="","",IF(N347="",0,N347*Dimensoes!$C$2)+IF(O347="",0,O347*Dimensoes!$C$3)+IF(P347="",0,P347*Dimensoes!$C$4)+IF(Q347="",0,Q347*Dimensoes!$C$5))</f>
        <v/>
      </c>
      <c r="U347" s="0" t="str">
        <f aca="false">IF($A347="","",IF(OR(E347="concluida",E347="incompleta"),1,0))</f>
        <v/>
      </c>
    </row>
    <row r="348" customFormat="false" ht="15" hidden="false" customHeight="false" outlineLevel="0" collapsed="false">
      <c r="A348" s="0" t="str">
        <f aca="false">IF(Visitas!A348="","",Visitas!A348)</f>
        <v/>
      </c>
      <c r="B348" s="0" t="str">
        <f aca="false">IF($A348="","",Visitas!C348)</f>
        <v/>
      </c>
      <c r="C348" s="7" t="str">
        <f aca="false">IF($A348="","",Visitas!D348)</f>
        <v/>
      </c>
      <c r="D348" s="0" t="str">
        <f aca="false">IF($A348="","",Visitas!B348)</f>
        <v/>
      </c>
      <c r="E348" s="0" t="str">
        <f aca="false">IF($A348="","",Visitas!F348)</f>
        <v/>
      </c>
      <c r="F348" s="0" t="str">
        <f aca="false">IF($A348="","",SUMIFS(Avaliacoes!$G$2:$G$6000,Avaliacoes!$A$2:$A$6000,$A348,Avaliacoes!$F$2:$F$6000,"I",Avaliacoes!$H$2:$H$6000,0))</f>
        <v/>
      </c>
      <c r="G348" s="0" t="str">
        <f aca="false">IF($A348="","",SUMIFS(Avaliacoes!$G$2:$G$6000,Avaliacoes!$A$2:$A$6000,$A348,Avaliacoes!$F$2:$F$6000,"II",Avaliacoes!$H$2:$H$6000,0))</f>
        <v/>
      </c>
      <c r="H348" s="0" t="str">
        <f aca="false">IF($A348="","",SUMIFS(Avaliacoes!$G$2:$G$6000,Avaliacoes!$A$2:$A$6000,$A348,Avaliacoes!$F$2:$F$6000,"III",Avaliacoes!$H$2:$H$6000,0))</f>
        <v/>
      </c>
      <c r="I348" s="0" t="str">
        <f aca="false">IF($A348="","",SUMIFS(Avaliacoes!$G$2:$G$6000,Avaliacoes!$A$2:$A$6000,$A348,Avaliacoes!$F$2:$F$6000,"IV",Avaliacoes!$H$2:$H$6000,0))</f>
        <v/>
      </c>
      <c r="J348" s="0" t="str">
        <f aca="false">IF($A348="","",COUNTIFS(Avaliacoes!$A$2:$A$6000,$A348,Avaliacoes!$F$2:$F$6000,"I",Avaliacoes!$H$2:$H$6000,0,Avaliacoes!$G$2:$G$6000,"&lt;&gt;")*Dimensoes!$E$2)</f>
        <v/>
      </c>
      <c r="K348" s="0" t="str">
        <f aca="false">IF($A348="","",COUNTIFS(Avaliacoes!$A$2:$A$6000,$A348,Avaliacoes!$F$2:$F$6000,"II",Avaliacoes!$H$2:$H$6000,0,Avaliacoes!$G$2:$G$6000,"&lt;&gt;")*Dimensoes!$E$3)</f>
        <v/>
      </c>
      <c r="L348" s="0" t="str">
        <f aca="false">IF($A348="","",COUNTIFS(Avaliacoes!$A$2:$A$6000,$A348,Avaliacoes!$F$2:$F$6000,"III",Avaliacoes!$H$2:$H$6000,0,Avaliacoes!$G$2:$G$6000,"&lt;&gt;")*Dimensoes!$E$4)</f>
        <v/>
      </c>
      <c r="M348" s="0" t="str">
        <f aca="false">IF($A348="","",COUNTIFS(Avaliacoes!$A$2:$A$6000,$A348,Avaliacoes!$F$2:$F$6000,"IV",Avaliacoes!$H$2:$H$6000,0,Avaliacoes!$G$2:$G$6000,"&lt;&gt;")*Dimensoes!$E$5)</f>
        <v/>
      </c>
      <c r="N348" s="9" t="str">
        <f aca="false">IF($A348="","",IF(J348&gt;0,F348/J348,""))</f>
        <v/>
      </c>
      <c r="O348" s="9" t="str">
        <f aca="false">IF($A348="","",IF(K348&gt;0,G348/K348,""))</f>
        <v/>
      </c>
      <c r="P348" s="9" t="str">
        <f aca="false">IF($A348="","",IF(L348&gt;0,H348/L348,""))</f>
        <v/>
      </c>
      <c r="Q348" s="9" t="str">
        <f aca="false">IF($A348="","",IF(M348&gt;0,I348/M348,""))</f>
        <v/>
      </c>
      <c r="R348" s="17" t="str">
        <f aca="false">IF($A348="","",IF((IF(N348="",0,Dimensoes!$C$2)+IF(O348="",0,Dimensoes!$C$3)+IF(P348="",0,Dimensoes!$C$4)+IF(Q348="",0,Dimensoes!$C$5))=0,"",(IF(N348="",0,N348*Dimensoes!$C$2)+IF(O348="",0,O348*Dimensoes!$C$3)+IF(P348="",0,P348*Dimensoes!$C$4)+IF(Q348="",0,Q348*Dimensoes!$C$5))/(IF(N348="",0,Dimensoes!$C$2)+IF(O348="",0,Dimensoes!$C$3)+IF(P348="",0,Dimensoes!$C$4)+IF(Q348="",0,Dimensoes!$C$5))))</f>
        <v/>
      </c>
      <c r="S348" s="0" t="str">
        <f aca="false">IF(R348="","",IF(R348&lt;Faixas!$C$3,"vermelho",IF(R348&lt;Faixas!$C$4,"amarelo","verde")))</f>
        <v/>
      </c>
      <c r="T348" s="9" t="str">
        <f aca="false">IF($A348="","",IF(N348="",0,N348*Dimensoes!$C$2)+IF(O348="",0,O348*Dimensoes!$C$3)+IF(P348="",0,P348*Dimensoes!$C$4)+IF(Q348="",0,Q348*Dimensoes!$C$5))</f>
        <v/>
      </c>
      <c r="U348" s="0" t="str">
        <f aca="false">IF($A348="","",IF(OR(E348="concluida",E348="incompleta"),1,0))</f>
        <v/>
      </c>
    </row>
    <row r="349" customFormat="false" ht="15" hidden="false" customHeight="false" outlineLevel="0" collapsed="false">
      <c r="A349" s="0" t="str">
        <f aca="false">IF(Visitas!A349="","",Visitas!A349)</f>
        <v/>
      </c>
      <c r="B349" s="0" t="str">
        <f aca="false">IF($A349="","",Visitas!C349)</f>
        <v/>
      </c>
      <c r="C349" s="7" t="str">
        <f aca="false">IF($A349="","",Visitas!D349)</f>
        <v/>
      </c>
      <c r="D349" s="0" t="str">
        <f aca="false">IF($A349="","",Visitas!B349)</f>
        <v/>
      </c>
      <c r="E349" s="0" t="str">
        <f aca="false">IF($A349="","",Visitas!F349)</f>
        <v/>
      </c>
      <c r="F349" s="0" t="str">
        <f aca="false">IF($A349="","",SUMIFS(Avaliacoes!$G$2:$G$6000,Avaliacoes!$A$2:$A$6000,$A349,Avaliacoes!$F$2:$F$6000,"I",Avaliacoes!$H$2:$H$6000,0))</f>
        <v/>
      </c>
      <c r="G349" s="0" t="str">
        <f aca="false">IF($A349="","",SUMIFS(Avaliacoes!$G$2:$G$6000,Avaliacoes!$A$2:$A$6000,$A349,Avaliacoes!$F$2:$F$6000,"II",Avaliacoes!$H$2:$H$6000,0))</f>
        <v/>
      </c>
      <c r="H349" s="0" t="str">
        <f aca="false">IF($A349="","",SUMIFS(Avaliacoes!$G$2:$G$6000,Avaliacoes!$A$2:$A$6000,$A349,Avaliacoes!$F$2:$F$6000,"III",Avaliacoes!$H$2:$H$6000,0))</f>
        <v/>
      </c>
      <c r="I349" s="0" t="str">
        <f aca="false">IF($A349="","",SUMIFS(Avaliacoes!$G$2:$G$6000,Avaliacoes!$A$2:$A$6000,$A349,Avaliacoes!$F$2:$F$6000,"IV",Avaliacoes!$H$2:$H$6000,0))</f>
        <v/>
      </c>
      <c r="J349" s="0" t="str">
        <f aca="false">IF($A349="","",COUNTIFS(Avaliacoes!$A$2:$A$6000,$A349,Avaliacoes!$F$2:$F$6000,"I",Avaliacoes!$H$2:$H$6000,0,Avaliacoes!$G$2:$G$6000,"&lt;&gt;")*Dimensoes!$E$2)</f>
        <v/>
      </c>
      <c r="K349" s="0" t="str">
        <f aca="false">IF($A349="","",COUNTIFS(Avaliacoes!$A$2:$A$6000,$A349,Avaliacoes!$F$2:$F$6000,"II",Avaliacoes!$H$2:$H$6000,0,Avaliacoes!$G$2:$G$6000,"&lt;&gt;")*Dimensoes!$E$3)</f>
        <v/>
      </c>
      <c r="L349" s="0" t="str">
        <f aca="false">IF($A349="","",COUNTIFS(Avaliacoes!$A$2:$A$6000,$A349,Avaliacoes!$F$2:$F$6000,"III",Avaliacoes!$H$2:$H$6000,0,Avaliacoes!$G$2:$G$6000,"&lt;&gt;")*Dimensoes!$E$4)</f>
        <v/>
      </c>
      <c r="M349" s="0" t="str">
        <f aca="false">IF($A349="","",COUNTIFS(Avaliacoes!$A$2:$A$6000,$A349,Avaliacoes!$F$2:$F$6000,"IV",Avaliacoes!$H$2:$H$6000,0,Avaliacoes!$G$2:$G$6000,"&lt;&gt;")*Dimensoes!$E$5)</f>
        <v/>
      </c>
      <c r="N349" s="9" t="str">
        <f aca="false">IF($A349="","",IF(J349&gt;0,F349/J349,""))</f>
        <v/>
      </c>
      <c r="O349" s="9" t="str">
        <f aca="false">IF($A349="","",IF(K349&gt;0,G349/K349,""))</f>
        <v/>
      </c>
      <c r="P349" s="9" t="str">
        <f aca="false">IF($A349="","",IF(L349&gt;0,H349/L349,""))</f>
        <v/>
      </c>
      <c r="Q349" s="9" t="str">
        <f aca="false">IF($A349="","",IF(M349&gt;0,I349/M349,""))</f>
        <v/>
      </c>
      <c r="R349" s="17" t="str">
        <f aca="false">IF($A349="","",IF((IF(N349="",0,Dimensoes!$C$2)+IF(O349="",0,Dimensoes!$C$3)+IF(P349="",0,Dimensoes!$C$4)+IF(Q349="",0,Dimensoes!$C$5))=0,"",(IF(N349="",0,N349*Dimensoes!$C$2)+IF(O349="",0,O349*Dimensoes!$C$3)+IF(P349="",0,P349*Dimensoes!$C$4)+IF(Q349="",0,Q349*Dimensoes!$C$5))/(IF(N349="",0,Dimensoes!$C$2)+IF(O349="",0,Dimensoes!$C$3)+IF(P349="",0,Dimensoes!$C$4)+IF(Q349="",0,Dimensoes!$C$5))))</f>
        <v/>
      </c>
      <c r="S349" s="0" t="str">
        <f aca="false">IF(R349="","",IF(R349&lt;Faixas!$C$3,"vermelho",IF(R349&lt;Faixas!$C$4,"amarelo","verde")))</f>
        <v/>
      </c>
      <c r="T349" s="9" t="str">
        <f aca="false">IF($A349="","",IF(N349="",0,N349*Dimensoes!$C$2)+IF(O349="",0,O349*Dimensoes!$C$3)+IF(P349="",0,P349*Dimensoes!$C$4)+IF(Q349="",0,Q349*Dimensoes!$C$5))</f>
        <v/>
      </c>
      <c r="U349" s="0" t="str">
        <f aca="false">IF($A349="","",IF(OR(E349="concluida",E349="incompleta"),1,0))</f>
        <v/>
      </c>
    </row>
    <row r="350" customFormat="false" ht="15" hidden="false" customHeight="false" outlineLevel="0" collapsed="false">
      <c r="A350" s="0" t="str">
        <f aca="false">IF(Visitas!A350="","",Visitas!A350)</f>
        <v/>
      </c>
      <c r="B350" s="0" t="str">
        <f aca="false">IF($A350="","",Visitas!C350)</f>
        <v/>
      </c>
      <c r="C350" s="7" t="str">
        <f aca="false">IF($A350="","",Visitas!D350)</f>
        <v/>
      </c>
      <c r="D350" s="0" t="str">
        <f aca="false">IF($A350="","",Visitas!B350)</f>
        <v/>
      </c>
      <c r="E350" s="0" t="str">
        <f aca="false">IF($A350="","",Visitas!F350)</f>
        <v/>
      </c>
      <c r="F350" s="0" t="str">
        <f aca="false">IF($A350="","",SUMIFS(Avaliacoes!$G$2:$G$6000,Avaliacoes!$A$2:$A$6000,$A350,Avaliacoes!$F$2:$F$6000,"I",Avaliacoes!$H$2:$H$6000,0))</f>
        <v/>
      </c>
      <c r="G350" s="0" t="str">
        <f aca="false">IF($A350="","",SUMIFS(Avaliacoes!$G$2:$G$6000,Avaliacoes!$A$2:$A$6000,$A350,Avaliacoes!$F$2:$F$6000,"II",Avaliacoes!$H$2:$H$6000,0))</f>
        <v/>
      </c>
      <c r="H350" s="0" t="str">
        <f aca="false">IF($A350="","",SUMIFS(Avaliacoes!$G$2:$G$6000,Avaliacoes!$A$2:$A$6000,$A350,Avaliacoes!$F$2:$F$6000,"III",Avaliacoes!$H$2:$H$6000,0))</f>
        <v/>
      </c>
      <c r="I350" s="0" t="str">
        <f aca="false">IF($A350="","",SUMIFS(Avaliacoes!$G$2:$G$6000,Avaliacoes!$A$2:$A$6000,$A350,Avaliacoes!$F$2:$F$6000,"IV",Avaliacoes!$H$2:$H$6000,0))</f>
        <v/>
      </c>
      <c r="J350" s="0" t="str">
        <f aca="false">IF($A350="","",COUNTIFS(Avaliacoes!$A$2:$A$6000,$A350,Avaliacoes!$F$2:$F$6000,"I",Avaliacoes!$H$2:$H$6000,0,Avaliacoes!$G$2:$G$6000,"&lt;&gt;")*Dimensoes!$E$2)</f>
        <v/>
      </c>
      <c r="K350" s="0" t="str">
        <f aca="false">IF($A350="","",COUNTIFS(Avaliacoes!$A$2:$A$6000,$A350,Avaliacoes!$F$2:$F$6000,"II",Avaliacoes!$H$2:$H$6000,0,Avaliacoes!$G$2:$G$6000,"&lt;&gt;")*Dimensoes!$E$3)</f>
        <v/>
      </c>
      <c r="L350" s="0" t="str">
        <f aca="false">IF($A350="","",COUNTIFS(Avaliacoes!$A$2:$A$6000,$A350,Avaliacoes!$F$2:$F$6000,"III",Avaliacoes!$H$2:$H$6000,0,Avaliacoes!$G$2:$G$6000,"&lt;&gt;")*Dimensoes!$E$4)</f>
        <v/>
      </c>
      <c r="M350" s="0" t="str">
        <f aca="false">IF($A350="","",COUNTIFS(Avaliacoes!$A$2:$A$6000,$A350,Avaliacoes!$F$2:$F$6000,"IV",Avaliacoes!$H$2:$H$6000,0,Avaliacoes!$G$2:$G$6000,"&lt;&gt;")*Dimensoes!$E$5)</f>
        <v/>
      </c>
      <c r="N350" s="9" t="str">
        <f aca="false">IF($A350="","",IF(J350&gt;0,F350/J350,""))</f>
        <v/>
      </c>
      <c r="O350" s="9" t="str">
        <f aca="false">IF($A350="","",IF(K350&gt;0,G350/K350,""))</f>
        <v/>
      </c>
      <c r="P350" s="9" t="str">
        <f aca="false">IF($A350="","",IF(L350&gt;0,H350/L350,""))</f>
        <v/>
      </c>
      <c r="Q350" s="9" t="str">
        <f aca="false">IF($A350="","",IF(M350&gt;0,I350/M350,""))</f>
        <v/>
      </c>
      <c r="R350" s="17" t="str">
        <f aca="false">IF($A350="","",IF((IF(N350="",0,Dimensoes!$C$2)+IF(O350="",0,Dimensoes!$C$3)+IF(P350="",0,Dimensoes!$C$4)+IF(Q350="",0,Dimensoes!$C$5))=0,"",(IF(N350="",0,N350*Dimensoes!$C$2)+IF(O350="",0,O350*Dimensoes!$C$3)+IF(P350="",0,P350*Dimensoes!$C$4)+IF(Q350="",0,Q350*Dimensoes!$C$5))/(IF(N350="",0,Dimensoes!$C$2)+IF(O350="",0,Dimensoes!$C$3)+IF(P350="",0,Dimensoes!$C$4)+IF(Q350="",0,Dimensoes!$C$5))))</f>
        <v/>
      </c>
      <c r="S350" s="0" t="str">
        <f aca="false">IF(R350="","",IF(R350&lt;Faixas!$C$3,"vermelho",IF(R350&lt;Faixas!$C$4,"amarelo","verde")))</f>
        <v/>
      </c>
      <c r="T350" s="9" t="str">
        <f aca="false">IF($A350="","",IF(N350="",0,N350*Dimensoes!$C$2)+IF(O350="",0,O350*Dimensoes!$C$3)+IF(P350="",0,P350*Dimensoes!$C$4)+IF(Q350="",0,Q350*Dimensoes!$C$5))</f>
        <v/>
      </c>
      <c r="U350" s="0" t="str">
        <f aca="false">IF($A350="","",IF(OR(E350="concluida",E350="incompleta"),1,0))</f>
        <v/>
      </c>
    </row>
    <row r="351" customFormat="false" ht="15" hidden="false" customHeight="false" outlineLevel="0" collapsed="false">
      <c r="A351" s="0" t="str">
        <f aca="false">IF(Visitas!A351="","",Visitas!A351)</f>
        <v/>
      </c>
      <c r="B351" s="0" t="str">
        <f aca="false">IF($A351="","",Visitas!C351)</f>
        <v/>
      </c>
      <c r="C351" s="7" t="str">
        <f aca="false">IF($A351="","",Visitas!D351)</f>
        <v/>
      </c>
      <c r="D351" s="0" t="str">
        <f aca="false">IF($A351="","",Visitas!B351)</f>
        <v/>
      </c>
      <c r="E351" s="0" t="str">
        <f aca="false">IF($A351="","",Visitas!F351)</f>
        <v/>
      </c>
      <c r="F351" s="0" t="str">
        <f aca="false">IF($A351="","",SUMIFS(Avaliacoes!$G$2:$G$6000,Avaliacoes!$A$2:$A$6000,$A351,Avaliacoes!$F$2:$F$6000,"I",Avaliacoes!$H$2:$H$6000,0))</f>
        <v/>
      </c>
      <c r="G351" s="0" t="str">
        <f aca="false">IF($A351="","",SUMIFS(Avaliacoes!$G$2:$G$6000,Avaliacoes!$A$2:$A$6000,$A351,Avaliacoes!$F$2:$F$6000,"II",Avaliacoes!$H$2:$H$6000,0))</f>
        <v/>
      </c>
      <c r="H351" s="0" t="str">
        <f aca="false">IF($A351="","",SUMIFS(Avaliacoes!$G$2:$G$6000,Avaliacoes!$A$2:$A$6000,$A351,Avaliacoes!$F$2:$F$6000,"III",Avaliacoes!$H$2:$H$6000,0))</f>
        <v/>
      </c>
      <c r="I351" s="0" t="str">
        <f aca="false">IF($A351="","",SUMIFS(Avaliacoes!$G$2:$G$6000,Avaliacoes!$A$2:$A$6000,$A351,Avaliacoes!$F$2:$F$6000,"IV",Avaliacoes!$H$2:$H$6000,0))</f>
        <v/>
      </c>
      <c r="J351" s="0" t="str">
        <f aca="false">IF($A351="","",COUNTIFS(Avaliacoes!$A$2:$A$6000,$A351,Avaliacoes!$F$2:$F$6000,"I",Avaliacoes!$H$2:$H$6000,0,Avaliacoes!$G$2:$G$6000,"&lt;&gt;")*Dimensoes!$E$2)</f>
        <v/>
      </c>
      <c r="K351" s="0" t="str">
        <f aca="false">IF($A351="","",COUNTIFS(Avaliacoes!$A$2:$A$6000,$A351,Avaliacoes!$F$2:$F$6000,"II",Avaliacoes!$H$2:$H$6000,0,Avaliacoes!$G$2:$G$6000,"&lt;&gt;")*Dimensoes!$E$3)</f>
        <v/>
      </c>
      <c r="L351" s="0" t="str">
        <f aca="false">IF($A351="","",COUNTIFS(Avaliacoes!$A$2:$A$6000,$A351,Avaliacoes!$F$2:$F$6000,"III",Avaliacoes!$H$2:$H$6000,0,Avaliacoes!$G$2:$G$6000,"&lt;&gt;")*Dimensoes!$E$4)</f>
        <v/>
      </c>
      <c r="M351" s="0" t="str">
        <f aca="false">IF($A351="","",COUNTIFS(Avaliacoes!$A$2:$A$6000,$A351,Avaliacoes!$F$2:$F$6000,"IV",Avaliacoes!$H$2:$H$6000,0,Avaliacoes!$G$2:$G$6000,"&lt;&gt;")*Dimensoes!$E$5)</f>
        <v/>
      </c>
      <c r="N351" s="9" t="str">
        <f aca="false">IF($A351="","",IF(J351&gt;0,F351/J351,""))</f>
        <v/>
      </c>
      <c r="O351" s="9" t="str">
        <f aca="false">IF($A351="","",IF(K351&gt;0,G351/K351,""))</f>
        <v/>
      </c>
      <c r="P351" s="9" t="str">
        <f aca="false">IF($A351="","",IF(L351&gt;0,H351/L351,""))</f>
        <v/>
      </c>
      <c r="Q351" s="9" t="str">
        <f aca="false">IF($A351="","",IF(M351&gt;0,I351/M351,""))</f>
        <v/>
      </c>
      <c r="R351" s="17" t="str">
        <f aca="false">IF($A351="","",IF((IF(N351="",0,Dimensoes!$C$2)+IF(O351="",0,Dimensoes!$C$3)+IF(P351="",0,Dimensoes!$C$4)+IF(Q351="",0,Dimensoes!$C$5))=0,"",(IF(N351="",0,N351*Dimensoes!$C$2)+IF(O351="",0,O351*Dimensoes!$C$3)+IF(P351="",0,P351*Dimensoes!$C$4)+IF(Q351="",0,Q351*Dimensoes!$C$5))/(IF(N351="",0,Dimensoes!$C$2)+IF(O351="",0,Dimensoes!$C$3)+IF(P351="",0,Dimensoes!$C$4)+IF(Q351="",0,Dimensoes!$C$5))))</f>
        <v/>
      </c>
      <c r="S351" s="0" t="str">
        <f aca="false">IF(R351="","",IF(R351&lt;Faixas!$C$3,"vermelho",IF(R351&lt;Faixas!$C$4,"amarelo","verde")))</f>
        <v/>
      </c>
      <c r="T351" s="9" t="str">
        <f aca="false">IF($A351="","",IF(N351="",0,N351*Dimensoes!$C$2)+IF(O351="",0,O351*Dimensoes!$C$3)+IF(P351="",0,P351*Dimensoes!$C$4)+IF(Q351="",0,Q351*Dimensoes!$C$5))</f>
        <v/>
      </c>
      <c r="U351" s="0" t="str">
        <f aca="false">IF($A351="","",IF(OR(E351="concluida",E351="incompleta"),1,0))</f>
        <v/>
      </c>
    </row>
    <row r="352" customFormat="false" ht="15" hidden="false" customHeight="false" outlineLevel="0" collapsed="false">
      <c r="A352" s="0" t="str">
        <f aca="false">IF(Visitas!A352="","",Visitas!A352)</f>
        <v/>
      </c>
      <c r="B352" s="0" t="str">
        <f aca="false">IF($A352="","",Visitas!C352)</f>
        <v/>
      </c>
      <c r="C352" s="7" t="str">
        <f aca="false">IF($A352="","",Visitas!D352)</f>
        <v/>
      </c>
      <c r="D352" s="0" t="str">
        <f aca="false">IF($A352="","",Visitas!B352)</f>
        <v/>
      </c>
      <c r="E352" s="0" t="str">
        <f aca="false">IF($A352="","",Visitas!F352)</f>
        <v/>
      </c>
      <c r="F352" s="0" t="str">
        <f aca="false">IF($A352="","",SUMIFS(Avaliacoes!$G$2:$G$6000,Avaliacoes!$A$2:$A$6000,$A352,Avaliacoes!$F$2:$F$6000,"I",Avaliacoes!$H$2:$H$6000,0))</f>
        <v/>
      </c>
      <c r="G352" s="0" t="str">
        <f aca="false">IF($A352="","",SUMIFS(Avaliacoes!$G$2:$G$6000,Avaliacoes!$A$2:$A$6000,$A352,Avaliacoes!$F$2:$F$6000,"II",Avaliacoes!$H$2:$H$6000,0))</f>
        <v/>
      </c>
      <c r="H352" s="0" t="str">
        <f aca="false">IF($A352="","",SUMIFS(Avaliacoes!$G$2:$G$6000,Avaliacoes!$A$2:$A$6000,$A352,Avaliacoes!$F$2:$F$6000,"III",Avaliacoes!$H$2:$H$6000,0))</f>
        <v/>
      </c>
      <c r="I352" s="0" t="str">
        <f aca="false">IF($A352="","",SUMIFS(Avaliacoes!$G$2:$G$6000,Avaliacoes!$A$2:$A$6000,$A352,Avaliacoes!$F$2:$F$6000,"IV",Avaliacoes!$H$2:$H$6000,0))</f>
        <v/>
      </c>
      <c r="J352" s="0" t="str">
        <f aca="false">IF($A352="","",COUNTIFS(Avaliacoes!$A$2:$A$6000,$A352,Avaliacoes!$F$2:$F$6000,"I",Avaliacoes!$H$2:$H$6000,0,Avaliacoes!$G$2:$G$6000,"&lt;&gt;")*Dimensoes!$E$2)</f>
        <v/>
      </c>
      <c r="K352" s="0" t="str">
        <f aca="false">IF($A352="","",COUNTIFS(Avaliacoes!$A$2:$A$6000,$A352,Avaliacoes!$F$2:$F$6000,"II",Avaliacoes!$H$2:$H$6000,0,Avaliacoes!$G$2:$G$6000,"&lt;&gt;")*Dimensoes!$E$3)</f>
        <v/>
      </c>
      <c r="L352" s="0" t="str">
        <f aca="false">IF($A352="","",COUNTIFS(Avaliacoes!$A$2:$A$6000,$A352,Avaliacoes!$F$2:$F$6000,"III",Avaliacoes!$H$2:$H$6000,0,Avaliacoes!$G$2:$G$6000,"&lt;&gt;")*Dimensoes!$E$4)</f>
        <v/>
      </c>
      <c r="M352" s="0" t="str">
        <f aca="false">IF($A352="","",COUNTIFS(Avaliacoes!$A$2:$A$6000,$A352,Avaliacoes!$F$2:$F$6000,"IV",Avaliacoes!$H$2:$H$6000,0,Avaliacoes!$G$2:$G$6000,"&lt;&gt;")*Dimensoes!$E$5)</f>
        <v/>
      </c>
      <c r="N352" s="9" t="str">
        <f aca="false">IF($A352="","",IF(J352&gt;0,F352/J352,""))</f>
        <v/>
      </c>
      <c r="O352" s="9" t="str">
        <f aca="false">IF($A352="","",IF(K352&gt;0,G352/K352,""))</f>
        <v/>
      </c>
      <c r="P352" s="9" t="str">
        <f aca="false">IF($A352="","",IF(L352&gt;0,H352/L352,""))</f>
        <v/>
      </c>
      <c r="Q352" s="9" t="str">
        <f aca="false">IF($A352="","",IF(M352&gt;0,I352/M352,""))</f>
        <v/>
      </c>
      <c r="R352" s="17" t="str">
        <f aca="false">IF($A352="","",IF((IF(N352="",0,Dimensoes!$C$2)+IF(O352="",0,Dimensoes!$C$3)+IF(P352="",0,Dimensoes!$C$4)+IF(Q352="",0,Dimensoes!$C$5))=0,"",(IF(N352="",0,N352*Dimensoes!$C$2)+IF(O352="",0,O352*Dimensoes!$C$3)+IF(P352="",0,P352*Dimensoes!$C$4)+IF(Q352="",0,Q352*Dimensoes!$C$5))/(IF(N352="",0,Dimensoes!$C$2)+IF(O352="",0,Dimensoes!$C$3)+IF(P352="",0,Dimensoes!$C$4)+IF(Q352="",0,Dimensoes!$C$5))))</f>
        <v/>
      </c>
      <c r="S352" s="0" t="str">
        <f aca="false">IF(R352="","",IF(R352&lt;Faixas!$C$3,"vermelho",IF(R352&lt;Faixas!$C$4,"amarelo","verde")))</f>
        <v/>
      </c>
      <c r="T352" s="9" t="str">
        <f aca="false">IF($A352="","",IF(N352="",0,N352*Dimensoes!$C$2)+IF(O352="",0,O352*Dimensoes!$C$3)+IF(P352="",0,P352*Dimensoes!$C$4)+IF(Q352="",0,Q352*Dimensoes!$C$5))</f>
        <v/>
      </c>
      <c r="U352" s="0" t="str">
        <f aca="false">IF($A352="","",IF(OR(E352="concluida",E352="incompleta"),1,0))</f>
        <v/>
      </c>
    </row>
    <row r="353" customFormat="false" ht="15" hidden="false" customHeight="false" outlineLevel="0" collapsed="false">
      <c r="A353" s="0" t="str">
        <f aca="false">IF(Visitas!A353="","",Visitas!A353)</f>
        <v/>
      </c>
      <c r="B353" s="0" t="str">
        <f aca="false">IF($A353="","",Visitas!C353)</f>
        <v/>
      </c>
      <c r="C353" s="7" t="str">
        <f aca="false">IF($A353="","",Visitas!D353)</f>
        <v/>
      </c>
      <c r="D353" s="0" t="str">
        <f aca="false">IF($A353="","",Visitas!B353)</f>
        <v/>
      </c>
      <c r="E353" s="0" t="str">
        <f aca="false">IF($A353="","",Visitas!F353)</f>
        <v/>
      </c>
      <c r="F353" s="0" t="str">
        <f aca="false">IF($A353="","",SUMIFS(Avaliacoes!$G$2:$G$6000,Avaliacoes!$A$2:$A$6000,$A353,Avaliacoes!$F$2:$F$6000,"I",Avaliacoes!$H$2:$H$6000,0))</f>
        <v/>
      </c>
      <c r="G353" s="0" t="str">
        <f aca="false">IF($A353="","",SUMIFS(Avaliacoes!$G$2:$G$6000,Avaliacoes!$A$2:$A$6000,$A353,Avaliacoes!$F$2:$F$6000,"II",Avaliacoes!$H$2:$H$6000,0))</f>
        <v/>
      </c>
      <c r="H353" s="0" t="str">
        <f aca="false">IF($A353="","",SUMIFS(Avaliacoes!$G$2:$G$6000,Avaliacoes!$A$2:$A$6000,$A353,Avaliacoes!$F$2:$F$6000,"III",Avaliacoes!$H$2:$H$6000,0))</f>
        <v/>
      </c>
      <c r="I353" s="0" t="str">
        <f aca="false">IF($A353="","",SUMIFS(Avaliacoes!$G$2:$G$6000,Avaliacoes!$A$2:$A$6000,$A353,Avaliacoes!$F$2:$F$6000,"IV",Avaliacoes!$H$2:$H$6000,0))</f>
        <v/>
      </c>
      <c r="J353" s="0" t="str">
        <f aca="false">IF($A353="","",COUNTIFS(Avaliacoes!$A$2:$A$6000,$A353,Avaliacoes!$F$2:$F$6000,"I",Avaliacoes!$H$2:$H$6000,0,Avaliacoes!$G$2:$G$6000,"&lt;&gt;")*Dimensoes!$E$2)</f>
        <v/>
      </c>
      <c r="K353" s="0" t="str">
        <f aca="false">IF($A353="","",COUNTIFS(Avaliacoes!$A$2:$A$6000,$A353,Avaliacoes!$F$2:$F$6000,"II",Avaliacoes!$H$2:$H$6000,0,Avaliacoes!$G$2:$G$6000,"&lt;&gt;")*Dimensoes!$E$3)</f>
        <v/>
      </c>
      <c r="L353" s="0" t="str">
        <f aca="false">IF($A353="","",COUNTIFS(Avaliacoes!$A$2:$A$6000,$A353,Avaliacoes!$F$2:$F$6000,"III",Avaliacoes!$H$2:$H$6000,0,Avaliacoes!$G$2:$G$6000,"&lt;&gt;")*Dimensoes!$E$4)</f>
        <v/>
      </c>
      <c r="M353" s="0" t="str">
        <f aca="false">IF($A353="","",COUNTIFS(Avaliacoes!$A$2:$A$6000,$A353,Avaliacoes!$F$2:$F$6000,"IV",Avaliacoes!$H$2:$H$6000,0,Avaliacoes!$G$2:$G$6000,"&lt;&gt;")*Dimensoes!$E$5)</f>
        <v/>
      </c>
      <c r="N353" s="9" t="str">
        <f aca="false">IF($A353="","",IF(J353&gt;0,F353/J353,""))</f>
        <v/>
      </c>
      <c r="O353" s="9" t="str">
        <f aca="false">IF($A353="","",IF(K353&gt;0,G353/K353,""))</f>
        <v/>
      </c>
      <c r="P353" s="9" t="str">
        <f aca="false">IF($A353="","",IF(L353&gt;0,H353/L353,""))</f>
        <v/>
      </c>
      <c r="Q353" s="9" t="str">
        <f aca="false">IF($A353="","",IF(M353&gt;0,I353/M353,""))</f>
        <v/>
      </c>
      <c r="R353" s="17" t="str">
        <f aca="false">IF($A353="","",IF((IF(N353="",0,Dimensoes!$C$2)+IF(O353="",0,Dimensoes!$C$3)+IF(P353="",0,Dimensoes!$C$4)+IF(Q353="",0,Dimensoes!$C$5))=0,"",(IF(N353="",0,N353*Dimensoes!$C$2)+IF(O353="",0,O353*Dimensoes!$C$3)+IF(P353="",0,P353*Dimensoes!$C$4)+IF(Q353="",0,Q353*Dimensoes!$C$5))/(IF(N353="",0,Dimensoes!$C$2)+IF(O353="",0,Dimensoes!$C$3)+IF(P353="",0,Dimensoes!$C$4)+IF(Q353="",0,Dimensoes!$C$5))))</f>
        <v/>
      </c>
      <c r="S353" s="0" t="str">
        <f aca="false">IF(R353="","",IF(R353&lt;Faixas!$C$3,"vermelho",IF(R353&lt;Faixas!$C$4,"amarelo","verde")))</f>
        <v/>
      </c>
      <c r="T353" s="9" t="str">
        <f aca="false">IF($A353="","",IF(N353="",0,N353*Dimensoes!$C$2)+IF(O353="",0,O353*Dimensoes!$C$3)+IF(P353="",0,P353*Dimensoes!$C$4)+IF(Q353="",0,Q353*Dimensoes!$C$5))</f>
        <v/>
      </c>
      <c r="U353" s="0" t="str">
        <f aca="false">IF($A353="","",IF(OR(E353="concluida",E353="incompleta"),1,0))</f>
        <v/>
      </c>
    </row>
    <row r="354" customFormat="false" ht="15" hidden="false" customHeight="false" outlineLevel="0" collapsed="false">
      <c r="A354" s="0" t="str">
        <f aca="false">IF(Visitas!A354="","",Visitas!A354)</f>
        <v/>
      </c>
      <c r="B354" s="0" t="str">
        <f aca="false">IF($A354="","",Visitas!C354)</f>
        <v/>
      </c>
      <c r="C354" s="7" t="str">
        <f aca="false">IF($A354="","",Visitas!D354)</f>
        <v/>
      </c>
      <c r="D354" s="0" t="str">
        <f aca="false">IF($A354="","",Visitas!B354)</f>
        <v/>
      </c>
      <c r="E354" s="0" t="str">
        <f aca="false">IF($A354="","",Visitas!F354)</f>
        <v/>
      </c>
      <c r="F354" s="0" t="str">
        <f aca="false">IF($A354="","",SUMIFS(Avaliacoes!$G$2:$G$6000,Avaliacoes!$A$2:$A$6000,$A354,Avaliacoes!$F$2:$F$6000,"I",Avaliacoes!$H$2:$H$6000,0))</f>
        <v/>
      </c>
      <c r="G354" s="0" t="str">
        <f aca="false">IF($A354="","",SUMIFS(Avaliacoes!$G$2:$G$6000,Avaliacoes!$A$2:$A$6000,$A354,Avaliacoes!$F$2:$F$6000,"II",Avaliacoes!$H$2:$H$6000,0))</f>
        <v/>
      </c>
      <c r="H354" s="0" t="str">
        <f aca="false">IF($A354="","",SUMIFS(Avaliacoes!$G$2:$G$6000,Avaliacoes!$A$2:$A$6000,$A354,Avaliacoes!$F$2:$F$6000,"III",Avaliacoes!$H$2:$H$6000,0))</f>
        <v/>
      </c>
      <c r="I354" s="0" t="str">
        <f aca="false">IF($A354="","",SUMIFS(Avaliacoes!$G$2:$G$6000,Avaliacoes!$A$2:$A$6000,$A354,Avaliacoes!$F$2:$F$6000,"IV",Avaliacoes!$H$2:$H$6000,0))</f>
        <v/>
      </c>
      <c r="J354" s="0" t="str">
        <f aca="false">IF($A354="","",COUNTIFS(Avaliacoes!$A$2:$A$6000,$A354,Avaliacoes!$F$2:$F$6000,"I",Avaliacoes!$H$2:$H$6000,0,Avaliacoes!$G$2:$G$6000,"&lt;&gt;")*Dimensoes!$E$2)</f>
        <v/>
      </c>
      <c r="K354" s="0" t="str">
        <f aca="false">IF($A354="","",COUNTIFS(Avaliacoes!$A$2:$A$6000,$A354,Avaliacoes!$F$2:$F$6000,"II",Avaliacoes!$H$2:$H$6000,0,Avaliacoes!$G$2:$G$6000,"&lt;&gt;")*Dimensoes!$E$3)</f>
        <v/>
      </c>
      <c r="L354" s="0" t="str">
        <f aca="false">IF($A354="","",COUNTIFS(Avaliacoes!$A$2:$A$6000,$A354,Avaliacoes!$F$2:$F$6000,"III",Avaliacoes!$H$2:$H$6000,0,Avaliacoes!$G$2:$G$6000,"&lt;&gt;")*Dimensoes!$E$4)</f>
        <v/>
      </c>
      <c r="M354" s="0" t="str">
        <f aca="false">IF($A354="","",COUNTIFS(Avaliacoes!$A$2:$A$6000,$A354,Avaliacoes!$F$2:$F$6000,"IV",Avaliacoes!$H$2:$H$6000,0,Avaliacoes!$G$2:$G$6000,"&lt;&gt;")*Dimensoes!$E$5)</f>
        <v/>
      </c>
      <c r="N354" s="9" t="str">
        <f aca="false">IF($A354="","",IF(J354&gt;0,F354/J354,""))</f>
        <v/>
      </c>
      <c r="O354" s="9" t="str">
        <f aca="false">IF($A354="","",IF(K354&gt;0,G354/K354,""))</f>
        <v/>
      </c>
      <c r="P354" s="9" t="str">
        <f aca="false">IF($A354="","",IF(L354&gt;0,H354/L354,""))</f>
        <v/>
      </c>
      <c r="Q354" s="9" t="str">
        <f aca="false">IF($A354="","",IF(M354&gt;0,I354/M354,""))</f>
        <v/>
      </c>
      <c r="R354" s="17" t="str">
        <f aca="false">IF($A354="","",IF((IF(N354="",0,Dimensoes!$C$2)+IF(O354="",0,Dimensoes!$C$3)+IF(P354="",0,Dimensoes!$C$4)+IF(Q354="",0,Dimensoes!$C$5))=0,"",(IF(N354="",0,N354*Dimensoes!$C$2)+IF(O354="",0,O354*Dimensoes!$C$3)+IF(P354="",0,P354*Dimensoes!$C$4)+IF(Q354="",0,Q354*Dimensoes!$C$5))/(IF(N354="",0,Dimensoes!$C$2)+IF(O354="",0,Dimensoes!$C$3)+IF(P354="",0,Dimensoes!$C$4)+IF(Q354="",0,Dimensoes!$C$5))))</f>
        <v/>
      </c>
      <c r="S354" s="0" t="str">
        <f aca="false">IF(R354="","",IF(R354&lt;Faixas!$C$3,"vermelho",IF(R354&lt;Faixas!$C$4,"amarelo","verde")))</f>
        <v/>
      </c>
      <c r="T354" s="9" t="str">
        <f aca="false">IF($A354="","",IF(N354="",0,N354*Dimensoes!$C$2)+IF(O354="",0,O354*Dimensoes!$C$3)+IF(P354="",0,P354*Dimensoes!$C$4)+IF(Q354="",0,Q354*Dimensoes!$C$5))</f>
        <v/>
      </c>
      <c r="U354" s="0" t="str">
        <f aca="false">IF($A354="","",IF(OR(E354="concluida",E354="incompleta"),1,0))</f>
        <v/>
      </c>
    </row>
    <row r="355" customFormat="false" ht="15" hidden="false" customHeight="false" outlineLevel="0" collapsed="false">
      <c r="A355" s="0" t="str">
        <f aca="false">IF(Visitas!A355="","",Visitas!A355)</f>
        <v/>
      </c>
      <c r="B355" s="0" t="str">
        <f aca="false">IF($A355="","",Visitas!C355)</f>
        <v/>
      </c>
      <c r="C355" s="7" t="str">
        <f aca="false">IF($A355="","",Visitas!D355)</f>
        <v/>
      </c>
      <c r="D355" s="0" t="str">
        <f aca="false">IF($A355="","",Visitas!B355)</f>
        <v/>
      </c>
      <c r="E355" s="0" t="str">
        <f aca="false">IF($A355="","",Visitas!F355)</f>
        <v/>
      </c>
      <c r="F355" s="0" t="str">
        <f aca="false">IF($A355="","",SUMIFS(Avaliacoes!$G$2:$G$6000,Avaliacoes!$A$2:$A$6000,$A355,Avaliacoes!$F$2:$F$6000,"I",Avaliacoes!$H$2:$H$6000,0))</f>
        <v/>
      </c>
      <c r="G355" s="0" t="str">
        <f aca="false">IF($A355="","",SUMIFS(Avaliacoes!$G$2:$G$6000,Avaliacoes!$A$2:$A$6000,$A355,Avaliacoes!$F$2:$F$6000,"II",Avaliacoes!$H$2:$H$6000,0))</f>
        <v/>
      </c>
      <c r="H355" s="0" t="str">
        <f aca="false">IF($A355="","",SUMIFS(Avaliacoes!$G$2:$G$6000,Avaliacoes!$A$2:$A$6000,$A355,Avaliacoes!$F$2:$F$6000,"III",Avaliacoes!$H$2:$H$6000,0))</f>
        <v/>
      </c>
      <c r="I355" s="0" t="str">
        <f aca="false">IF($A355="","",SUMIFS(Avaliacoes!$G$2:$G$6000,Avaliacoes!$A$2:$A$6000,$A355,Avaliacoes!$F$2:$F$6000,"IV",Avaliacoes!$H$2:$H$6000,0))</f>
        <v/>
      </c>
      <c r="J355" s="0" t="str">
        <f aca="false">IF($A355="","",COUNTIFS(Avaliacoes!$A$2:$A$6000,$A355,Avaliacoes!$F$2:$F$6000,"I",Avaliacoes!$H$2:$H$6000,0,Avaliacoes!$G$2:$G$6000,"&lt;&gt;")*Dimensoes!$E$2)</f>
        <v/>
      </c>
      <c r="K355" s="0" t="str">
        <f aca="false">IF($A355="","",COUNTIFS(Avaliacoes!$A$2:$A$6000,$A355,Avaliacoes!$F$2:$F$6000,"II",Avaliacoes!$H$2:$H$6000,0,Avaliacoes!$G$2:$G$6000,"&lt;&gt;")*Dimensoes!$E$3)</f>
        <v/>
      </c>
      <c r="L355" s="0" t="str">
        <f aca="false">IF($A355="","",COUNTIFS(Avaliacoes!$A$2:$A$6000,$A355,Avaliacoes!$F$2:$F$6000,"III",Avaliacoes!$H$2:$H$6000,0,Avaliacoes!$G$2:$G$6000,"&lt;&gt;")*Dimensoes!$E$4)</f>
        <v/>
      </c>
      <c r="M355" s="0" t="str">
        <f aca="false">IF($A355="","",COUNTIFS(Avaliacoes!$A$2:$A$6000,$A355,Avaliacoes!$F$2:$F$6000,"IV",Avaliacoes!$H$2:$H$6000,0,Avaliacoes!$G$2:$G$6000,"&lt;&gt;")*Dimensoes!$E$5)</f>
        <v/>
      </c>
      <c r="N355" s="9" t="str">
        <f aca="false">IF($A355="","",IF(J355&gt;0,F355/J355,""))</f>
        <v/>
      </c>
      <c r="O355" s="9" t="str">
        <f aca="false">IF($A355="","",IF(K355&gt;0,G355/K355,""))</f>
        <v/>
      </c>
      <c r="P355" s="9" t="str">
        <f aca="false">IF($A355="","",IF(L355&gt;0,H355/L355,""))</f>
        <v/>
      </c>
      <c r="Q355" s="9" t="str">
        <f aca="false">IF($A355="","",IF(M355&gt;0,I355/M355,""))</f>
        <v/>
      </c>
      <c r="R355" s="17" t="str">
        <f aca="false">IF($A355="","",IF((IF(N355="",0,Dimensoes!$C$2)+IF(O355="",0,Dimensoes!$C$3)+IF(P355="",0,Dimensoes!$C$4)+IF(Q355="",0,Dimensoes!$C$5))=0,"",(IF(N355="",0,N355*Dimensoes!$C$2)+IF(O355="",0,O355*Dimensoes!$C$3)+IF(P355="",0,P355*Dimensoes!$C$4)+IF(Q355="",0,Q355*Dimensoes!$C$5))/(IF(N355="",0,Dimensoes!$C$2)+IF(O355="",0,Dimensoes!$C$3)+IF(P355="",0,Dimensoes!$C$4)+IF(Q355="",0,Dimensoes!$C$5))))</f>
        <v/>
      </c>
      <c r="S355" s="0" t="str">
        <f aca="false">IF(R355="","",IF(R355&lt;Faixas!$C$3,"vermelho",IF(R355&lt;Faixas!$C$4,"amarelo","verde")))</f>
        <v/>
      </c>
      <c r="T355" s="9" t="str">
        <f aca="false">IF($A355="","",IF(N355="",0,N355*Dimensoes!$C$2)+IF(O355="",0,O355*Dimensoes!$C$3)+IF(P355="",0,P355*Dimensoes!$C$4)+IF(Q355="",0,Q355*Dimensoes!$C$5))</f>
        <v/>
      </c>
      <c r="U355" s="0" t="str">
        <f aca="false">IF($A355="","",IF(OR(E355="concluida",E355="incompleta"),1,0))</f>
        <v/>
      </c>
    </row>
    <row r="356" customFormat="false" ht="15" hidden="false" customHeight="false" outlineLevel="0" collapsed="false">
      <c r="A356" s="0" t="str">
        <f aca="false">IF(Visitas!A356="","",Visitas!A356)</f>
        <v/>
      </c>
      <c r="B356" s="0" t="str">
        <f aca="false">IF($A356="","",Visitas!C356)</f>
        <v/>
      </c>
      <c r="C356" s="7" t="str">
        <f aca="false">IF($A356="","",Visitas!D356)</f>
        <v/>
      </c>
      <c r="D356" s="0" t="str">
        <f aca="false">IF($A356="","",Visitas!B356)</f>
        <v/>
      </c>
      <c r="E356" s="0" t="str">
        <f aca="false">IF($A356="","",Visitas!F356)</f>
        <v/>
      </c>
      <c r="F356" s="0" t="str">
        <f aca="false">IF($A356="","",SUMIFS(Avaliacoes!$G$2:$G$6000,Avaliacoes!$A$2:$A$6000,$A356,Avaliacoes!$F$2:$F$6000,"I",Avaliacoes!$H$2:$H$6000,0))</f>
        <v/>
      </c>
      <c r="G356" s="0" t="str">
        <f aca="false">IF($A356="","",SUMIFS(Avaliacoes!$G$2:$G$6000,Avaliacoes!$A$2:$A$6000,$A356,Avaliacoes!$F$2:$F$6000,"II",Avaliacoes!$H$2:$H$6000,0))</f>
        <v/>
      </c>
      <c r="H356" s="0" t="str">
        <f aca="false">IF($A356="","",SUMIFS(Avaliacoes!$G$2:$G$6000,Avaliacoes!$A$2:$A$6000,$A356,Avaliacoes!$F$2:$F$6000,"III",Avaliacoes!$H$2:$H$6000,0))</f>
        <v/>
      </c>
      <c r="I356" s="0" t="str">
        <f aca="false">IF($A356="","",SUMIFS(Avaliacoes!$G$2:$G$6000,Avaliacoes!$A$2:$A$6000,$A356,Avaliacoes!$F$2:$F$6000,"IV",Avaliacoes!$H$2:$H$6000,0))</f>
        <v/>
      </c>
      <c r="J356" s="0" t="str">
        <f aca="false">IF($A356="","",COUNTIFS(Avaliacoes!$A$2:$A$6000,$A356,Avaliacoes!$F$2:$F$6000,"I",Avaliacoes!$H$2:$H$6000,0,Avaliacoes!$G$2:$G$6000,"&lt;&gt;")*Dimensoes!$E$2)</f>
        <v/>
      </c>
      <c r="K356" s="0" t="str">
        <f aca="false">IF($A356="","",COUNTIFS(Avaliacoes!$A$2:$A$6000,$A356,Avaliacoes!$F$2:$F$6000,"II",Avaliacoes!$H$2:$H$6000,0,Avaliacoes!$G$2:$G$6000,"&lt;&gt;")*Dimensoes!$E$3)</f>
        <v/>
      </c>
      <c r="L356" s="0" t="str">
        <f aca="false">IF($A356="","",COUNTIFS(Avaliacoes!$A$2:$A$6000,$A356,Avaliacoes!$F$2:$F$6000,"III",Avaliacoes!$H$2:$H$6000,0,Avaliacoes!$G$2:$G$6000,"&lt;&gt;")*Dimensoes!$E$4)</f>
        <v/>
      </c>
      <c r="M356" s="0" t="str">
        <f aca="false">IF($A356="","",COUNTIFS(Avaliacoes!$A$2:$A$6000,$A356,Avaliacoes!$F$2:$F$6000,"IV",Avaliacoes!$H$2:$H$6000,0,Avaliacoes!$G$2:$G$6000,"&lt;&gt;")*Dimensoes!$E$5)</f>
        <v/>
      </c>
      <c r="N356" s="9" t="str">
        <f aca="false">IF($A356="","",IF(J356&gt;0,F356/J356,""))</f>
        <v/>
      </c>
      <c r="O356" s="9" t="str">
        <f aca="false">IF($A356="","",IF(K356&gt;0,G356/K356,""))</f>
        <v/>
      </c>
      <c r="P356" s="9" t="str">
        <f aca="false">IF($A356="","",IF(L356&gt;0,H356/L356,""))</f>
        <v/>
      </c>
      <c r="Q356" s="9" t="str">
        <f aca="false">IF($A356="","",IF(M356&gt;0,I356/M356,""))</f>
        <v/>
      </c>
      <c r="R356" s="17" t="str">
        <f aca="false">IF($A356="","",IF((IF(N356="",0,Dimensoes!$C$2)+IF(O356="",0,Dimensoes!$C$3)+IF(P356="",0,Dimensoes!$C$4)+IF(Q356="",0,Dimensoes!$C$5))=0,"",(IF(N356="",0,N356*Dimensoes!$C$2)+IF(O356="",0,O356*Dimensoes!$C$3)+IF(P356="",0,P356*Dimensoes!$C$4)+IF(Q356="",0,Q356*Dimensoes!$C$5))/(IF(N356="",0,Dimensoes!$C$2)+IF(O356="",0,Dimensoes!$C$3)+IF(P356="",0,Dimensoes!$C$4)+IF(Q356="",0,Dimensoes!$C$5))))</f>
        <v/>
      </c>
      <c r="S356" s="0" t="str">
        <f aca="false">IF(R356="","",IF(R356&lt;Faixas!$C$3,"vermelho",IF(R356&lt;Faixas!$C$4,"amarelo","verde")))</f>
        <v/>
      </c>
      <c r="T356" s="9" t="str">
        <f aca="false">IF($A356="","",IF(N356="",0,N356*Dimensoes!$C$2)+IF(O356="",0,O356*Dimensoes!$C$3)+IF(P356="",0,P356*Dimensoes!$C$4)+IF(Q356="",0,Q356*Dimensoes!$C$5))</f>
        <v/>
      </c>
      <c r="U356" s="0" t="str">
        <f aca="false">IF($A356="","",IF(OR(E356="concluida",E356="incompleta"),1,0))</f>
        <v/>
      </c>
    </row>
    <row r="357" customFormat="false" ht="15" hidden="false" customHeight="false" outlineLevel="0" collapsed="false">
      <c r="A357" s="0" t="str">
        <f aca="false">IF(Visitas!A357="","",Visitas!A357)</f>
        <v/>
      </c>
      <c r="B357" s="0" t="str">
        <f aca="false">IF($A357="","",Visitas!C357)</f>
        <v/>
      </c>
      <c r="C357" s="7" t="str">
        <f aca="false">IF($A357="","",Visitas!D357)</f>
        <v/>
      </c>
      <c r="D357" s="0" t="str">
        <f aca="false">IF($A357="","",Visitas!B357)</f>
        <v/>
      </c>
      <c r="E357" s="0" t="str">
        <f aca="false">IF($A357="","",Visitas!F357)</f>
        <v/>
      </c>
      <c r="F357" s="0" t="str">
        <f aca="false">IF($A357="","",SUMIFS(Avaliacoes!$G$2:$G$6000,Avaliacoes!$A$2:$A$6000,$A357,Avaliacoes!$F$2:$F$6000,"I",Avaliacoes!$H$2:$H$6000,0))</f>
        <v/>
      </c>
      <c r="G357" s="0" t="str">
        <f aca="false">IF($A357="","",SUMIFS(Avaliacoes!$G$2:$G$6000,Avaliacoes!$A$2:$A$6000,$A357,Avaliacoes!$F$2:$F$6000,"II",Avaliacoes!$H$2:$H$6000,0))</f>
        <v/>
      </c>
      <c r="H357" s="0" t="str">
        <f aca="false">IF($A357="","",SUMIFS(Avaliacoes!$G$2:$G$6000,Avaliacoes!$A$2:$A$6000,$A357,Avaliacoes!$F$2:$F$6000,"III",Avaliacoes!$H$2:$H$6000,0))</f>
        <v/>
      </c>
      <c r="I357" s="0" t="str">
        <f aca="false">IF($A357="","",SUMIFS(Avaliacoes!$G$2:$G$6000,Avaliacoes!$A$2:$A$6000,$A357,Avaliacoes!$F$2:$F$6000,"IV",Avaliacoes!$H$2:$H$6000,0))</f>
        <v/>
      </c>
      <c r="J357" s="0" t="str">
        <f aca="false">IF($A357="","",COUNTIFS(Avaliacoes!$A$2:$A$6000,$A357,Avaliacoes!$F$2:$F$6000,"I",Avaliacoes!$H$2:$H$6000,0,Avaliacoes!$G$2:$G$6000,"&lt;&gt;")*Dimensoes!$E$2)</f>
        <v/>
      </c>
      <c r="K357" s="0" t="str">
        <f aca="false">IF($A357="","",COUNTIFS(Avaliacoes!$A$2:$A$6000,$A357,Avaliacoes!$F$2:$F$6000,"II",Avaliacoes!$H$2:$H$6000,0,Avaliacoes!$G$2:$G$6000,"&lt;&gt;")*Dimensoes!$E$3)</f>
        <v/>
      </c>
      <c r="L357" s="0" t="str">
        <f aca="false">IF($A357="","",COUNTIFS(Avaliacoes!$A$2:$A$6000,$A357,Avaliacoes!$F$2:$F$6000,"III",Avaliacoes!$H$2:$H$6000,0,Avaliacoes!$G$2:$G$6000,"&lt;&gt;")*Dimensoes!$E$4)</f>
        <v/>
      </c>
      <c r="M357" s="0" t="str">
        <f aca="false">IF($A357="","",COUNTIFS(Avaliacoes!$A$2:$A$6000,$A357,Avaliacoes!$F$2:$F$6000,"IV",Avaliacoes!$H$2:$H$6000,0,Avaliacoes!$G$2:$G$6000,"&lt;&gt;")*Dimensoes!$E$5)</f>
        <v/>
      </c>
      <c r="N357" s="9" t="str">
        <f aca="false">IF($A357="","",IF(J357&gt;0,F357/J357,""))</f>
        <v/>
      </c>
      <c r="O357" s="9" t="str">
        <f aca="false">IF($A357="","",IF(K357&gt;0,G357/K357,""))</f>
        <v/>
      </c>
      <c r="P357" s="9" t="str">
        <f aca="false">IF($A357="","",IF(L357&gt;0,H357/L357,""))</f>
        <v/>
      </c>
      <c r="Q357" s="9" t="str">
        <f aca="false">IF($A357="","",IF(M357&gt;0,I357/M357,""))</f>
        <v/>
      </c>
      <c r="R357" s="17" t="str">
        <f aca="false">IF($A357="","",IF((IF(N357="",0,Dimensoes!$C$2)+IF(O357="",0,Dimensoes!$C$3)+IF(P357="",0,Dimensoes!$C$4)+IF(Q357="",0,Dimensoes!$C$5))=0,"",(IF(N357="",0,N357*Dimensoes!$C$2)+IF(O357="",0,O357*Dimensoes!$C$3)+IF(P357="",0,P357*Dimensoes!$C$4)+IF(Q357="",0,Q357*Dimensoes!$C$5))/(IF(N357="",0,Dimensoes!$C$2)+IF(O357="",0,Dimensoes!$C$3)+IF(P357="",0,Dimensoes!$C$4)+IF(Q357="",0,Dimensoes!$C$5))))</f>
        <v/>
      </c>
      <c r="S357" s="0" t="str">
        <f aca="false">IF(R357="","",IF(R357&lt;Faixas!$C$3,"vermelho",IF(R357&lt;Faixas!$C$4,"amarelo","verde")))</f>
        <v/>
      </c>
      <c r="T357" s="9" t="str">
        <f aca="false">IF($A357="","",IF(N357="",0,N357*Dimensoes!$C$2)+IF(O357="",0,O357*Dimensoes!$C$3)+IF(P357="",0,P357*Dimensoes!$C$4)+IF(Q357="",0,Q357*Dimensoes!$C$5))</f>
        <v/>
      </c>
      <c r="U357" s="0" t="str">
        <f aca="false">IF($A357="","",IF(OR(E357="concluida",E357="incompleta"),1,0))</f>
        <v/>
      </c>
    </row>
    <row r="358" customFormat="false" ht="15" hidden="false" customHeight="false" outlineLevel="0" collapsed="false">
      <c r="A358" s="0" t="str">
        <f aca="false">IF(Visitas!A358="","",Visitas!A358)</f>
        <v/>
      </c>
      <c r="B358" s="0" t="str">
        <f aca="false">IF($A358="","",Visitas!C358)</f>
        <v/>
      </c>
      <c r="C358" s="7" t="str">
        <f aca="false">IF($A358="","",Visitas!D358)</f>
        <v/>
      </c>
      <c r="D358" s="0" t="str">
        <f aca="false">IF($A358="","",Visitas!B358)</f>
        <v/>
      </c>
      <c r="E358" s="0" t="str">
        <f aca="false">IF($A358="","",Visitas!F358)</f>
        <v/>
      </c>
      <c r="F358" s="0" t="str">
        <f aca="false">IF($A358="","",SUMIFS(Avaliacoes!$G$2:$G$6000,Avaliacoes!$A$2:$A$6000,$A358,Avaliacoes!$F$2:$F$6000,"I",Avaliacoes!$H$2:$H$6000,0))</f>
        <v/>
      </c>
      <c r="G358" s="0" t="str">
        <f aca="false">IF($A358="","",SUMIFS(Avaliacoes!$G$2:$G$6000,Avaliacoes!$A$2:$A$6000,$A358,Avaliacoes!$F$2:$F$6000,"II",Avaliacoes!$H$2:$H$6000,0))</f>
        <v/>
      </c>
      <c r="H358" s="0" t="str">
        <f aca="false">IF($A358="","",SUMIFS(Avaliacoes!$G$2:$G$6000,Avaliacoes!$A$2:$A$6000,$A358,Avaliacoes!$F$2:$F$6000,"III",Avaliacoes!$H$2:$H$6000,0))</f>
        <v/>
      </c>
      <c r="I358" s="0" t="str">
        <f aca="false">IF($A358="","",SUMIFS(Avaliacoes!$G$2:$G$6000,Avaliacoes!$A$2:$A$6000,$A358,Avaliacoes!$F$2:$F$6000,"IV",Avaliacoes!$H$2:$H$6000,0))</f>
        <v/>
      </c>
      <c r="J358" s="0" t="str">
        <f aca="false">IF($A358="","",COUNTIFS(Avaliacoes!$A$2:$A$6000,$A358,Avaliacoes!$F$2:$F$6000,"I",Avaliacoes!$H$2:$H$6000,0,Avaliacoes!$G$2:$G$6000,"&lt;&gt;")*Dimensoes!$E$2)</f>
        <v/>
      </c>
      <c r="K358" s="0" t="str">
        <f aca="false">IF($A358="","",COUNTIFS(Avaliacoes!$A$2:$A$6000,$A358,Avaliacoes!$F$2:$F$6000,"II",Avaliacoes!$H$2:$H$6000,0,Avaliacoes!$G$2:$G$6000,"&lt;&gt;")*Dimensoes!$E$3)</f>
        <v/>
      </c>
      <c r="L358" s="0" t="str">
        <f aca="false">IF($A358="","",COUNTIFS(Avaliacoes!$A$2:$A$6000,$A358,Avaliacoes!$F$2:$F$6000,"III",Avaliacoes!$H$2:$H$6000,0,Avaliacoes!$G$2:$G$6000,"&lt;&gt;")*Dimensoes!$E$4)</f>
        <v/>
      </c>
      <c r="M358" s="0" t="str">
        <f aca="false">IF($A358="","",COUNTIFS(Avaliacoes!$A$2:$A$6000,$A358,Avaliacoes!$F$2:$F$6000,"IV",Avaliacoes!$H$2:$H$6000,0,Avaliacoes!$G$2:$G$6000,"&lt;&gt;")*Dimensoes!$E$5)</f>
        <v/>
      </c>
      <c r="N358" s="9" t="str">
        <f aca="false">IF($A358="","",IF(J358&gt;0,F358/J358,""))</f>
        <v/>
      </c>
      <c r="O358" s="9" t="str">
        <f aca="false">IF($A358="","",IF(K358&gt;0,G358/K358,""))</f>
        <v/>
      </c>
      <c r="P358" s="9" t="str">
        <f aca="false">IF($A358="","",IF(L358&gt;0,H358/L358,""))</f>
        <v/>
      </c>
      <c r="Q358" s="9" t="str">
        <f aca="false">IF($A358="","",IF(M358&gt;0,I358/M358,""))</f>
        <v/>
      </c>
      <c r="R358" s="17" t="str">
        <f aca="false">IF($A358="","",IF((IF(N358="",0,Dimensoes!$C$2)+IF(O358="",0,Dimensoes!$C$3)+IF(P358="",0,Dimensoes!$C$4)+IF(Q358="",0,Dimensoes!$C$5))=0,"",(IF(N358="",0,N358*Dimensoes!$C$2)+IF(O358="",0,O358*Dimensoes!$C$3)+IF(P358="",0,P358*Dimensoes!$C$4)+IF(Q358="",0,Q358*Dimensoes!$C$5))/(IF(N358="",0,Dimensoes!$C$2)+IF(O358="",0,Dimensoes!$C$3)+IF(P358="",0,Dimensoes!$C$4)+IF(Q358="",0,Dimensoes!$C$5))))</f>
        <v/>
      </c>
      <c r="S358" s="0" t="str">
        <f aca="false">IF(R358="","",IF(R358&lt;Faixas!$C$3,"vermelho",IF(R358&lt;Faixas!$C$4,"amarelo","verde")))</f>
        <v/>
      </c>
      <c r="T358" s="9" t="str">
        <f aca="false">IF($A358="","",IF(N358="",0,N358*Dimensoes!$C$2)+IF(O358="",0,O358*Dimensoes!$C$3)+IF(P358="",0,P358*Dimensoes!$C$4)+IF(Q358="",0,Q358*Dimensoes!$C$5))</f>
        <v/>
      </c>
      <c r="U358" s="0" t="str">
        <f aca="false">IF($A358="","",IF(OR(E358="concluida",E358="incompleta"),1,0))</f>
        <v/>
      </c>
    </row>
    <row r="359" customFormat="false" ht="15" hidden="false" customHeight="false" outlineLevel="0" collapsed="false">
      <c r="A359" s="0" t="str">
        <f aca="false">IF(Visitas!A359="","",Visitas!A359)</f>
        <v/>
      </c>
      <c r="B359" s="0" t="str">
        <f aca="false">IF($A359="","",Visitas!C359)</f>
        <v/>
      </c>
      <c r="C359" s="7" t="str">
        <f aca="false">IF($A359="","",Visitas!D359)</f>
        <v/>
      </c>
      <c r="D359" s="0" t="str">
        <f aca="false">IF($A359="","",Visitas!B359)</f>
        <v/>
      </c>
      <c r="E359" s="0" t="str">
        <f aca="false">IF($A359="","",Visitas!F359)</f>
        <v/>
      </c>
      <c r="F359" s="0" t="str">
        <f aca="false">IF($A359="","",SUMIFS(Avaliacoes!$G$2:$G$6000,Avaliacoes!$A$2:$A$6000,$A359,Avaliacoes!$F$2:$F$6000,"I",Avaliacoes!$H$2:$H$6000,0))</f>
        <v/>
      </c>
      <c r="G359" s="0" t="str">
        <f aca="false">IF($A359="","",SUMIFS(Avaliacoes!$G$2:$G$6000,Avaliacoes!$A$2:$A$6000,$A359,Avaliacoes!$F$2:$F$6000,"II",Avaliacoes!$H$2:$H$6000,0))</f>
        <v/>
      </c>
      <c r="H359" s="0" t="str">
        <f aca="false">IF($A359="","",SUMIFS(Avaliacoes!$G$2:$G$6000,Avaliacoes!$A$2:$A$6000,$A359,Avaliacoes!$F$2:$F$6000,"III",Avaliacoes!$H$2:$H$6000,0))</f>
        <v/>
      </c>
      <c r="I359" s="0" t="str">
        <f aca="false">IF($A359="","",SUMIFS(Avaliacoes!$G$2:$G$6000,Avaliacoes!$A$2:$A$6000,$A359,Avaliacoes!$F$2:$F$6000,"IV",Avaliacoes!$H$2:$H$6000,0))</f>
        <v/>
      </c>
      <c r="J359" s="0" t="str">
        <f aca="false">IF($A359="","",COUNTIFS(Avaliacoes!$A$2:$A$6000,$A359,Avaliacoes!$F$2:$F$6000,"I",Avaliacoes!$H$2:$H$6000,0,Avaliacoes!$G$2:$G$6000,"&lt;&gt;")*Dimensoes!$E$2)</f>
        <v/>
      </c>
      <c r="K359" s="0" t="str">
        <f aca="false">IF($A359="","",COUNTIFS(Avaliacoes!$A$2:$A$6000,$A359,Avaliacoes!$F$2:$F$6000,"II",Avaliacoes!$H$2:$H$6000,0,Avaliacoes!$G$2:$G$6000,"&lt;&gt;")*Dimensoes!$E$3)</f>
        <v/>
      </c>
      <c r="L359" s="0" t="str">
        <f aca="false">IF($A359="","",COUNTIFS(Avaliacoes!$A$2:$A$6000,$A359,Avaliacoes!$F$2:$F$6000,"III",Avaliacoes!$H$2:$H$6000,0,Avaliacoes!$G$2:$G$6000,"&lt;&gt;")*Dimensoes!$E$4)</f>
        <v/>
      </c>
      <c r="M359" s="0" t="str">
        <f aca="false">IF($A359="","",COUNTIFS(Avaliacoes!$A$2:$A$6000,$A359,Avaliacoes!$F$2:$F$6000,"IV",Avaliacoes!$H$2:$H$6000,0,Avaliacoes!$G$2:$G$6000,"&lt;&gt;")*Dimensoes!$E$5)</f>
        <v/>
      </c>
      <c r="N359" s="9" t="str">
        <f aca="false">IF($A359="","",IF(J359&gt;0,F359/J359,""))</f>
        <v/>
      </c>
      <c r="O359" s="9" t="str">
        <f aca="false">IF($A359="","",IF(K359&gt;0,G359/K359,""))</f>
        <v/>
      </c>
      <c r="P359" s="9" t="str">
        <f aca="false">IF($A359="","",IF(L359&gt;0,H359/L359,""))</f>
        <v/>
      </c>
      <c r="Q359" s="9" t="str">
        <f aca="false">IF($A359="","",IF(M359&gt;0,I359/M359,""))</f>
        <v/>
      </c>
      <c r="R359" s="17" t="str">
        <f aca="false">IF($A359="","",IF((IF(N359="",0,Dimensoes!$C$2)+IF(O359="",0,Dimensoes!$C$3)+IF(P359="",0,Dimensoes!$C$4)+IF(Q359="",0,Dimensoes!$C$5))=0,"",(IF(N359="",0,N359*Dimensoes!$C$2)+IF(O359="",0,O359*Dimensoes!$C$3)+IF(P359="",0,P359*Dimensoes!$C$4)+IF(Q359="",0,Q359*Dimensoes!$C$5))/(IF(N359="",0,Dimensoes!$C$2)+IF(O359="",0,Dimensoes!$C$3)+IF(P359="",0,Dimensoes!$C$4)+IF(Q359="",0,Dimensoes!$C$5))))</f>
        <v/>
      </c>
      <c r="S359" s="0" t="str">
        <f aca="false">IF(R359="","",IF(R359&lt;Faixas!$C$3,"vermelho",IF(R359&lt;Faixas!$C$4,"amarelo","verde")))</f>
        <v/>
      </c>
      <c r="T359" s="9" t="str">
        <f aca="false">IF($A359="","",IF(N359="",0,N359*Dimensoes!$C$2)+IF(O359="",0,O359*Dimensoes!$C$3)+IF(P359="",0,P359*Dimensoes!$C$4)+IF(Q359="",0,Q359*Dimensoes!$C$5))</f>
        <v/>
      </c>
      <c r="U359" s="0" t="str">
        <f aca="false">IF($A359="","",IF(OR(E359="concluida",E359="incompleta"),1,0))</f>
        <v/>
      </c>
    </row>
    <row r="360" customFormat="false" ht="15" hidden="false" customHeight="false" outlineLevel="0" collapsed="false">
      <c r="A360" s="0" t="str">
        <f aca="false">IF(Visitas!A360="","",Visitas!A360)</f>
        <v/>
      </c>
      <c r="B360" s="0" t="str">
        <f aca="false">IF($A360="","",Visitas!C360)</f>
        <v/>
      </c>
      <c r="C360" s="7" t="str">
        <f aca="false">IF($A360="","",Visitas!D360)</f>
        <v/>
      </c>
      <c r="D360" s="0" t="str">
        <f aca="false">IF($A360="","",Visitas!B360)</f>
        <v/>
      </c>
      <c r="E360" s="0" t="str">
        <f aca="false">IF($A360="","",Visitas!F360)</f>
        <v/>
      </c>
      <c r="F360" s="0" t="str">
        <f aca="false">IF($A360="","",SUMIFS(Avaliacoes!$G$2:$G$6000,Avaliacoes!$A$2:$A$6000,$A360,Avaliacoes!$F$2:$F$6000,"I",Avaliacoes!$H$2:$H$6000,0))</f>
        <v/>
      </c>
      <c r="G360" s="0" t="str">
        <f aca="false">IF($A360="","",SUMIFS(Avaliacoes!$G$2:$G$6000,Avaliacoes!$A$2:$A$6000,$A360,Avaliacoes!$F$2:$F$6000,"II",Avaliacoes!$H$2:$H$6000,0))</f>
        <v/>
      </c>
      <c r="H360" s="0" t="str">
        <f aca="false">IF($A360="","",SUMIFS(Avaliacoes!$G$2:$G$6000,Avaliacoes!$A$2:$A$6000,$A360,Avaliacoes!$F$2:$F$6000,"III",Avaliacoes!$H$2:$H$6000,0))</f>
        <v/>
      </c>
      <c r="I360" s="0" t="str">
        <f aca="false">IF($A360="","",SUMIFS(Avaliacoes!$G$2:$G$6000,Avaliacoes!$A$2:$A$6000,$A360,Avaliacoes!$F$2:$F$6000,"IV",Avaliacoes!$H$2:$H$6000,0))</f>
        <v/>
      </c>
      <c r="J360" s="0" t="str">
        <f aca="false">IF($A360="","",COUNTIFS(Avaliacoes!$A$2:$A$6000,$A360,Avaliacoes!$F$2:$F$6000,"I",Avaliacoes!$H$2:$H$6000,0,Avaliacoes!$G$2:$G$6000,"&lt;&gt;")*Dimensoes!$E$2)</f>
        <v/>
      </c>
      <c r="K360" s="0" t="str">
        <f aca="false">IF($A360="","",COUNTIFS(Avaliacoes!$A$2:$A$6000,$A360,Avaliacoes!$F$2:$F$6000,"II",Avaliacoes!$H$2:$H$6000,0,Avaliacoes!$G$2:$G$6000,"&lt;&gt;")*Dimensoes!$E$3)</f>
        <v/>
      </c>
      <c r="L360" s="0" t="str">
        <f aca="false">IF($A360="","",COUNTIFS(Avaliacoes!$A$2:$A$6000,$A360,Avaliacoes!$F$2:$F$6000,"III",Avaliacoes!$H$2:$H$6000,0,Avaliacoes!$G$2:$G$6000,"&lt;&gt;")*Dimensoes!$E$4)</f>
        <v/>
      </c>
      <c r="M360" s="0" t="str">
        <f aca="false">IF($A360="","",COUNTIFS(Avaliacoes!$A$2:$A$6000,$A360,Avaliacoes!$F$2:$F$6000,"IV",Avaliacoes!$H$2:$H$6000,0,Avaliacoes!$G$2:$G$6000,"&lt;&gt;")*Dimensoes!$E$5)</f>
        <v/>
      </c>
      <c r="N360" s="9" t="str">
        <f aca="false">IF($A360="","",IF(J360&gt;0,F360/J360,""))</f>
        <v/>
      </c>
      <c r="O360" s="9" t="str">
        <f aca="false">IF($A360="","",IF(K360&gt;0,G360/K360,""))</f>
        <v/>
      </c>
      <c r="P360" s="9" t="str">
        <f aca="false">IF($A360="","",IF(L360&gt;0,H360/L360,""))</f>
        <v/>
      </c>
      <c r="Q360" s="9" t="str">
        <f aca="false">IF($A360="","",IF(M360&gt;0,I360/M360,""))</f>
        <v/>
      </c>
      <c r="R360" s="17" t="str">
        <f aca="false">IF($A360="","",IF((IF(N360="",0,Dimensoes!$C$2)+IF(O360="",0,Dimensoes!$C$3)+IF(P360="",0,Dimensoes!$C$4)+IF(Q360="",0,Dimensoes!$C$5))=0,"",(IF(N360="",0,N360*Dimensoes!$C$2)+IF(O360="",0,O360*Dimensoes!$C$3)+IF(P360="",0,P360*Dimensoes!$C$4)+IF(Q360="",0,Q360*Dimensoes!$C$5))/(IF(N360="",0,Dimensoes!$C$2)+IF(O360="",0,Dimensoes!$C$3)+IF(P360="",0,Dimensoes!$C$4)+IF(Q360="",0,Dimensoes!$C$5))))</f>
        <v/>
      </c>
      <c r="S360" s="0" t="str">
        <f aca="false">IF(R360="","",IF(R360&lt;Faixas!$C$3,"vermelho",IF(R360&lt;Faixas!$C$4,"amarelo","verde")))</f>
        <v/>
      </c>
      <c r="T360" s="9" t="str">
        <f aca="false">IF($A360="","",IF(N360="",0,N360*Dimensoes!$C$2)+IF(O360="",0,O360*Dimensoes!$C$3)+IF(P360="",0,P360*Dimensoes!$C$4)+IF(Q360="",0,Q360*Dimensoes!$C$5))</f>
        <v/>
      </c>
      <c r="U360" s="0" t="str">
        <f aca="false">IF($A360="","",IF(OR(E360="concluida",E360="incompleta"),1,0))</f>
        <v/>
      </c>
    </row>
    <row r="361" customFormat="false" ht="15" hidden="false" customHeight="false" outlineLevel="0" collapsed="false">
      <c r="A361" s="0" t="str">
        <f aca="false">IF(Visitas!A361="","",Visitas!A361)</f>
        <v/>
      </c>
      <c r="B361" s="0" t="str">
        <f aca="false">IF($A361="","",Visitas!C361)</f>
        <v/>
      </c>
      <c r="C361" s="7" t="str">
        <f aca="false">IF($A361="","",Visitas!D361)</f>
        <v/>
      </c>
      <c r="D361" s="0" t="str">
        <f aca="false">IF($A361="","",Visitas!B361)</f>
        <v/>
      </c>
      <c r="E361" s="0" t="str">
        <f aca="false">IF($A361="","",Visitas!F361)</f>
        <v/>
      </c>
      <c r="F361" s="0" t="str">
        <f aca="false">IF($A361="","",SUMIFS(Avaliacoes!$G$2:$G$6000,Avaliacoes!$A$2:$A$6000,$A361,Avaliacoes!$F$2:$F$6000,"I",Avaliacoes!$H$2:$H$6000,0))</f>
        <v/>
      </c>
      <c r="G361" s="0" t="str">
        <f aca="false">IF($A361="","",SUMIFS(Avaliacoes!$G$2:$G$6000,Avaliacoes!$A$2:$A$6000,$A361,Avaliacoes!$F$2:$F$6000,"II",Avaliacoes!$H$2:$H$6000,0))</f>
        <v/>
      </c>
      <c r="H361" s="0" t="str">
        <f aca="false">IF($A361="","",SUMIFS(Avaliacoes!$G$2:$G$6000,Avaliacoes!$A$2:$A$6000,$A361,Avaliacoes!$F$2:$F$6000,"III",Avaliacoes!$H$2:$H$6000,0))</f>
        <v/>
      </c>
      <c r="I361" s="0" t="str">
        <f aca="false">IF($A361="","",SUMIFS(Avaliacoes!$G$2:$G$6000,Avaliacoes!$A$2:$A$6000,$A361,Avaliacoes!$F$2:$F$6000,"IV",Avaliacoes!$H$2:$H$6000,0))</f>
        <v/>
      </c>
      <c r="J361" s="0" t="str">
        <f aca="false">IF($A361="","",COUNTIFS(Avaliacoes!$A$2:$A$6000,$A361,Avaliacoes!$F$2:$F$6000,"I",Avaliacoes!$H$2:$H$6000,0,Avaliacoes!$G$2:$G$6000,"&lt;&gt;")*Dimensoes!$E$2)</f>
        <v/>
      </c>
      <c r="K361" s="0" t="str">
        <f aca="false">IF($A361="","",COUNTIFS(Avaliacoes!$A$2:$A$6000,$A361,Avaliacoes!$F$2:$F$6000,"II",Avaliacoes!$H$2:$H$6000,0,Avaliacoes!$G$2:$G$6000,"&lt;&gt;")*Dimensoes!$E$3)</f>
        <v/>
      </c>
      <c r="L361" s="0" t="str">
        <f aca="false">IF($A361="","",COUNTIFS(Avaliacoes!$A$2:$A$6000,$A361,Avaliacoes!$F$2:$F$6000,"III",Avaliacoes!$H$2:$H$6000,0,Avaliacoes!$G$2:$G$6000,"&lt;&gt;")*Dimensoes!$E$4)</f>
        <v/>
      </c>
      <c r="M361" s="0" t="str">
        <f aca="false">IF($A361="","",COUNTIFS(Avaliacoes!$A$2:$A$6000,$A361,Avaliacoes!$F$2:$F$6000,"IV",Avaliacoes!$H$2:$H$6000,0,Avaliacoes!$G$2:$G$6000,"&lt;&gt;")*Dimensoes!$E$5)</f>
        <v/>
      </c>
      <c r="N361" s="9" t="str">
        <f aca="false">IF($A361="","",IF(J361&gt;0,F361/J361,""))</f>
        <v/>
      </c>
      <c r="O361" s="9" t="str">
        <f aca="false">IF($A361="","",IF(K361&gt;0,G361/K361,""))</f>
        <v/>
      </c>
      <c r="P361" s="9" t="str">
        <f aca="false">IF($A361="","",IF(L361&gt;0,H361/L361,""))</f>
        <v/>
      </c>
      <c r="Q361" s="9" t="str">
        <f aca="false">IF($A361="","",IF(M361&gt;0,I361/M361,""))</f>
        <v/>
      </c>
      <c r="R361" s="17" t="str">
        <f aca="false">IF($A361="","",IF((IF(N361="",0,Dimensoes!$C$2)+IF(O361="",0,Dimensoes!$C$3)+IF(P361="",0,Dimensoes!$C$4)+IF(Q361="",0,Dimensoes!$C$5))=0,"",(IF(N361="",0,N361*Dimensoes!$C$2)+IF(O361="",0,O361*Dimensoes!$C$3)+IF(P361="",0,P361*Dimensoes!$C$4)+IF(Q361="",0,Q361*Dimensoes!$C$5))/(IF(N361="",0,Dimensoes!$C$2)+IF(O361="",0,Dimensoes!$C$3)+IF(P361="",0,Dimensoes!$C$4)+IF(Q361="",0,Dimensoes!$C$5))))</f>
        <v/>
      </c>
      <c r="S361" s="0" t="str">
        <f aca="false">IF(R361="","",IF(R361&lt;Faixas!$C$3,"vermelho",IF(R361&lt;Faixas!$C$4,"amarelo","verde")))</f>
        <v/>
      </c>
      <c r="T361" s="9" t="str">
        <f aca="false">IF($A361="","",IF(N361="",0,N361*Dimensoes!$C$2)+IF(O361="",0,O361*Dimensoes!$C$3)+IF(P361="",0,P361*Dimensoes!$C$4)+IF(Q361="",0,Q361*Dimensoes!$C$5))</f>
        <v/>
      </c>
      <c r="U361" s="0" t="str">
        <f aca="false">IF($A361="","",IF(OR(E361="concluida",E361="incompleta"),1,0))</f>
        <v/>
      </c>
    </row>
    <row r="362" customFormat="false" ht="15" hidden="false" customHeight="false" outlineLevel="0" collapsed="false">
      <c r="A362" s="0" t="str">
        <f aca="false">IF(Visitas!A362="","",Visitas!A362)</f>
        <v/>
      </c>
      <c r="B362" s="0" t="str">
        <f aca="false">IF($A362="","",Visitas!C362)</f>
        <v/>
      </c>
      <c r="C362" s="7" t="str">
        <f aca="false">IF($A362="","",Visitas!D362)</f>
        <v/>
      </c>
      <c r="D362" s="0" t="str">
        <f aca="false">IF($A362="","",Visitas!B362)</f>
        <v/>
      </c>
      <c r="E362" s="0" t="str">
        <f aca="false">IF($A362="","",Visitas!F362)</f>
        <v/>
      </c>
      <c r="F362" s="0" t="str">
        <f aca="false">IF($A362="","",SUMIFS(Avaliacoes!$G$2:$G$6000,Avaliacoes!$A$2:$A$6000,$A362,Avaliacoes!$F$2:$F$6000,"I",Avaliacoes!$H$2:$H$6000,0))</f>
        <v/>
      </c>
      <c r="G362" s="0" t="str">
        <f aca="false">IF($A362="","",SUMIFS(Avaliacoes!$G$2:$G$6000,Avaliacoes!$A$2:$A$6000,$A362,Avaliacoes!$F$2:$F$6000,"II",Avaliacoes!$H$2:$H$6000,0))</f>
        <v/>
      </c>
      <c r="H362" s="0" t="str">
        <f aca="false">IF($A362="","",SUMIFS(Avaliacoes!$G$2:$G$6000,Avaliacoes!$A$2:$A$6000,$A362,Avaliacoes!$F$2:$F$6000,"III",Avaliacoes!$H$2:$H$6000,0))</f>
        <v/>
      </c>
      <c r="I362" s="0" t="str">
        <f aca="false">IF($A362="","",SUMIFS(Avaliacoes!$G$2:$G$6000,Avaliacoes!$A$2:$A$6000,$A362,Avaliacoes!$F$2:$F$6000,"IV",Avaliacoes!$H$2:$H$6000,0))</f>
        <v/>
      </c>
      <c r="J362" s="0" t="str">
        <f aca="false">IF($A362="","",COUNTIFS(Avaliacoes!$A$2:$A$6000,$A362,Avaliacoes!$F$2:$F$6000,"I",Avaliacoes!$H$2:$H$6000,0,Avaliacoes!$G$2:$G$6000,"&lt;&gt;")*Dimensoes!$E$2)</f>
        <v/>
      </c>
      <c r="K362" s="0" t="str">
        <f aca="false">IF($A362="","",COUNTIFS(Avaliacoes!$A$2:$A$6000,$A362,Avaliacoes!$F$2:$F$6000,"II",Avaliacoes!$H$2:$H$6000,0,Avaliacoes!$G$2:$G$6000,"&lt;&gt;")*Dimensoes!$E$3)</f>
        <v/>
      </c>
      <c r="L362" s="0" t="str">
        <f aca="false">IF($A362="","",COUNTIFS(Avaliacoes!$A$2:$A$6000,$A362,Avaliacoes!$F$2:$F$6000,"III",Avaliacoes!$H$2:$H$6000,0,Avaliacoes!$G$2:$G$6000,"&lt;&gt;")*Dimensoes!$E$4)</f>
        <v/>
      </c>
      <c r="M362" s="0" t="str">
        <f aca="false">IF($A362="","",COUNTIFS(Avaliacoes!$A$2:$A$6000,$A362,Avaliacoes!$F$2:$F$6000,"IV",Avaliacoes!$H$2:$H$6000,0,Avaliacoes!$G$2:$G$6000,"&lt;&gt;")*Dimensoes!$E$5)</f>
        <v/>
      </c>
      <c r="N362" s="9" t="str">
        <f aca="false">IF($A362="","",IF(J362&gt;0,F362/J362,""))</f>
        <v/>
      </c>
      <c r="O362" s="9" t="str">
        <f aca="false">IF($A362="","",IF(K362&gt;0,G362/K362,""))</f>
        <v/>
      </c>
      <c r="P362" s="9" t="str">
        <f aca="false">IF($A362="","",IF(L362&gt;0,H362/L362,""))</f>
        <v/>
      </c>
      <c r="Q362" s="9" t="str">
        <f aca="false">IF($A362="","",IF(M362&gt;0,I362/M362,""))</f>
        <v/>
      </c>
      <c r="R362" s="17" t="str">
        <f aca="false">IF($A362="","",IF((IF(N362="",0,Dimensoes!$C$2)+IF(O362="",0,Dimensoes!$C$3)+IF(P362="",0,Dimensoes!$C$4)+IF(Q362="",0,Dimensoes!$C$5))=0,"",(IF(N362="",0,N362*Dimensoes!$C$2)+IF(O362="",0,O362*Dimensoes!$C$3)+IF(P362="",0,P362*Dimensoes!$C$4)+IF(Q362="",0,Q362*Dimensoes!$C$5))/(IF(N362="",0,Dimensoes!$C$2)+IF(O362="",0,Dimensoes!$C$3)+IF(P362="",0,Dimensoes!$C$4)+IF(Q362="",0,Dimensoes!$C$5))))</f>
        <v/>
      </c>
      <c r="S362" s="0" t="str">
        <f aca="false">IF(R362="","",IF(R362&lt;Faixas!$C$3,"vermelho",IF(R362&lt;Faixas!$C$4,"amarelo","verde")))</f>
        <v/>
      </c>
      <c r="T362" s="9" t="str">
        <f aca="false">IF($A362="","",IF(N362="",0,N362*Dimensoes!$C$2)+IF(O362="",0,O362*Dimensoes!$C$3)+IF(P362="",0,P362*Dimensoes!$C$4)+IF(Q362="",0,Q362*Dimensoes!$C$5))</f>
        <v/>
      </c>
      <c r="U362" s="0" t="str">
        <f aca="false">IF($A362="","",IF(OR(E362="concluida",E362="incompleta"),1,0))</f>
        <v/>
      </c>
    </row>
    <row r="363" customFormat="false" ht="15" hidden="false" customHeight="false" outlineLevel="0" collapsed="false">
      <c r="A363" s="0" t="str">
        <f aca="false">IF(Visitas!A363="","",Visitas!A363)</f>
        <v/>
      </c>
      <c r="B363" s="0" t="str">
        <f aca="false">IF($A363="","",Visitas!C363)</f>
        <v/>
      </c>
      <c r="C363" s="7" t="str">
        <f aca="false">IF($A363="","",Visitas!D363)</f>
        <v/>
      </c>
      <c r="D363" s="0" t="str">
        <f aca="false">IF($A363="","",Visitas!B363)</f>
        <v/>
      </c>
      <c r="E363" s="0" t="str">
        <f aca="false">IF($A363="","",Visitas!F363)</f>
        <v/>
      </c>
      <c r="F363" s="0" t="str">
        <f aca="false">IF($A363="","",SUMIFS(Avaliacoes!$G$2:$G$6000,Avaliacoes!$A$2:$A$6000,$A363,Avaliacoes!$F$2:$F$6000,"I",Avaliacoes!$H$2:$H$6000,0))</f>
        <v/>
      </c>
      <c r="G363" s="0" t="str">
        <f aca="false">IF($A363="","",SUMIFS(Avaliacoes!$G$2:$G$6000,Avaliacoes!$A$2:$A$6000,$A363,Avaliacoes!$F$2:$F$6000,"II",Avaliacoes!$H$2:$H$6000,0))</f>
        <v/>
      </c>
      <c r="H363" s="0" t="str">
        <f aca="false">IF($A363="","",SUMIFS(Avaliacoes!$G$2:$G$6000,Avaliacoes!$A$2:$A$6000,$A363,Avaliacoes!$F$2:$F$6000,"III",Avaliacoes!$H$2:$H$6000,0))</f>
        <v/>
      </c>
      <c r="I363" s="0" t="str">
        <f aca="false">IF($A363="","",SUMIFS(Avaliacoes!$G$2:$G$6000,Avaliacoes!$A$2:$A$6000,$A363,Avaliacoes!$F$2:$F$6000,"IV",Avaliacoes!$H$2:$H$6000,0))</f>
        <v/>
      </c>
      <c r="J363" s="0" t="str">
        <f aca="false">IF($A363="","",COUNTIFS(Avaliacoes!$A$2:$A$6000,$A363,Avaliacoes!$F$2:$F$6000,"I",Avaliacoes!$H$2:$H$6000,0,Avaliacoes!$G$2:$G$6000,"&lt;&gt;")*Dimensoes!$E$2)</f>
        <v/>
      </c>
      <c r="K363" s="0" t="str">
        <f aca="false">IF($A363="","",COUNTIFS(Avaliacoes!$A$2:$A$6000,$A363,Avaliacoes!$F$2:$F$6000,"II",Avaliacoes!$H$2:$H$6000,0,Avaliacoes!$G$2:$G$6000,"&lt;&gt;")*Dimensoes!$E$3)</f>
        <v/>
      </c>
      <c r="L363" s="0" t="str">
        <f aca="false">IF($A363="","",COUNTIFS(Avaliacoes!$A$2:$A$6000,$A363,Avaliacoes!$F$2:$F$6000,"III",Avaliacoes!$H$2:$H$6000,0,Avaliacoes!$G$2:$G$6000,"&lt;&gt;")*Dimensoes!$E$4)</f>
        <v/>
      </c>
      <c r="M363" s="0" t="str">
        <f aca="false">IF($A363="","",COUNTIFS(Avaliacoes!$A$2:$A$6000,$A363,Avaliacoes!$F$2:$F$6000,"IV",Avaliacoes!$H$2:$H$6000,0,Avaliacoes!$G$2:$G$6000,"&lt;&gt;")*Dimensoes!$E$5)</f>
        <v/>
      </c>
      <c r="N363" s="9" t="str">
        <f aca="false">IF($A363="","",IF(J363&gt;0,F363/J363,""))</f>
        <v/>
      </c>
      <c r="O363" s="9" t="str">
        <f aca="false">IF($A363="","",IF(K363&gt;0,G363/K363,""))</f>
        <v/>
      </c>
      <c r="P363" s="9" t="str">
        <f aca="false">IF($A363="","",IF(L363&gt;0,H363/L363,""))</f>
        <v/>
      </c>
      <c r="Q363" s="9" t="str">
        <f aca="false">IF($A363="","",IF(M363&gt;0,I363/M363,""))</f>
        <v/>
      </c>
      <c r="R363" s="17" t="str">
        <f aca="false">IF($A363="","",IF((IF(N363="",0,Dimensoes!$C$2)+IF(O363="",0,Dimensoes!$C$3)+IF(P363="",0,Dimensoes!$C$4)+IF(Q363="",0,Dimensoes!$C$5))=0,"",(IF(N363="",0,N363*Dimensoes!$C$2)+IF(O363="",0,O363*Dimensoes!$C$3)+IF(P363="",0,P363*Dimensoes!$C$4)+IF(Q363="",0,Q363*Dimensoes!$C$5))/(IF(N363="",0,Dimensoes!$C$2)+IF(O363="",0,Dimensoes!$C$3)+IF(P363="",0,Dimensoes!$C$4)+IF(Q363="",0,Dimensoes!$C$5))))</f>
        <v/>
      </c>
      <c r="S363" s="0" t="str">
        <f aca="false">IF(R363="","",IF(R363&lt;Faixas!$C$3,"vermelho",IF(R363&lt;Faixas!$C$4,"amarelo","verde")))</f>
        <v/>
      </c>
      <c r="T363" s="9" t="str">
        <f aca="false">IF($A363="","",IF(N363="",0,N363*Dimensoes!$C$2)+IF(O363="",0,O363*Dimensoes!$C$3)+IF(P363="",0,P363*Dimensoes!$C$4)+IF(Q363="",0,Q363*Dimensoes!$C$5))</f>
        <v/>
      </c>
      <c r="U363" s="0" t="str">
        <f aca="false">IF($A363="","",IF(OR(E363="concluida",E363="incompleta"),1,0))</f>
        <v/>
      </c>
    </row>
    <row r="364" customFormat="false" ht="15" hidden="false" customHeight="false" outlineLevel="0" collapsed="false">
      <c r="A364" s="0" t="str">
        <f aca="false">IF(Visitas!A364="","",Visitas!A364)</f>
        <v/>
      </c>
      <c r="B364" s="0" t="str">
        <f aca="false">IF($A364="","",Visitas!C364)</f>
        <v/>
      </c>
      <c r="C364" s="7" t="str">
        <f aca="false">IF($A364="","",Visitas!D364)</f>
        <v/>
      </c>
      <c r="D364" s="0" t="str">
        <f aca="false">IF($A364="","",Visitas!B364)</f>
        <v/>
      </c>
      <c r="E364" s="0" t="str">
        <f aca="false">IF($A364="","",Visitas!F364)</f>
        <v/>
      </c>
      <c r="F364" s="0" t="str">
        <f aca="false">IF($A364="","",SUMIFS(Avaliacoes!$G$2:$G$6000,Avaliacoes!$A$2:$A$6000,$A364,Avaliacoes!$F$2:$F$6000,"I",Avaliacoes!$H$2:$H$6000,0))</f>
        <v/>
      </c>
      <c r="G364" s="0" t="str">
        <f aca="false">IF($A364="","",SUMIFS(Avaliacoes!$G$2:$G$6000,Avaliacoes!$A$2:$A$6000,$A364,Avaliacoes!$F$2:$F$6000,"II",Avaliacoes!$H$2:$H$6000,0))</f>
        <v/>
      </c>
      <c r="H364" s="0" t="str">
        <f aca="false">IF($A364="","",SUMIFS(Avaliacoes!$G$2:$G$6000,Avaliacoes!$A$2:$A$6000,$A364,Avaliacoes!$F$2:$F$6000,"III",Avaliacoes!$H$2:$H$6000,0))</f>
        <v/>
      </c>
      <c r="I364" s="0" t="str">
        <f aca="false">IF($A364="","",SUMIFS(Avaliacoes!$G$2:$G$6000,Avaliacoes!$A$2:$A$6000,$A364,Avaliacoes!$F$2:$F$6000,"IV",Avaliacoes!$H$2:$H$6000,0))</f>
        <v/>
      </c>
      <c r="J364" s="0" t="str">
        <f aca="false">IF($A364="","",COUNTIFS(Avaliacoes!$A$2:$A$6000,$A364,Avaliacoes!$F$2:$F$6000,"I",Avaliacoes!$H$2:$H$6000,0,Avaliacoes!$G$2:$G$6000,"&lt;&gt;")*Dimensoes!$E$2)</f>
        <v/>
      </c>
      <c r="K364" s="0" t="str">
        <f aca="false">IF($A364="","",COUNTIFS(Avaliacoes!$A$2:$A$6000,$A364,Avaliacoes!$F$2:$F$6000,"II",Avaliacoes!$H$2:$H$6000,0,Avaliacoes!$G$2:$G$6000,"&lt;&gt;")*Dimensoes!$E$3)</f>
        <v/>
      </c>
      <c r="L364" s="0" t="str">
        <f aca="false">IF($A364="","",COUNTIFS(Avaliacoes!$A$2:$A$6000,$A364,Avaliacoes!$F$2:$F$6000,"III",Avaliacoes!$H$2:$H$6000,0,Avaliacoes!$G$2:$G$6000,"&lt;&gt;")*Dimensoes!$E$4)</f>
        <v/>
      </c>
      <c r="M364" s="0" t="str">
        <f aca="false">IF($A364="","",COUNTIFS(Avaliacoes!$A$2:$A$6000,$A364,Avaliacoes!$F$2:$F$6000,"IV",Avaliacoes!$H$2:$H$6000,0,Avaliacoes!$G$2:$G$6000,"&lt;&gt;")*Dimensoes!$E$5)</f>
        <v/>
      </c>
      <c r="N364" s="9" t="str">
        <f aca="false">IF($A364="","",IF(J364&gt;0,F364/J364,""))</f>
        <v/>
      </c>
      <c r="O364" s="9" t="str">
        <f aca="false">IF($A364="","",IF(K364&gt;0,G364/K364,""))</f>
        <v/>
      </c>
      <c r="P364" s="9" t="str">
        <f aca="false">IF($A364="","",IF(L364&gt;0,H364/L364,""))</f>
        <v/>
      </c>
      <c r="Q364" s="9" t="str">
        <f aca="false">IF($A364="","",IF(M364&gt;0,I364/M364,""))</f>
        <v/>
      </c>
      <c r="R364" s="17" t="str">
        <f aca="false">IF($A364="","",IF((IF(N364="",0,Dimensoes!$C$2)+IF(O364="",0,Dimensoes!$C$3)+IF(P364="",0,Dimensoes!$C$4)+IF(Q364="",0,Dimensoes!$C$5))=0,"",(IF(N364="",0,N364*Dimensoes!$C$2)+IF(O364="",0,O364*Dimensoes!$C$3)+IF(P364="",0,P364*Dimensoes!$C$4)+IF(Q364="",0,Q364*Dimensoes!$C$5))/(IF(N364="",0,Dimensoes!$C$2)+IF(O364="",0,Dimensoes!$C$3)+IF(P364="",0,Dimensoes!$C$4)+IF(Q364="",0,Dimensoes!$C$5))))</f>
        <v/>
      </c>
      <c r="S364" s="0" t="str">
        <f aca="false">IF(R364="","",IF(R364&lt;Faixas!$C$3,"vermelho",IF(R364&lt;Faixas!$C$4,"amarelo","verde")))</f>
        <v/>
      </c>
      <c r="T364" s="9" t="str">
        <f aca="false">IF($A364="","",IF(N364="",0,N364*Dimensoes!$C$2)+IF(O364="",0,O364*Dimensoes!$C$3)+IF(P364="",0,P364*Dimensoes!$C$4)+IF(Q364="",0,Q364*Dimensoes!$C$5))</f>
        <v/>
      </c>
      <c r="U364" s="0" t="str">
        <f aca="false">IF($A364="","",IF(OR(E364="concluida",E364="incompleta"),1,0))</f>
        <v/>
      </c>
    </row>
    <row r="365" customFormat="false" ht="15" hidden="false" customHeight="false" outlineLevel="0" collapsed="false">
      <c r="A365" s="0" t="str">
        <f aca="false">IF(Visitas!A365="","",Visitas!A365)</f>
        <v/>
      </c>
      <c r="B365" s="0" t="str">
        <f aca="false">IF($A365="","",Visitas!C365)</f>
        <v/>
      </c>
      <c r="C365" s="7" t="str">
        <f aca="false">IF($A365="","",Visitas!D365)</f>
        <v/>
      </c>
      <c r="D365" s="0" t="str">
        <f aca="false">IF($A365="","",Visitas!B365)</f>
        <v/>
      </c>
      <c r="E365" s="0" t="str">
        <f aca="false">IF($A365="","",Visitas!F365)</f>
        <v/>
      </c>
      <c r="F365" s="0" t="str">
        <f aca="false">IF($A365="","",SUMIFS(Avaliacoes!$G$2:$G$6000,Avaliacoes!$A$2:$A$6000,$A365,Avaliacoes!$F$2:$F$6000,"I",Avaliacoes!$H$2:$H$6000,0))</f>
        <v/>
      </c>
      <c r="G365" s="0" t="str">
        <f aca="false">IF($A365="","",SUMIFS(Avaliacoes!$G$2:$G$6000,Avaliacoes!$A$2:$A$6000,$A365,Avaliacoes!$F$2:$F$6000,"II",Avaliacoes!$H$2:$H$6000,0))</f>
        <v/>
      </c>
      <c r="H365" s="0" t="str">
        <f aca="false">IF($A365="","",SUMIFS(Avaliacoes!$G$2:$G$6000,Avaliacoes!$A$2:$A$6000,$A365,Avaliacoes!$F$2:$F$6000,"III",Avaliacoes!$H$2:$H$6000,0))</f>
        <v/>
      </c>
      <c r="I365" s="0" t="str">
        <f aca="false">IF($A365="","",SUMIFS(Avaliacoes!$G$2:$G$6000,Avaliacoes!$A$2:$A$6000,$A365,Avaliacoes!$F$2:$F$6000,"IV",Avaliacoes!$H$2:$H$6000,0))</f>
        <v/>
      </c>
      <c r="J365" s="0" t="str">
        <f aca="false">IF($A365="","",COUNTIFS(Avaliacoes!$A$2:$A$6000,$A365,Avaliacoes!$F$2:$F$6000,"I",Avaliacoes!$H$2:$H$6000,0,Avaliacoes!$G$2:$G$6000,"&lt;&gt;")*Dimensoes!$E$2)</f>
        <v/>
      </c>
      <c r="K365" s="0" t="str">
        <f aca="false">IF($A365="","",COUNTIFS(Avaliacoes!$A$2:$A$6000,$A365,Avaliacoes!$F$2:$F$6000,"II",Avaliacoes!$H$2:$H$6000,0,Avaliacoes!$G$2:$G$6000,"&lt;&gt;")*Dimensoes!$E$3)</f>
        <v/>
      </c>
      <c r="L365" s="0" t="str">
        <f aca="false">IF($A365="","",COUNTIFS(Avaliacoes!$A$2:$A$6000,$A365,Avaliacoes!$F$2:$F$6000,"III",Avaliacoes!$H$2:$H$6000,0,Avaliacoes!$G$2:$G$6000,"&lt;&gt;")*Dimensoes!$E$4)</f>
        <v/>
      </c>
      <c r="M365" s="0" t="str">
        <f aca="false">IF($A365="","",COUNTIFS(Avaliacoes!$A$2:$A$6000,$A365,Avaliacoes!$F$2:$F$6000,"IV",Avaliacoes!$H$2:$H$6000,0,Avaliacoes!$G$2:$G$6000,"&lt;&gt;")*Dimensoes!$E$5)</f>
        <v/>
      </c>
      <c r="N365" s="9" t="str">
        <f aca="false">IF($A365="","",IF(J365&gt;0,F365/J365,""))</f>
        <v/>
      </c>
      <c r="O365" s="9" t="str">
        <f aca="false">IF($A365="","",IF(K365&gt;0,G365/K365,""))</f>
        <v/>
      </c>
      <c r="P365" s="9" t="str">
        <f aca="false">IF($A365="","",IF(L365&gt;0,H365/L365,""))</f>
        <v/>
      </c>
      <c r="Q365" s="9" t="str">
        <f aca="false">IF($A365="","",IF(M365&gt;0,I365/M365,""))</f>
        <v/>
      </c>
      <c r="R365" s="17" t="str">
        <f aca="false">IF($A365="","",IF((IF(N365="",0,Dimensoes!$C$2)+IF(O365="",0,Dimensoes!$C$3)+IF(P365="",0,Dimensoes!$C$4)+IF(Q365="",0,Dimensoes!$C$5))=0,"",(IF(N365="",0,N365*Dimensoes!$C$2)+IF(O365="",0,O365*Dimensoes!$C$3)+IF(P365="",0,P365*Dimensoes!$C$4)+IF(Q365="",0,Q365*Dimensoes!$C$5))/(IF(N365="",0,Dimensoes!$C$2)+IF(O365="",0,Dimensoes!$C$3)+IF(P365="",0,Dimensoes!$C$4)+IF(Q365="",0,Dimensoes!$C$5))))</f>
        <v/>
      </c>
      <c r="S365" s="0" t="str">
        <f aca="false">IF(R365="","",IF(R365&lt;Faixas!$C$3,"vermelho",IF(R365&lt;Faixas!$C$4,"amarelo","verde")))</f>
        <v/>
      </c>
      <c r="T365" s="9" t="str">
        <f aca="false">IF($A365="","",IF(N365="",0,N365*Dimensoes!$C$2)+IF(O365="",0,O365*Dimensoes!$C$3)+IF(P365="",0,P365*Dimensoes!$C$4)+IF(Q365="",0,Q365*Dimensoes!$C$5))</f>
        <v/>
      </c>
      <c r="U365" s="0" t="str">
        <f aca="false">IF($A365="","",IF(OR(E365="concluida",E365="incompleta"),1,0))</f>
        <v/>
      </c>
    </row>
    <row r="366" customFormat="false" ht="15" hidden="false" customHeight="false" outlineLevel="0" collapsed="false">
      <c r="A366" s="0" t="str">
        <f aca="false">IF(Visitas!A366="","",Visitas!A366)</f>
        <v/>
      </c>
      <c r="B366" s="0" t="str">
        <f aca="false">IF($A366="","",Visitas!C366)</f>
        <v/>
      </c>
      <c r="C366" s="7" t="str">
        <f aca="false">IF($A366="","",Visitas!D366)</f>
        <v/>
      </c>
      <c r="D366" s="0" t="str">
        <f aca="false">IF($A366="","",Visitas!B366)</f>
        <v/>
      </c>
      <c r="E366" s="0" t="str">
        <f aca="false">IF($A366="","",Visitas!F366)</f>
        <v/>
      </c>
      <c r="F366" s="0" t="str">
        <f aca="false">IF($A366="","",SUMIFS(Avaliacoes!$G$2:$G$6000,Avaliacoes!$A$2:$A$6000,$A366,Avaliacoes!$F$2:$F$6000,"I",Avaliacoes!$H$2:$H$6000,0))</f>
        <v/>
      </c>
      <c r="G366" s="0" t="str">
        <f aca="false">IF($A366="","",SUMIFS(Avaliacoes!$G$2:$G$6000,Avaliacoes!$A$2:$A$6000,$A366,Avaliacoes!$F$2:$F$6000,"II",Avaliacoes!$H$2:$H$6000,0))</f>
        <v/>
      </c>
      <c r="H366" s="0" t="str">
        <f aca="false">IF($A366="","",SUMIFS(Avaliacoes!$G$2:$G$6000,Avaliacoes!$A$2:$A$6000,$A366,Avaliacoes!$F$2:$F$6000,"III",Avaliacoes!$H$2:$H$6000,0))</f>
        <v/>
      </c>
      <c r="I366" s="0" t="str">
        <f aca="false">IF($A366="","",SUMIFS(Avaliacoes!$G$2:$G$6000,Avaliacoes!$A$2:$A$6000,$A366,Avaliacoes!$F$2:$F$6000,"IV",Avaliacoes!$H$2:$H$6000,0))</f>
        <v/>
      </c>
      <c r="J366" s="0" t="str">
        <f aca="false">IF($A366="","",COUNTIFS(Avaliacoes!$A$2:$A$6000,$A366,Avaliacoes!$F$2:$F$6000,"I",Avaliacoes!$H$2:$H$6000,0,Avaliacoes!$G$2:$G$6000,"&lt;&gt;")*Dimensoes!$E$2)</f>
        <v/>
      </c>
      <c r="K366" s="0" t="str">
        <f aca="false">IF($A366="","",COUNTIFS(Avaliacoes!$A$2:$A$6000,$A366,Avaliacoes!$F$2:$F$6000,"II",Avaliacoes!$H$2:$H$6000,0,Avaliacoes!$G$2:$G$6000,"&lt;&gt;")*Dimensoes!$E$3)</f>
        <v/>
      </c>
      <c r="L366" s="0" t="str">
        <f aca="false">IF($A366="","",COUNTIFS(Avaliacoes!$A$2:$A$6000,$A366,Avaliacoes!$F$2:$F$6000,"III",Avaliacoes!$H$2:$H$6000,0,Avaliacoes!$G$2:$G$6000,"&lt;&gt;")*Dimensoes!$E$4)</f>
        <v/>
      </c>
      <c r="M366" s="0" t="str">
        <f aca="false">IF($A366="","",COUNTIFS(Avaliacoes!$A$2:$A$6000,$A366,Avaliacoes!$F$2:$F$6000,"IV",Avaliacoes!$H$2:$H$6000,0,Avaliacoes!$G$2:$G$6000,"&lt;&gt;")*Dimensoes!$E$5)</f>
        <v/>
      </c>
      <c r="N366" s="9" t="str">
        <f aca="false">IF($A366="","",IF(J366&gt;0,F366/J366,""))</f>
        <v/>
      </c>
      <c r="O366" s="9" t="str">
        <f aca="false">IF($A366="","",IF(K366&gt;0,G366/K366,""))</f>
        <v/>
      </c>
      <c r="P366" s="9" t="str">
        <f aca="false">IF($A366="","",IF(L366&gt;0,H366/L366,""))</f>
        <v/>
      </c>
      <c r="Q366" s="9" t="str">
        <f aca="false">IF($A366="","",IF(M366&gt;0,I366/M366,""))</f>
        <v/>
      </c>
      <c r="R366" s="17" t="str">
        <f aca="false">IF($A366="","",IF((IF(N366="",0,Dimensoes!$C$2)+IF(O366="",0,Dimensoes!$C$3)+IF(P366="",0,Dimensoes!$C$4)+IF(Q366="",0,Dimensoes!$C$5))=0,"",(IF(N366="",0,N366*Dimensoes!$C$2)+IF(O366="",0,O366*Dimensoes!$C$3)+IF(P366="",0,P366*Dimensoes!$C$4)+IF(Q366="",0,Q366*Dimensoes!$C$5))/(IF(N366="",0,Dimensoes!$C$2)+IF(O366="",0,Dimensoes!$C$3)+IF(P366="",0,Dimensoes!$C$4)+IF(Q366="",0,Dimensoes!$C$5))))</f>
        <v/>
      </c>
      <c r="S366" s="0" t="str">
        <f aca="false">IF(R366="","",IF(R366&lt;Faixas!$C$3,"vermelho",IF(R366&lt;Faixas!$C$4,"amarelo","verde")))</f>
        <v/>
      </c>
      <c r="T366" s="9" t="str">
        <f aca="false">IF($A366="","",IF(N366="",0,N366*Dimensoes!$C$2)+IF(O366="",0,O366*Dimensoes!$C$3)+IF(P366="",0,P366*Dimensoes!$C$4)+IF(Q366="",0,Q366*Dimensoes!$C$5))</f>
        <v/>
      </c>
      <c r="U366" s="0" t="str">
        <f aca="false">IF($A366="","",IF(OR(E366="concluida",E366="incompleta"),1,0))</f>
        <v/>
      </c>
    </row>
    <row r="367" customFormat="false" ht="15" hidden="false" customHeight="false" outlineLevel="0" collapsed="false">
      <c r="A367" s="0" t="str">
        <f aca="false">IF(Visitas!A367="","",Visitas!A367)</f>
        <v/>
      </c>
      <c r="B367" s="0" t="str">
        <f aca="false">IF($A367="","",Visitas!C367)</f>
        <v/>
      </c>
      <c r="C367" s="7" t="str">
        <f aca="false">IF($A367="","",Visitas!D367)</f>
        <v/>
      </c>
      <c r="D367" s="0" t="str">
        <f aca="false">IF($A367="","",Visitas!B367)</f>
        <v/>
      </c>
      <c r="E367" s="0" t="str">
        <f aca="false">IF($A367="","",Visitas!F367)</f>
        <v/>
      </c>
      <c r="F367" s="0" t="str">
        <f aca="false">IF($A367="","",SUMIFS(Avaliacoes!$G$2:$G$6000,Avaliacoes!$A$2:$A$6000,$A367,Avaliacoes!$F$2:$F$6000,"I",Avaliacoes!$H$2:$H$6000,0))</f>
        <v/>
      </c>
      <c r="G367" s="0" t="str">
        <f aca="false">IF($A367="","",SUMIFS(Avaliacoes!$G$2:$G$6000,Avaliacoes!$A$2:$A$6000,$A367,Avaliacoes!$F$2:$F$6000,"II",Avaliacoes!$H$2:$H$6000,0))</f>
        <v/>
      </c>
      <c r="H367" s="0" t="str">
        <f aca="false">IF($A367="","",SUMIFS(Avaliacoes!$G$2:$G$6000,Avaliacoes!$A$2:$A$6000,$A367,Avaliacoes!$F$2:$F$6000,"III",Avaliacoes!$H$2:$H$6000,0))</f>
        <v/>
      </c>
      <c r="I367" s="0" t="str">
        <f aca="false">IF($A367="","",SUMIFS(Avaliacoes!$G$2:$G$6000,Avaliacoes!$A$2:$A$6000,$A367,Avaliacoes!$F$2:$F$6000,"IV",Avaliacoes!$H$2:$H$6000,0))</f>
        <v/>
      </c>
      <c r="J367" s="0" t="str">
        <f aca="false">IF($A367="","",COUNTIFS(Avaliacoes!$A$2:$A$6000,$A367,Avaliacoes!$F$2:$F$6000,"I",Avaliacoes!$H$2:$H$6000,0,Avaliacoes!$G$2:$G$6000,"&lt;&gt;")*Dimensoes!$E$2)</f>
        <v/>
      </c>
      <c r="K367" s="0" t="str">
        <f aca="false">IF($A367="","",COUNTIFS(Avaliacoes!$A$2:$A$6000,$A367,Avaliacoes!$F$2:$F$6000,"II",Avaliacoes!$H$2:$H$6000,0,Avaliacoes!$G$2:$G$6000,"&lt;&gt;")*Dimensoes!$E$3)</f>
        <v/>
      </c>
      <c r="L367" s="0" t="str">
        <f aca="false">IF($A367="","",COUNTIFS(Avaliacoes!$A$2:$A$6000,$A367,Avaliacoes!$F$2:$F$6000,"III",Avaliacoes!$H$2:$H$6000,0,Avaliacoes!$G$2:$G$6000,"&lt;&gt;")*Dimensoes!$E$4)</f>
        <v/>
      </c>
      <c r="M367" s="0" t="str">
        <f aca="false">IF($A367="","",COUNTIFS(Avaliacoes!$A$2:$A$6000,$A367,Avaliacoes!$F$2:$F$6000,"IV",Avaliacoes!$H$2:$H$6000,0,Avaliacoes!$G$2:$G$6000,"&lt;&gt;")*Dimensoes!$E$5)</f>
        <v/>
      </c>
      <c r="N367" s="9" t="str">
        <f aca="false">IF($A367="","",IF(J367&gt;0,F367/J367,""))</f>
        <v/>
      </c>
      <c r="O367" s="9" t="str">
        <f aca="false">IF($A367="","",IF(K367&gt;0,G367/K367,""))</f>
        <v/>
      </c>
      <c r="P367" s="9" t="str">
        <f aca="false">IF($A367="","",IF(L367&gt;0,H367/L367,""))</f>
        <v/>
      </c>
      <c r="Q367" s="9" t="str">
        <f aca="false">IF($A367="","",IF(M367&gt;0,I367/M367,""))</f>
        <v/>
      </c>
      <c r="R367" s="17" t="str">
        <f aca="false">IF($A367="","",IF((IF(N367="",0,Dimensoes!$C$2)+IF(O367="",0,Dimensoes!$C$3)+IF(P367="",0,Dimensoes!$C$4)+IF(Q367="",0,Dimensoes!$C$5))=0,"",(IF(N367="",0,N367*Dimensoes!$C$2)+IF(O367="",0,O367*Dimensoes!$C$3)+IF(P367="",0,P367*Dimensoes!$C$4)+IF(Q367="",0,Q367*Dimensoes!$C$5))/(IF(N367="",0,Dimensoes!$C$2)+IF(O367="",0,Dimensoes!$C$3)+IF(P367="",0,Dimensoes!$C$4)+IF(Q367="",0,Dimensoes!$C$5))))</f>
        <v/>
      </c>
      <c r="S367" s="0" t="str">
        <f aca="false">IF(R367="","",IF(R367&lt;Faixas!$C$3,"vermelho",IF(R367&lt;Faixas!$C$4,"amarelo","verde")))</f>
        <v/>
      </c>
      <c r="T367" s="9" t="str">
        <f aca="false">IF($A367="","",IF(N367="",0,N367*Dimensoes!$C$2)+IF(O367="",0,O367*Dimensoes!$C$3)+IF(P367="",0,P367*Dimensoes!$C$4)+IF(Q367="",0,Q367*Dimensoes!$C$5))</f>
        <v/>
      </c>
      <c r="U367" s="0" t="str">
        <f aca="false">IF($A367="","",IF(OR(E367="concluida",E367="incompleta"),1,0))</f>
        <v/>
      </c>
    </row>
    <row r="368" customFormat="false" ht="15" hidden="false" customHeight="false" outlineLevel="0" collapsed="false">
      <c r="A368" s="0" t="str">
        <f aca="false">IF(Visitas!A368="","",Visitas!A368)</f>
        <v/>
      </c>
      <c r="B368" s="0" t="str">
        <f aca="false">IF($A368="","",Visitas!C368)</f>
        <v/>
      </c>
      <c r="C368" s="7" t="str">
        <f aca="false">IF($A368="","",Visitas!D368)</f>
        <v/>
      </c>
      <c r="D368" s="0" t="str">
        <f aca="false">IF($A368="","",Visitas!B368)</f>
        <v/>
      </c>
      <c r="E368" s="0" t="str">
        <f aca="false">IF($A368="","",Visitas!F368)</f>
        <v/>
      </c>
      <c r="F368" s="0" t="str">
        <f aca="false">IF($A368="","",SUMIFS(Avaliacoes!$G$2:$G$6000,Avaliacoes!$A$2:$A$6000,$A368,Avaliacoes!$F$2:$F$6000,"I",Avaliacoes!$H$2:$H$6000,0))</f>
        <v/>
      </c>
      <c r="G368" s="0" t="str">
        <f aca="false">IF($A368="","",SUMIFS(Avaliacoes!$G$2:$G$6000,Avaliacoes!$A$2:$A$6000,$A368,Avaliacoes!$F$2:$F$6000,"II",Avaliacoes!$H$2:$H$6000,0))</f>
        <v/>
      </c>
      <c r="H368" s="0" t="str">
        <f aca="false">IF($A368="","",SUMIFS(Avaliacoes!$G$2:$G$6000,Avaliacoes!$A$2:$A$6000,$A368,Avaliacoes!$F$2:$F$6000,"III",Avaliacoes!$H$2:$H$6000,0))</f>
        <v/>
      </c>
      <c r="I368" s="0" t="str">
        <f aca="false">IF($A368="","",SUMIFS(Avaliacoes!$G$2:$G$6000,Avaliacoes!$A$2:$A$6000,$A368,Avaliacoes!$F$2:$F$6000,"IV",Avaliacoes!$H$2:$H$6000,0))</f>
        <v/>
      </c>
      <c r="J368" s="0" t="str">
        <f aca="false">IF($A368="","",COUNTIFS(Avaliacoes!$A$2:$A$6000,$A368,Avaliacoes!$F$2:$F$6000,"I",Avaliacoes!$H$2:$H$6000,0,Avaliacoes!$G$2:$G$6000,"&lt;&gt;")*Dimensoes!$E$2)</f>
        <v/>
      </c>
      <c r="K368" s="0" t="str">
        <f aca="false">IF($A368="","",COUNTIFS(Avaliacoes!$A$2:$A$6000,$A368,Avaliacoes!$F$2:$F$6000,"II",Avaliacoes!$H$2:$H$6000,0,Avaliacoes!$G$2:$G$6000,"&lt;&gt;")*Dimensoes!$E$3)</f>
        <v/>
      </c>
      <c r="L368" s="0" t="str">
        <f aca="false">IF($A368="","",COUNTIFS(Avaliacoes!$A$2:$A$6000,$A368,Avaliacoes!$F$2:$F$6000,"III",Avaliacoes!$H$2:$H$6000,0,Avaliacoes!$G$2:$G$6000,"&lt;&gt;")*Dimensoes!$E$4)</f>
        <v/>
      </c>
      <c r="M368" s="0" t="str">
        <f aca="false">IF($A368="","",COUNTIFS(Avaliacoes!$A$2:$A$6000,$A368,Avaliacoes!$F$2:$F$6000,"IV",Avaliacoes!$H$2:$H$6000,0,Avaliacoes!$G$2:$G$6000,"&lt;&gt;")*Dimensoes!$E$5)</f>
        <v/>
      </c>
      <c r="N368" s="9" t="str">
        <f aca="false">IF($A368="","",IF(J368&gt;0,F368/J368,""))</f>
        <v/>
      </c>
      <c r="O368" s="9" t="str">
        <f aca="false">IF($A368="","",IF(K368&gt;0,G368/K368,""))</f>
        <v/>
      </c>
      <c r="P368" s="9" t="str">
        <f aca="false">IF($A368="","",IF(L368&gt;0,H368/L368,""))</f>
        <v/>
      </c>
      <c r="Q368" s="9" t="str">
        <f aca="false">IF($A368="","",IF(M368&gt;0,I368/M368,""))</f>
        <v/>
      </c>
      <c r="R368" s="17" t="str">
        <f aca="false">IF($A368="","",IF((IF(N368="",0,Dimensoes!$C$2)+IF(O368="",0,Dimensoes!$C$3)+IF(P368="",0,Dimensoes!$C$4)+IF(Q368="",0,Dimensoes!$C$5))=0,"",(IF(N368="",0,N368*Dimensoes!$C$2)+IF(O368="",0,O368*Dimensoes!$C$3)+IF(P368="",0,P368*Dimensoes!$C$4)+IF(Q368="",0,Q368*Dimensoes!$C$5))/(IF(N368="",0,Dimensoes!$C$2)+IF(O368="",0,Dimensoes!$C$3)+IF(P368="",0,Dimensoes!$C$4)+IF(Q368="",0,Dimensoes!$C$5))))</f>
        <v/>
      </c>
      <c r="S368" s="0" t="str">
        <f aca="false">IF(R368="","",IF(R368&lt;Faixas!$C$3,"vermelho",IF(R368&lt;Faixas!$C$4,"amarelo","verde")))</f>
        <v/>
      </c>
      <c r="T368" s="9" t="str">
        <f aca="false">IF($A368="","",IF(N368="",0,N368*Dimensoes!$C$2)+IF(O368="",0,O368*Dimensoes!$C$3)+IF(P368="",0,P368*Dimensoes!$C$4)+IF(Q368="",0,Q368*Dimensoes!$C$5))</f>
        <v/>
      </c>
      <c r="U368" s="0" t="str">
        <f aca="false">IF($A368="","",IF(OR(E368="concluida",E368="incompleta"),1,0))</f>
        <v/>
      </c>
    </row>
    <row r="369" customFormat="false" ht="15" hidden="false" customHeight="false" outlineLevel="0" collapsed="false">
      <c r="A369" s="0" t="str">
        <f aca="false">IF(Visitas!A369="","",Visitas!A369)</f>
        <v/>
      </c>
      <c r="B369" s="0" t="str">
        <f aca="false">IF($A369="","",Visitas!C369)</f>
        <v/>
      </c>
      <c r="C369" s="7" t="str">
        <f aca="false">IF($A369="","",Visitas!D369)</f>
        <v/>
      </c>
      <c r="D369" s="0" t="str">
        <f aca="false">IF($A369="","",Visitas!B369)</f>
        <v/>
      </c>
      <c r="E369" s="0" t="str">
        <f aca="false">IF($A369="","",Visitas!F369)</f>
        <v/>
      </c>
      <c r="F369" s="0" t="str">
        <f aca="false">IF($A369="","",SUMIFS(Avaliacoes!$G$2:$G$6000,Avaliacoes!$A$2:$A$6000,$A369,Avaliacoes!$F$2:$F$6000,"I",Avaliacoes!$H$2:$H$6000,0))</f>
        <v/>
      </c>
      <c r="G369" s="0" t="str">
        <f aca="false">IF($A369="","",SUMIFS(Avaliacoes!$G$2:$G$6000,Avaliacoes!$A$2:$A$6000,$A369,Avaliacoes!$F$2:$F$6000,"II",Avaliacoes!$H$2:$H$6000,0))</f>
        <v/>
      </c>
      <c r="H369" s="0" t="str">
        <f aca="false">IF($A369="","",SUMIFS(Avaliacoes!$G$2:$G$6000,Avaliacoes!$A$2:$A$6000,$A369,Avaliacoes!$F$2:$F$6000,"III",Avaliacoes!$H$2:$H$6000,0))</f>
        <v/>
      </c>
      <c r="I369" s="0" t="str">
        <f aca="false">IF($A369="","",SUMIFS(Avaliacoes!$G$2:$G$6000,Avaliacoes!$A$2:$A$6000,$A369,Avaliacoes!$F$2:$F$6000,"IV",Avaliacoes!$H$2:$H$6000,0))</f>
        <v/>
      </c>
      <c r="J369" s="0" t="str">
        <f aca="false">IF($A369="","",COUNTIFS(Avaliacoes!$A$2:$A$6000,$A369,Avaliacoes!$F$2:$F$6000,"I",Avaliacoes!$H$2:$H$6000,0,Avaliacoes!$G$2:$G$6000,"&lt;&gt;")*Dimensoes!$E$2)</f>
        <v/>
      </c>
      <c r="K369" s="0" t="str">
        <f aca="false">IF($A369="","",COUNTIFS(Avaliacoes!$A$2:$A$6000,$A369,Avaliacoes!$F$2:$F$6000,"II",Avaliacoes!$H$2:$H$6000,0,Avaliacoes!$G$2:$G$6000,"&lt;&gt;")*Dimensoes!$E$3)</f>
        <v/>
      </c>
      <c r="L369" s="0" t="str">
        <f aca="false">IF($A369="","",COUNTIFS(Avaliacoes!$A$2:$A$6000,$A369,Avaliacoes!$F$2:$F$6000,"III",Avaliacoes!$H$2:$H$6000,0,Avaliacoes!$G$2:$G$6000,"&lt;&gt;")*Dimensoes!$E$4)</f>
        <v/>
      </c>
      <c r="M369" s="0" t="str">
        <f aca="false">IF($A369="","",COUNTIFS(Avaliacoes!$A$2:$A$6000,$A369,Avaliacoes!$F$2:$F$6000,"IV",Avaliacoes!$H$2:$H$6000,0,Avaliacoes!$G$2:$G$6000,"&lt;&gt;")*Dimensoes!$E$5)</f>
        <v/>
      </c>
      <c r="N369" s="9" t="str">
        <f aca="false">IF($A369="","",IF(J369&gt;0,F369/J369,""))</f>
        <v/>
      </c>
      <c r="O369" s="9" t="str">
        <f aca="false">IF($A369="","",IF(K369&gt;0,G369/K369,""))</f>
        <v/>
      </c>
      <c r="P369" s="9" t="str">
        <f aca="false">IF($A369="","",IF(L369&gt;0,H369/L369,""))</f>
        <v/>
      </c>
      <c r="Q369" s="9" t="str">
        <f aca="false">IF($A369="","",IF(M369&gt;0,I369/M369,""))</f>
        <v/>
      </c>
      <c r="R369" s="17" t="str">
        <f aca="false">IF($A369="","",IF((IF(N369="",0,Dimensoes!$C$2)+IF(O369="",0,Dimensoes!$C$3)+IF(P369="",0,Dimensoes!$C$4)+IF(Q369="",0,Dimensoes!$C$5))=0,"",(IF(N369="",0,N369*Dimensoes!$C$2)+IF(O369="",0,O369*Dimensoes!$C$3)+IF(P369="",0,P369*Dimensoes!$C$4)+IF(Q369="",0,Q369*Dimensoes!$C$5))/(IF(N369="",0,Dimensoes!$C$2)+IF(O369="",0,Dimensoes!$C$3)+IF(P369="",0,Dimensoes!$C$4)+IF(Q369="",0,Dimensoes!$C$5))))</f>
        <v/>
      </c>
      <c r="S369" s="0" t="str">
        <f aca="false">IF(R369="","",IF(R369&lt;Faixas!$C$3,"vermelho",IF(R369&lt;Faixas!$C$4,"amarelo","verde")))</f>
        <v/>
      </c>
      <c r="T369" s="9" t="str">
        <f aca="false">IF($A369="","",IF(N369="",0,N369*Dimensoes!$C$2)+IF(O369="",0,O369*Dimensoes!$C$3)+IF(P369="",0,P369*Dimensoes!$C$4)+IF(Q369="",0,Q369*Dimensoes!$C$5))</f>
        <v/>
      </c>
      <c r="U369" s="0" t="str">
        <f aca="false">IF($A369="","",IF(OR(E369="concluida",E369="incompleta"),1,0))</f>
        <v/>
      </c>
    </row>
    <row r="370" customFormat="false" ht="15" hidden="false" customHeight="false" outlineLevel="0" collapsed="false">
      <c r="A370" s="0" t="str">
        <f aca="false">IF(Visitas!A370="","",Visitas!A370)</f>
        <v/>
      </c>
      <c r="B370" s="0" t="str">
        <f aca="false">IF($A370="","",Visitas!C370)</f>
        <v/>
      </c>
      <c r="C370" s="7" t="str">
        <f aca="false">IF($A370="","",Visitas!D370)</f>
        <v/>
      </c>
      <c r="D370" s="0" t="str">
        <f aca="false">IF($A370="","",Visitas!B370)</f>
        <v/>
      </c>
      <c r="E370" s="0" t="str">
        <f aca="false">IF($A370="","",Visitas!F370)</f>
        <v/>
      </c>
      <c r="F370" s="0" t="str">
        <f aca="false">IF($A370="","",SUMIFS(Avaliacoes!$G$2:$G$6000,Avaliacoes!$A$2:$A$6000,$A370,Avaliacoes!$F$2:$F$6000,"I",Avaliacoes!$H$2:$H$6000,0))</f>
        <v/>
      </c>
      <c r="G370" s="0" t="str">
        <f aca="false">IF($A370="","",SUMIFS(Avaliacoes!$G$2:$G$6000,Avaliacoes!$A$2:$A$6000,$A370,Avaliacoes!$F$2:$F$6000,"II",Avaliacoes!$H$2:$H$6000,0))</f>
        <v/>
      </c>
      <c r="H370" s="0" t="str">
        <f aca="false">IF($A370="","",SUMIFS(Avaliacoes!$G$2:$G$6000,Avaliacoes!$A$2:$A$6000,$A370,Avaliacoes!$F$2:$F$6000,"III",Avaliacoes!$H$2:$H$6000,0))</f>
        <v/>
      </c>
      <c r="I370" s="0" t="str">
        <f aca="false">IF($A370="","",SUMIFS(Avaliacoes!$G$2:$G$6000,Avaliacoes!$A$2:$A$6000,$A370,Avaliacoes!$F$2:$F$6000,"IV",Avaliacoes!$H$2:$H$6000,0))</f>
        <v/>
      </c>
      <c r="J370" s="0" t="str">
        <f aca="false">IF($A370="","",COUNTIFS(Avaliacoes!$A$2:$A$6000,$A370,Avaliacoes!$F$2:$F$6000,"I",Avaliacoes!$H$2:$H$6000,0,Avaliacoes!$G$2:$G$6000,"&lt;&gt;")*Dimensoes!$E$2)</f>
        <v/>
      </c>
      <c r="K370" s="0" t="str">
        <f aca="false">IF($A370="","",COUNTIFS(Avaliacoes!$A$2:$A$6000,$A370,Avaliacoes!$F$2:$F$6000,"II",Avaliacoes!$H$2:$H$6000,0,Avaliacoes!$G$2:$G$6000,"&lt;&gt;")*Dimensoes!$E$3)</f>
        <v/>
      </c>
      <c r="L370" s="0" t="str">
        <f aca="false">IF($A370="","",COUNTIFS(Avaliacoes!$A$2:$A$6000,$A370,Avaliacoes!$F$2:$F$6000,"III",Avaliacoes!$H$2:$H$6000,0,Avaliacoes!$G$2:$G$6000,"&lt;&gt;")*Dimensoes!$E$4)</f>
        <v/>
      </c>
      <c r="M370" s="0" t="str">
        <f aca="false">IF($A370="","",COUNTIFS(Avaliacoes!$A$2:$A$6000,$A370,Avaliacoes!$F$2:$F$6000,"IV",Avaliacoes!$H$2:$H$6000,0,Avaliacoes!$G$2:$G$6000,"&lt;&gt;")*Dimensoes!$E$5)</f>
        <v/>
      </c>
      <c r="N370" s="9" t="str">
        <f aca="false">IF($A370="","",IF(J370&gt;0,F370/J370,""))</f>
        <v/>
      </c>
      <c r="O370" s="9" t="str">
        <f aca="false">IF($A370="","",IF(K370&gt;0,G370/K370,""))</f>
        <v/>
      </c>
      <c r="P370" s="9" t="str">
        <f aca="false">IF($A370="","",IF(L370&gt;0,H370/L370,""))</f>
        <v/>
      </c>
      <c r="Q370" s="9" t="str">
        <f aca="false">IF($A370="","",IF(M370&gt;0,I370/M370,""))</f>
        <v/>
      </c>
      <c r="R370" s="17" t="str">
        <f aca="false">IF($A370="","",IF((IF(N370="",0,Dimensoes!$C$2)+IF(O370="",0,Dimensoes!$C$3)+IF(P370="",0,Dimensoes!$C$4)+IF(Q370="",0,Dimensoes!$C$5))=0,"",(IF(N370="",0,N370*Dimensoes!$C$2)+IF(O370="",0,O370*Dimensoes!$C$3)+IF(P370="",0,P370*Dimensoes!$C$4)+IF(Q370="",0,Q370*Dimensoes!$C$5))/(IF(N370="",0,Dimensoes!$C$2)+IF(O370="",0,Dimensoes!$C$3)+IF(P370="",0,Dimensoes!$C$4)+IF(Q370="",0,Dimensoes!$C$5))))</f>
        <v/>
      </c>
      <c r="S370" s="0" t="str">
        <f aca="false">IF(R370="","",IF(R370&lt;Faixas!$C$3,"vermelho",IF(R370&lt;Faixas!$C$4,"amarelo","verde")))</f>
        <v/>
      </c>
      <c r="T370" s="9" t="str">
        <f aca="false">IF($A370="","",IF(N370="",0,N370*Dimensoes!$C$2)+IF(O370="",0,O370*Dimensoes!$C$3)+IF(P370="",0,P370*Dimensoes!$C$4)+IF(Q370="",0,Q370*Dimensoes!$C$5))</f>
        <v/>
      </c>
      <c r="U370" s="0" t="str">
        <f aca="false">IF($A370="","",IF(OR(E370="concluida",E370="incompleta"),1,0))</f>
        <v/>
      </c>
    </row>
    <row r="371" customFormat="false" ht="15" hidden="false" customHeight="false" outlineLevel="0" collapsed="false">
      <c r="A371" s="0" t="str">
        <f aca="false">IF(Visitas!A371="","",Visitas!A371)</f>
        <v/>
      </c>
      <c r="B371" s="0" t="str">
        <f aca="false">IF($A371="","",Visitas!C371)</f>
        <v/>
      </c>
      <c r="C371" s="7" t="str">
        <f aca="false">IF($A371="","",Visitas!D371)</f>
        <v/>
      </c>
      <c r="D371" s="0" t="str">
        <f aca="false">IF($A371="","",Visitas!B371)</f>
        <v/>
      </c>
      <c r="E371" s="0" t="str">
        <f aca="false">IF($A371="","",Visitas!F371)</f>
        <v/>
      </c>
      <c r="F371" s="0" t="str">
        <f aca="false">IF($A371="","",SUMIFS(Avaliacoes!$G$2:$G$6000,Avaliacoes!$A$2:$A$6000,$A371,Avaliacoes!$F$2:$F$6000,"I",Avaliacoes!$H$2:$H$6000,0))</f>
        <v/>
      </c>
      <c r="G371" s="0" t="str">
        <f aca="false">IF($A371="","",SUMIFS(Avaliacoes!$G$2:$G$6000,Avaliacoes!$A$2:$A$6000,$A371,Avaliacoes!$F$2:$F$6000,"II",Avaliacoes!$H$2:$H$6000,0))</f>
        <v/>
      </c>
      <c r="H371" s="0" t="str">
        <f aca="false">IF($A371="","",SUMIFS(Avaliacoes!$G$2:$G$6000,Avaliacoes!$A$2:$A$6000,$A371,Avaliacoes!$F$2:$F$6000,"III",Avaliacoes!$H$2:$H$6000,0))</f>
        <v/>
      </c>
      <c r="I371" s="0" t="str">
        <f aca="false">IF($A371="","",SUMIFS(Avaliacoes!$G$2:$G$6000,Avaliacoes!$A$2:$A$6000,$A371,Avaliacoes!$F$2:$F$6000,"IV",Avaliacoes!$H$2:$H$6000,0))</f>
        <v/>
      </c>
      <c r="J371" s="0" t="str">
        <f aca="false">IF($A371="","",COUNTIFS(Avaliacoes!$A$2:$A$6000,$A371,Avaliacoes!$F$2:$F$6000,"I",Avaliacoes!$H$2:$H$6000,0,Avaliacoes!$G$2:$G$6000,"&lt;&gt;")*Dimensoes!$E$2)</f>
        <v/>
      </c>
      <c r="K371" s="0" t="str">
        <f aca="false">IF($A371="","",COUNTIFS(Avaliacoes!$A$2:$A$6000,$A371,Avaliacoes!$F$2:$F$6000,"II",Avaliacoes!$H$2:$H$6000,0,Avaliacoes!$G$2:$G$6000,"&lt;&gt;")*Dimensoes!$E$3)</f>
        <v/>
      </c>
      <c r="L371" s="0" t="str">
        <f aca="false">IF($A371="","",COUNTIFS(Avaliacoes!$A$2:$A$6000,$A371,Avaliacoes!$F$2:$F$6000,"III",Avaliacoes!$H$2:$H$6000,0,Avaliacoes!$G$2:$G$6000,"&lt;&gt;")*Dimensoes!$E$4)</f>
        <v/>
      </c>
      <c r="M371" s="0" t="str">
        <f aca="false">IF($A371="","",COUNTIFS(Avaliacoes!$A$2:$A$6000,$A371,Avaliacoes!$F$2:$F$6000,"IV",Avaliacoes!$H$2:$H$6000,0,Avaliacoes!$G$2:$G$6000,"&lt;&gt;")*Dimensoes!$E$5)</f>
        <v/>
      </c>
      <c r="N371" s="9" t="str">
        <f aca="false">IF($A371="","",IF(J371&gt;0,F371/J371,""))</f>
        <v/>
      </c>
      <c r="O371" s="9" t="str">
        <f aca="false">IF($A371="","",IF(K371&gt;0,G371/K371,""))</f>
        <v/>
      </c>
      <c r="P371" s="9" t="str">
        <f aca="false">IF($A371="","",IF(L371&gt;0,H371/L371,""))</f>
        <v/>
      </c>
      <c r="Q371" s="9" t="str">
        <f aca="false">IF($A371="","",IF(M371&gt;0,I371/M371,""))</f>
        <v/>
      </c>
      <c r="R371" s="17" t="str">
        <f aca="false">IF($A371="","",IF((IF(N371="",0,Dimensoes!$C$2)+IF(O371="",0,Dimensoes!$C$3)+IF(P371="",0,Dimensoes!$C$4)+IF(Q371="",0,Dimensoes!$C$5))=0,"",(IF(N371="",0,N371*Dimensoes!$C$2)+IF(O371="",0,O371*Dimensoes!$C$3)+IF(P371="",0,P371*Dimensoes!$C$4)+IF(Q371="",0,Q371*Dimensoes!$C$5))/(IF(N371="",0,Dimensoes!$C$2)+IF(O371="",0,Dimensoes!$C$3)+IF(P371="",0,Dimensoes!$C$4)+IF(Q371="",0,Dimensoes!$C$5))))</f>
        <v/>
      </c>
      <c r="S371" s="0" t="str">
        <f aca="false">IF(R371="","",IF(R371&lt;Faixas!$C$3,"vermelho",IF(R371&lt;Faixas!$C$4,"amarelo","verde")))</f>
        <v/>
      </c>
      <c r="T371" s="9" t="str">
        <f aca="false">IF($A371="","",IF(N371="",0,N371*Dimensoes!$C$2)+IF(O371="",0,O371*Dimensoes!$C$3)+IF(P371="",0,P371*Dimensoes!$C$4)+IF(Q371="",0,Q371*Dimensoes!$C$5))</f>
        <v/>
      </c>
      <c r="U371" s="0" t="str">
        <f aca="false">IF($A371="","",IF(OR(E371="concluida",E371="incompleta"),1,0))</f>
        <v/>
      </c>
    </row>
    <row r="372" customFormat="false" ht="15" hidden="false" customHeight="false" outlineLevel="0" collapsed="false">
      <c r="A372" s="0" t="str">
        <f aca="false">IF(Visitas!A372="","",Visitas!A372)</f>
        <v/>
      </c>
      <c r="B372" s="0" t="str">
        <f aca="false">IF($A372="","",Visitas!C372)</f>
        <v/>
      </c>
      <c r="C372" s="7" t="str">
        <f aca="false">IF($A372="","",Visitas!D372)</f>
        <v/>
      </c>
      <c r="D372" s="0" t="str">
        <f aca="false">IF($A372="","",Visitas!B372)</f>
        <v/>
      </c>
      <c r="E372" s="0" t="str">
        <f aca="false">IF($A372="","",Visitas!F372)</f>
        <v/>
      </c>
      <c r="F372" s="0" t="str">
        <f aca="false">IF($A372="","",SUMIFS(Avaliacoes!$G$2:$G$6000,Avaliacoes!$A$2:$A$6000,$A372,Avaliacoes!$F$2:$F$6000,"I",Avaliacoes!$H$2:$H$6000,0))</f>
        <v/>
      </c>
      <c r="G372" s="0" t="str">
        <f aca="false">IF($A372="","",SUMIFS(Avaliacoes!$G$2:$G$6000,Avaliacoes!$A$2:$A$6000,$A372,Avaliacoes!$F$2:$F$6000,"II",Avaliacoes!$H$2:$H$6000,0))</f>
        <v/>
      </c>
      <c r="H372" s="0" t="str">
        <f aca="false">IF($A372="","",SUMIFS(Avaliacoes!$G$2:$G$6000,Avaliacoes!$A$2:$A$6000,$A372,Avaliacoes!$F$2:$F$6000,"III",Avaliacoes!$H$2:$H$6000,0))</f>
        <v/>
      </c>
      <c r="I372" s="0" t="str">
        <f aca="false">IF($A372="","",SUMIFS(Avaliacoes!$G$2:$G$6000,Avaliacoes!$A$2:$A$6000,$A372,Avaliacoes!$F$2:$F$6000,"IV",Avaliacoes!$H$2:$H$6000,0))</f>
        <v/>
      </c>
      <c r="J372" s="0" t="str">
        <f aca="false">IF($A372="","",COUNTIFS(Avaliacoes!$A$2:$A$6000,$A372,Avaliacoes!$F$2:$F$6000,"I",Avaliacoes!$H$2:$H$6000,0,Avaliacoes!$G$2:$G$6000,"&lt;&gt;")*Dimensoes!$E$2)</f>
        <v/>
      </c>
      <c r="K372" s="0" t="str">
        <f aca="false">IF($A372="","",COUNTIFS(Avaliacoes!$A$2:$A$6000,$A372,Avaliacoes!$F$2:$F$6000,"II",Avaliacoes!$H$2:$H$6000,0,Avaliacoes!$G$2:$G$6000,"&lt;&gt;")*Dimensoes!$E$3)</f>
        <v/>
      </c>
      <c r="L372" s="0" t="str">
        <f aca="false">IF($A372="","",COUNTIFS(Avaliacoes!$A$2:$A$6000,$A372,Avaliacoes!$F$2:$F$6000,"III",Avaliacoes!$H$2:$H$6000,0,Avaliacoes!$G$2:$G$6000,"&lt;&gt;")*Dimensoes!$E$4)</f>
        <v/>
      </c>
      <c r="M372" s="0" t="str">
        <f aca="false">IF($A372="","",COUNTIFS(Avaliacoes!$A$2:$A$6000,$A372,Avaliacoes!$F$2:$F$6000,"IV",Avaliacoes!$H$2:$H$6000,0,Avaliacoes!$G$2:$G$6000,"&lt;&gt;")*Dimensoes!$E$5)</f>
        <v/>
      </c>
      <c r="N372" s="9" t="str">
        <f aca="false">IF($A372="","",IF(J372&gt;0,F372/J372,""))</f>
        <v/>
      </c>
      <c r="O372" s="9" t="str">
        <f aca="false">IF($A372="","",IF(K372&gt;0,G372/K372,""))</f>
        <v/>
      </c>
      <c r="P372" s="9" t="str">
        <f aca="false">IF($A372="","",IF(L372&gt;0,H372/L372,""))</f>
        <v/>
      </c>
      <c r="Q372" s="9" t="str">
        <f aca="false">IF($A372="","",IF(M372&gt;0,I372/M372,""))</f>
        <v/>
      </c>
      <c r="R372" s="17" t="str">
        <f aca="false">IF($A372="","",IF((IF(N372="",0,Dimensoes!$C$2)+IF(O372="",0,Dimensoes!$C$3)+IF(P372="",0,Dimensoes!$C$4)+IF(Q372="",0,Dimensoes!$C$5))=0,"",(IF(N372="",0,N372*Dimensoes!$C$2)+IF(O372="",0,O372*Dimensoes!$C$3)+IF(P372="",0,P372*Dimensoes!$C$4)+IF(Q372="",0,Q372*Dimensoes!$C$5))/(IF(N372="",0,Dimensoes!$C$2)+IF(O372="",0,Dimensoes!$C$3)+IF(P372="",0,Dimensoes!$C$4)+IF(Q372="",0,Dimensoes!$C$5))))</f>
        <v/>
      </c>
      <c r="S372" s="0" t="str">
        <f aca="false">IF(R372="","",IF(R372&lt;Faixas!$C$3,"vermelho",IF(R372&lt;Faixas!$C$4,"amarelo","verde")))</f>
        <v/>
      </c>
      <c r="T372" s="9" t="str">
        <f aca="false">IF($A372="","",IF(N372="",0,N372*Dimensoes!$C$2)+IF(O372="",0,O372*Dimensoes!$C$3)+IF(P372="",0,P372*Dimensoes!$C$4)+IF(Q372="",0,Q372*Dimensoes!$C$5))</f>
        <v/>
      </c>
      <c r="U372" s="0" t="str">
        <f aca="false">IF($A372="","",IF(OR(E372="concluida",E372="incompleta"),1,0))</f>
        <v/>
      </c>
    </row>
    <row r="373" customFormat="false" ht="15" hidden="false" customHeight="false" outlineLevel="0" collapsed="false">
      <c r="A373" s="0" t="str">
        <f aca="false">IF(Visitas!A373="","",Visitas!A373)</f>
        <v/>
      </c>
      <c r="B373" s="0" t="str">
        <f aca="false">IF($A373="","",Visitas!C373)</f>
        <v/>
      </c>
      <c r="C373" s="7" t="str">
        <f aca="false">IF($A373="","",Visitas!D373)</f>
        <v/>
      </c>
      <c r="D373" s="0" t="str">
        <f aca="false">IF($A373="","",Visitas!B373)</f>
        <v/>
      </c>
      <c r="E373" s="0" t="str">
        <f aca="false">IF($A373="","",Visitas!F373)</f>
        <v/>
      </c>
      <c r="F373" s="0" t="str">
        <f aca="false">IF($A373="","",SUMIFS(Avaliacoes!$G$2:$G$6000,Avaliacoes!$A$2:$A$6000,$A373,Avaliacoes!$F$2:$F$6000,"I",Avaliacoes!$H$2:$H$6000,0))</f>
        <v/>
      </c>
      <c r="G373" s="0" t="str">
        <f aca="false">IF($A373="","",SUMIFS(Avaliacoes!$G$2:$G$6000,Avaliacoes!$A$2:$A$6000,$A373,Avaliacoes!$F$2:$F$6000,"II",Avaliacoes!$H$2:$H$6000,0))</f>
        <v/>
      </c>
      <c r="H373" s="0" t="str">
        <f aca="false">IF($A373="","",SUMIFS(Avaliacoes!$G$2:$G$6000,Avaliacoes!$A$2:$A$6000,$A373,Avaliacoes!$F$2:$F$6000,"III",Avaliacoes!$H$2:$H$6000,0))</f>
        <v/>
      </c>
      <c r="I373" s="0" t="str">
        <f aca="false">IF($A373="","",SUMIFS(Avaliacoes!$G$2:$G$6000,Avaliacoes!$A$2:$A$6000,$A373,Avaliacoes!$F$2:$F$6000,"IV",Avaliacoes!$H$2:$H$6000,0))</f>
        <v/>
      </c>
      <c r="J373" s="0" t="str">
        <f aca="false">IF($A373="","",COUNTIFS(Avaliacoes!$A$2:$A$6000,$A373,Avaliacoes!$F$2:$F$6000,"I",Avaliacoes!$H$2:$H$6000,0,Avaliacoes!$G$2:$G$6000,"&lt;&gt;")*Dimensoes!$E$2)</f>
        <v/>
      </c>
      <c r="K373" s="0" t="str">
        <f aca="false">IF($A373="","",COUNTIFS(Avaliacoes!$A$2:$A$6000,$A373,Avaliacoes!$F$2:$F$6000,"II",Avaliacoes!$H$2:$H$6000,0,Avaliacoes!$G$2:$G$6000,"&lt;&gt;")*Dimensoes!$E$3)</f>
        <v/>
      </c>
      <c r="L373" s="0" t="str">
        <f aca="false">IF($A373="","",COUNTIFS(Avaliacoes!$A$2:$A$6000,$A373,Avaliacoes!$F$2:$F$6000,"III",Avaliacoes!$H$2:$H$6000,0,Avaliacoes!$G$2:$G$6000,"&lt;&gt;")*Dimensoes!$E$4)</f>
        <v/>
      </c>
      <c r="M373" s="0" t="str">
        <f aca="false">IF($A373="","",COUNTIFS(Avaliacoes!$A$2:$A$6000,$A373,Avaliacoes!$F$2:$F$6000,"IV",Avaliacoes!$H$2:$H$6000,0,Avaliacoes!$G$2:$G$6000,"&lt;&gt;")*Dimensoes!$E$5)</f>
        <v/>
      </c>
      <c r="N373" s="9" t="str">
        <f aca="false">IF($A373="","",IF(J373&gt;0,F373/J373,""))</f>
        <v/>
      </c>
      <c r="O373" s="9" t="str">
        <f aca="false">IF($A373="","",IF(K373&gt;0,G373/K373,""))</f>
        <v/>
      </c>
      <c r="P373" s="9" t="str">
        <f aca="false">IF($A373="","",IF(L373&gt;0,H373/L373,""))</f>
        <v/>
      </c>
      <c r="Q373" s="9" t="str">
        <f aca="false">IF($A373="","",IF(M373&gt;0,I373/M373,""))</f>
        <v/>
      </c>
      <c r="R373" s="17" t="str">
        <f aca="false">IF($A373="","",IF((IF(N373="",0,Dimensoes!$C$2)+IF(O373="",0,Dimensoes!$C$3)+IF(P373="",0,Dimensoes!$C$4)+IF(Q373="",0,Dimensoes!$C$5))=0,"",(IF(N373="",0,N373*Dimensoes!$C$2)+IF(O373="",0,O373*Dimensoes!$C$3)+IF(P373="",0,P373*Dimensoes!$C$4)+IF(Q373="",0,Q373*Dimensoes!$C$5))/(IF(N373="",0,Dimensoes!$C$2)+IF(O373="",0,Dimensoes!$C$3)+IF(P373="",0,Dimensoes!$C$4)+IF(Q373="",0,Dimensoes!$C$5))))</f>
        <v/>
      </c>
      <c r="S373" s="0" t="str">
        <f aca="false">IF(R373="","",IF(R373&lt;Faixas!$C$3,"vermelho",IF(R373&lt;Faixas!$C$4,"amarelo","verde")))</f>
        <v/>
      </c>
      <c r="T373" s="9" t="str">
        <f aca="false">IF($A373="","",IF(N373="",0,N373*Dimensoes!$C$2)+IF(O373="",0,O373*Dimensoes!$C$3)+IF(P373="",0,P373*Dimensoes!$C$4)+IF(Q373="",0,Q373*Dimensoes!$C$5))</f>
        <v/>
      </c>
      <c r="U373" s="0" t="str">
        <f aca="false">IF($A373="","",IF(OR(E373="concluida",E373="incompleta"),1,0))</f>
        <v/>
      </c>
    </row>
    <row r="374" customFormat="false" ht="15" hidden="false" customHeight="false" outlineLevel="0" collapsed="false">
      <c r="A374" s="0" t="str">
        <f aca="false">IF(Visitas!A374="","",Visitas!A374)</f>
        <v/>
      </c>
      <c r="B374" s="0" t="str">
        <f aca="false">IF($A374="","",Visitas!C374)</f>
        <v/>
      </c>
      <c r="C374" s="7" t="str">
        <f aca="false">IF($A374="","",Visitas!D374)</f>
        <v/>
      </c>
      <c r="D374" s="0" t="str">
        <f aca="false">IF($A374="","",Visitas!B374)</f>
        <v/>
      </c>
      <c r="E374" s="0" t="str">
        <f aca="false">IF($A374="","",Visitas!F374)</f>
        <v/>
      </c>
      <c r="F374" s="0" t="str">
        <f aca="false">IF($A374="","",SUMIFS(Avaliacoes!$G$2:$G$6000,Avaliacoes!$A$2:$A$6000,$A374,Avaliacoes!$F$2:$F$6000,"I",Avaliacoes!$H$2:$H$6000,0))</f>
        <v/>
      </c>
      <c r="G374" s="0" t="str">
        <f aca="false">IF($A374="","",SUMIFS(Avaliacoes!$G$2:$G$6000,Avaliacoes!$A$2:$A$6000,$A374,Avaliacoes!$F$2:$F$6000,"II",Avaliacoes!$H$2:$H$6000,0))</f>
        <v/>
      </c>
      <c r="H374" s="0" t="str">
        <f aca="false">IF($A374="","",SUMIFS(Avaliacoes!$G$2:$G$6000,Avaliacoes!$A$2:$A$6000,$A374,Avaliacoes!$F$2:$F$6000,"III",Avaliacoes!$H$2:$H$6000,0))</f>
        <v/>
      </c>
      <c r="I374" s="0" t="str">
        <f aca="false">IF($A374="","",SUMIFS(Avaliacoes!$G$2:$G$6000,Avaliacoes!$A$2:$A$6000,$A374,Avaliacoes!$F$2:$F$6000,"IV",Avaliacoes!$H$2:$H$6000,0))</f>
        <v/>
      </c>
      <c r="J374" s="0" t="str">
        <f aca="false">IF($A374="","",COUNTIFS(Avaliacoes!$A$2:$A$6000,$A374,Avaliacoes!$F$2:$F$6000,"I",Avaliacoes!$H$2:$H$6000,0,Avaliacoes!$G$2:$G$6000,"&lt;&gt;")*Dimensoes!$E$2)</f>
        <v/>
      </c>
      <c r="K374" s="0" t="str">
        <f aca="false">IF($A374="","",COUNTIFS(Avaliacoes!$A$2:$A$6000,$A374,Avaliacoes!$F$2:$F$6000,"II",Avaliacoes!$H$2:$H$6000,0,Avaliacoes!$G$2:$G$6000,"&lt;&gt;")*Dimensoes!$E$3)</f>
        <v/>
      </c>
      <c r="L374" s="0" t="str">
        <f aca="false">IF($A374="","",COUNTIFS(Avaliacoes!$A$2:$A$6000,$A374,Avaliacoes!$F$2:$F$6000,"III",Avaliacoes!$H$2:$H$6000,0,Avaliacoes!$G$2:$G$6000,"&lt;&gt;")*Dimensoes!$E$4)</f>
        <v/>
      </c>
      <c r="M374" s="0" t="str">
        <f aca="false">IF($A374="","",COUNTIFS(Avaliacoes!$A$2:$A$6000,$A374,Avaliacoes!$F$2:$F$6000,"IV",Avaliacoes!$H$2:$H$6000,0,Avaliacoes!$G$2:$G$6000,"&lt;&gt;")*Dimensoes!$E$5)</f>
        <v/>
      </c>
      <c r="N374" s="9" t="str">
        <f aca="false">IF($A374="","",IF(J374&gt;0,F374/J374,""))</f>
        <v/>
      </c>
      <c r="O374" s="9" t="str">
        <f aca="false">IF($A374="","",IF(K374&gt;0,G374/K374,""))</f>
        <v/>
      </c>
      <c r="P374" s="9" t="str">
        <f aca="false">IF($A374="","",IF(L374&gt;0,H374/L374,""))</f>
        <v/>
      </c>
      <c r="Q374" s="9" t="str">
        <f aca="false">IF($A374="","",IF(M374&gt;0,I374/M374,""))</f>
        <v/>
      </c>
      <c r="R374" s="17" t="str">
        <f aca="false">IF($A374="","",IF((IF(N374="",0,Dimensoes!$C$2)+IF(O374="",0,Dimensoes!$C$3)+IF(P374="",0,Dimensoes!$C$4)+IF(Q374="",0,Dimensoes!$C$5))=0,"",(IF(N374="",0,N374*Dimensoes!$C$2)+IF(O374="",0,O374*Dimensoes!$C$3)+IF(P374="",0,P374*Dimensoes!$C$4)+IF(Q374="",0,Q374*Dimensoes!$C$5))/(IF(N374="",0,Dimensoes!$C$2)+IF(O374="",0,Dimensoes!$C$3)+IF(P374="",0,Dimensoes!$C$4)+IF(Q374="",0,Dimensoes!$C$5))))</f>
        <v/>
      </c>
      <c r="S374" s="0" t="str">
        <f aca="false">IF(R374="","",IF(R374&lt;Faixas!$C$3,"vermelho",IF(R374&lt;Faixas!$C$4,"amarelo","verde")))</f>
        <v/>
      </c>
      <c r="T374" s="9" t="str">
        <f aca="false">IF($A374="","",IF(N374="",0,N374*Dimensoes!$C$2)+IF(O374="",0,O374*Dimensoes!$C$3)+IF(P374="",0,P374*Dimensoes!$C$4)+IF(Q374="",0,Q374*Dimensoes!$C$5))</f>
        <v/>
      </c>
      <c r="U374" s="0" t="str">
        <f aca="false">IF($A374="","",IF(OR(E374="concluida",E374="incompleta"),1,0))</f>
        <v/>
      </c>
    </row>
    <row r="375" customFormat="false" ht="15" hidden="false" customHeight="false" outlineLevel="0" collapsed="false">
      <c r="A375" s="0" t="str">
        <f aca="false">IF(Visitas!A375="","",Visitas!A375)</f>
        <v/>
      </c>
      <c r="B375" s="0" t="str">
        <f aca="false">IF($A375="","",Visitas!C375)</f>
        <v/>
      </c>
      <c r="C375" s="7" t="str">
        <f aca="false">IF($A375="","",Visitas!D375)</f>
        <v/>
      </c>
      <c r="D375" s="0" t="str">
        <f aca="false">IF($A375="","",Visitas!B375)</f>
        <v/>
      </c>
      <c r="E375" s="0" t="str">
        <f aca="false">IF($A375="","",Visitas!F375)</f>
        <v/>
      </c>
      <c r="F375" s="0" t="str">
        <f aca="false">IF($A375="","",SUMIFS(Avaliacoes!$G$2:$G$6000,Avaliacoes!$A$2:$A$6000,$A375,Avaliacoes!$F$2:$F$6000,"I",Avaliacoes!$H$2:$H$6000,0))</f>
        <v/>
      </c>
      <c r="G375" s="0" t="str">
        <f aca="false">IF($A375="","",SUMIFS(Avaliacoes!$G$2:$G$6000,Avaliacoes!$A$2:$A$6000,$A375,Avaliacoes!$F$2:$F$6000,"II",Avaliacoes!$H$2:$H$6000,0))</f>
        <v/>
      </c>
      <c r="H375" s="0" t="str">
        <f aca="false">IF($A375="","",SUMIFS(Avaliacoes!$G$2:$G$6000,Avaliacoes!$A$2:$A$6000,$A375,Avaliacoes!$F$2:$F$6000,"III",Avaliacoes!$H$2:$H$6000,0))</f>
        <v/>
      </c>
      <c r="I375" s="0" t="str">
        <f aca="false">IF($A375="","",SUMIFS(Avaliacoes!$G$2:$G$6000,Avaliacoes!$A$2:$A$6000,$A375,Avaliacoes!$F$2:$F$6000,"IV",Avaliacoes!$H$2:$H$6000,0))</f>
        <v/>
      </c>
      <c r="J375" s="0" t="str">
        <f aca="false">IF($A375="","",COUNTIFS(Avaliacoes!$A$2:$A$6000,$A375,Avaliacoes!$F$2:$F$6000,"I",Avaliacoes!$H$2:$H$6000,0,Avaliacoes!$G$2:$G$6000,"&lt;&gt;")*Dimensoes!$E$2)</f>
        <v/>
      </c>
      <c r="K375" s="0" t="str">
        <f aca="false">IF($A375="","",COUNTIFS(Avaliacoes!$A$2:$A$6000,$A375,Avaliacoes!$F$2:$F$6000,"II",Avaliacoes!$H$2:$H$6000,0,Avaliacoes!$G$2:$G$6000,"&lt;&gt;")*Dimensoes!$E$3)</f>
        <v/>
      </c>
      <c r="L375" s="0" t="str">
        <f aca="false">IF($A375="","",COUNTIFS(Avaliacoes!$A$2:$A$6000,$A375,Avaliacoes!$F$2:$F$6000,"III",Avaliacoes!$H$2:$H$6000,0,Avaliacoes!$G$2:$G$6000,"&lt;&gt;")*Dimensoes!$E$4)</f>
        <v/>
      </c>
      <c r="M375" s="0" t="str">
        <f aca="false">IF($A375="","",COUNTIFS(Avaliacoes!$A$2:$A$6000,$A375,Avaliacoes!$F$2:$F$6000,"IV",Avaliacoes!$H$2:$H$6000,0,Avaliacoes!$G$2:$G$6000,"&lt;&gt;")*Dimensoes!$E$5)</f>
        <v/>
      </c>
      <c r="N375" s="9" t="str">
        <f aca="false">IF($A375="","",IF(J375&gt;0,F375/J375,""))</f>
        <v/>
      </c>
      <c r="O375" s="9" t="str">
        <f aca="false">IF($A375="","",IF(K375&gt;0,G375/K375,""))</f>
        <v/>
      </c>
      <c r="P375" s="9" t="str">
        <f aca="false">IF($A375="","",IF(L375&gt;0,H375/L375,""))</f>
        <v/>
      </c>
      <c r="Q375" s="9" t="str">
        <f aca="false">IF($A375="","",IF(M375&gt;0,I375/M375,""))</f>
        <v/>
      </c>
      <c r="R375" s="17" t="str">
        <f aca="false">IF($A375="","",IF((IF(N375="",0,Dimensoes!$C$2)+IF(O375="",0,Dimensoes!$C$3)+IF(P375="",0,Dimensoes!$C$4)+IF(Q375="",0,Dimensoes!$C$5))=0,"",(IF(N375="",0,N375*Dimensoes!$C$2)+IF(O375="",0,O375*Dimensoes!$C$3)+IF(P375="",0,P375*Dimensoes!$C$4)+IF(Q375="",0,Q375*Dimensoes!$C$5))/(IF(N375="",0,Dimensoes!$C$2)+IF(O375="",0,Dimensoes!$C$3)+IF(P375="",0,Dimensoes!$C$4)+IF(Q375="",0,Dimensoes!$C$5))))</f>
        <v/>
      </c>
      <c r="S375" s="0" t="str">
        <f aca="false">IF(R375="","",IF(R375&lt;Faixas!$C$3,"vermelho",IF(R375&lt;Faixas!$C$4,"amarelo","verde")))</f>
        <v/>
      </c>
      <c r="T375" s="9" t="str">
        <f aca="false">IF($A375="","",IF(N375="",0,N375*Dimensoes!$C$2)+IF(O375="",0,O375*Dimensoes!$C$3)+IF(P375="",0,P375*Dimensoes!$C$4)+IF(Q375="",0,Q375*Dimensoes!$C$5))</f>
        <v/>
      </c>
      <c r="U375" s="0" t="str">
        <f aca="false">IF($A375="","",IF(OR(E375="concluida",E375="incompleta"),1,0))</f>
        <v/>
      </c>
    </row>
    <row r="376" customFormat="false" ht="15" hidden="false" customHeight="false" outlineLevel="0" collapsed="false">
      <c r="A376" s="0" t="str">
        <f aca="false">IF(Visitas!A376="","",Visitas!A376)</f>
        <v/>
      </c>
      <c r="B376" s="0" t="str">
        <f aca="false">IF($A376="","",Visitas!C376)</f>
        <v/>
      </c>
      <c r="C376" s="7" t="str">
        <f aca="false">IF($A376="","",Visitas!D376)</f>
        <v/>
      </c>
      <c r="D376" s="0" t="str">
        <f aca="false">IF($A376="","",Visitas!B376)</f>
        <v/>
      </c>
      <c r="E376" s="0" t="str">
        <f aca="false">IF($A376="","",Visitas!F376)</f>
        <v/>
      </c>
      <c r="F376" s="0" t="str">
        <f aca="false">IF($A376="","",SUMIFS(Avaliacoes!$G$2:$G$6000,Avaliacoes!$A$2:$A$6000,$A376,Avaliacoes!$F$2:$F$6000,"I",Avaliacoes!$H$2:$H$6000,0))</f>
        <v/>
      </c>
      <c r="G376" s="0" t="str">
        <f aca="false">IF($A376="","",SUMIFS(Avaliacoes!$G$2:$G$6000,Avaliacoes!$A$2:$A$6000,$A376,Avaliacoes!$F$2:$F$6000,"II",Avaliacoes!$H$2:$H$6000,0))</f>
        <v/>
      </c>
      <c r="H376" s="0" t="str">
        <f aca="false">IF($A376="","",SUMIFS(Avaliacoes!$G$2:$G$6000,Avaliacoes!$A$2:$A$6000,$A376,Avaliacoes!$F$2:$F$6000,"III",Avaliacoes!$H$2:$H$6000,0))</f>
        <v/>
      </c>
      <c r="I376" s="0" t="str">
        <f aca="false">IF($A376="","",SUMIFS(Avaliacoes!$G$2:$G$6000,Avaliacoes!$A$2:$A$6000,$A376,Avaliacoes!$F$2:$F$6000,"IV",Avaliacoes!$H$2:$H$6000,0))</f>
        <v/>
      </c>
      <c r="J376" s="0" t="str">
        <f aca="false">IF($A376="","",COUNTIFS(Avaliacoes!$A$2:$A$6000,$A376,Avaliacoes!$F$2:$F$6000,"I",Avaliacoes!$H$2:$H$6000,0,Avaliacoes!$G$2:$G$6000,"&lt;&gt;")*Dimensoes!$E$2)</f>
        <v/>
      </c>
      <c r="K376" s="0" t="str">
        <f aca="false">IF($A376="","",COUNTIFS(Avaliacoes!$A$2:$A$6000,$A376,Avaliacoes!$F$2:$F$6000,"II",Avaliacoes!$H$2:$H$6000,0,Avaliacoes!$G$2:$G$6000,"&lt;&gt;")*Dimensoes!$E$3)</f>
        <v/>
      </c>
      <c r="L376" s="0" t="str">
        <f aca="false">IF($A376="","",COUNTIFS(Avaliacoes!$A$2:$A$6000,$A376,Avaliacoes!$F$2:$F$6000,"III",Avaliacoes!$H$2:$H$6000,0,Avaliacoes!$G$2:$G$6000,"&lt;&gt;")*Dimensoes!$E$4)</f>
        <v/>
      </c>
      <c r="M376" s="0" t="str">
        <f aca="false">IF($A376="","",COUNTIFS(Avaliacoes!$A$2:$A$6000,$A376,Avaliacoes!$F$2:$F$6000,"IV",Avaliacoes!$H$2:$H$6000,0,Avaliacoes!$G$2:$G$6000,"&lt;&gt;")*Dimensoes!$E$5)</f>
        <v/>
      </c>
      <c r="N376" s="9" t="str">
        <f aca="false">IF($A376="","",IF(J376&gt;0,F376/J376,""))</f>
        <v/>
      </c>
      <c r="O376" s="9" t="str">
        <f aca="false">IF($A376="","",IF(K376&gt;0,G376/K376,""))</f>
        <v/>
      </c>
      <c r="P376" s="9" t="str">
        <f aca="false">IF($A376="","",IF(L376&gt;0,H376/L376,""))</f>
        <v/>
      </c>
      <c r="Q376" s="9" t="str">
        <f aca="false">IF($A376="","",IF(M376&gt;0,I376/M376,""))</f>
        <v/>
      </c>
      <c r="R376" s="17" t="str">
        <f aca="false">IF($A376="","",IF((IF(N376="",0,Dimensoes!$C$2)+IF(O376="",0,Dimensoes!$C$3)+IF(P376="",0,Dimensoes!$C$4)+IF(Q376="",0,Dimensoes!$C$5))=0,"",(IF(N376="",0,N376*Dimensoes!$C$2)+IF(O376="",0,O376*Dimensoes!$C$3)+IF(P376="",0,P376*Dimensoes!$C$4)+IF(Q376="",0,Q376*Dimensoes!$C$5))/(IF(N376="",0,Dimensoes!$C$2)+IF(O376="",0,Dimensoes!$C$3)+IF(P376="",0,Dimensoes!$C$4)+IF(Q376="",0,Dimensoes!$C$5))))</f>
        <v/>
      </c>
      <c r="S376" s="0" t="str">
        <f aca="false">IF(R376="","",IF(R376&lt;Faixas!$C$3,"vermelho",IF(R376&lt;Faixas!$C$4,"amarelo","verde")))</f>
        <v/>
      </c>
      <c r="T376" s="9" t="str">
        <f aca="false">IF($A376="","",IF(N376="",0,N376*Dimensoes!$C$2)+IF(O376="",0,O376*Dimensoes!$C$3)+IF(P376="",0,P376*Dimensoes!$C$4)+IF(Q376="",0,Q376*Dimensoes!$C$5))</f>
        <v/>
      </c>
      <c r="U376" s="0" t="str">
        <f aca="false">IF($A376="","",IF(OR(E376="concluida",E376="incompleta"),1,0))</f>
        <v/>
      </c>
    </row>
    <row r="377" customFormat="false" ht="15" hidden="false" customHeight="false" outlineLevel="0" collapsed="false">
      <c r="A377" s="0" t="str">
        <f aca="false">IF(Visitas!A377="","",Visitas!A377)</f>
        <v/>
      </c>
      <c r="B377" s="0" t="str">
        <f aca="false">IF($A377="","",Visitas!C377)</f>
        <v/>
      </c>
      <c r="C377" s="7" t="str">
        <f aca="false">IF($A377="","",Visitas!D377)</f>
        <v/>
      </c>
      <c r="D377" s="0" t="str">
        <f aca="false">IF($A377="","",Visitas!B377)</f>
        <v/>
      </c>
      <c r="E377" s="0" t="str">
        <f aca="false">IF($A377="","",Visitas!F377)</f>
        <v/>
      </c>
      <c r="F377" s="0" t="str">
        <f aca="false">IF($A377="","",SUMIFS(Avaliacoes!$G$2:$G$6000,Avaliacoes!$A$2:$A$6000,$A377,Avaliacoes!$F$2:$F$6000,"I",Avaliacoes!$H$2:$H$6000,0))</f>
        <v/>
      </c>
      <c r="G377" s="0" t="str">
        <f aca="false">IF($A377="","",SUMIFS(Avaliacoes!$G$2:$G$6000,Avaliacoes!$A$2:$A$6000,$A377,Avaliacoes!$F$2:$F$6000,"II",Avaliacoes!$H$2:$H$6000,0))</f>
        <v/>
      </c>
      <c r="H377" s="0" t="str">
        <f aca="false">IF($A377="","",SUMIFS(Avaliacoes!$G$2:$G$6000,Avaliacoes!$A$2:$A$6000,$A377,Avaliacoes!$F$2:$F$6000,"III",Avaliacoes!$H$2:$H$6000,0))</f>
        <v/>
      </c>
      <c r="I377" s="0" t="str">
        <f aca="false">IF($A377="","",SUMIFS(Avaliacoes!$G$2:$G$6000,Avaliacoes!$A$2:$A$6000,$A377,Avaliacoes!$F$2:$F$6000,"IV",Avaliacoes!$H$2:$H$6000,0))</f>
        <v/>
      </c>
      <c r="J377" s="0" t="str">
        <f aca="false">IF($A377="","",COUNTIFS(Avaliacoes!$A$2:$A$6000,$A377,Avaliacoes!$F$2:$F$6000,"I",Avaliacoes!$H$2:$H$6000,0,Avaliacoes!$G$2:$G$6000,"&lt;&gt;")*Dimensoes!$E$2)</f>
        <v/>
      </c>
      <c r="K377" s="0" t="str">
        <f aca="false">IF($A377="","",COUNTIFS(Avaliacoes!$A$2:$A$6000,$A377,Avaliacoes!$F$2:$F$6000,"II",Avaliacoes!$H$2:$H$6000,0,Avaliacoes!$G$2:$G$6000,"&lt;&gt;")*Dimensoes!$E$3)</f>
        <v/>
      </c>
      <c r="L377" s="0" t="str">
        <f aca="false">IF($A377="","",COUNTIFS(Avaliacoes!$A$2:$A$6000,$A377,Avaliacoes!$F$2:$F$6000,"III",Avaliacoes!$H$2:$H$6000,0,Avaliacoes!$G$2:$G$6000,"&lt;&gt;")*Dimensoes!$E$4)</f>
        <v/>
      </c>
      <c r="M377" s="0" t="str">
        <f aca="false">IF($A377="","",COUNTIFS(Avaliacoes!$A$2:$A$6000,$A377,Avaliacoes!$F$2:$F$6000,"IV",Avaliacoes!$H$2:$H$6000,0,Avaliacoes!$G$2:$G$6000,"&lt;&gt;")*Dimensoes!$E$5)</f>
        <v/>
      </c>
      <c r="N377" s="9" t="str">
        <f aca="false">IF($A377="","",IF(J377&gt;0,F377/J377,""))</f>
        <v/>
      </c>
      <c r="O377" s="9" t="str">
        <f aca="false">IF($A377="","",IF(K377&gt;0,G377/K377,""))</f>
        <v/>
      </c>
      <c r="P377" s="9" t="str">
        <f aca="false">IF($A377="","",IF(L377&gt;0,H377/L377,""))</f>
        <v/>
      </c>
      <c r="Q377" s="9" t="str">
        <f aca="false">IF($A377="","",IF(M377&gt;0,I377/M377,""))</f>
        <v/>
      </c>
      <c r="R377" s="17" t="str">
        <f aca="false">IF($A377="","",IF((IF(N377="",0,Dimensoes!$C$2)+IF(O377="",0,Dimensoes!$C$3)+IF(P377="",0,Dimensoes!$C$4)+IF(Q377="",0,Dimensoes!$C$5))=0,"",(IF(N377="",0,N377*Dimensoes!$C$2)+IF(O377="",0,O377*Dimensoes!$C$3)+IF(P377="",0,P377*Dimensoes!$C$4)+IF(Q377="",0,Q377*Dimensoes!$C$5))/(IF(N377="",0,Dimensoes!$C$2)+IF(O377="",0,Dimensoes!$C$3)+IF(P377="",0,Dimensoes!$C$4)+IF(Q377="",0,Dimensoes!$C$5))))</f>
        <v/>
      </c>
      <c r="S377" s="0" t="str">
        <f aca="false">IF(R377="","",IF(R377&lt;Faixas!$C$3,"vermelho",IF(R377&lt;Faixas!$C$4,"amarelo","verde")))</f>
        <v/>
      </c>
      <c r="T377" s="9" t="str">
        <f aca="false">IF($A377="","",IF(N377="",0,N377*Dimensoes!$C$2)+IF(O377="",0,O377*Dimensoes!$C$3)+IF(P377="",0,P377*Dimensoes!$C$4)+IF(Q377="",0,Q377*Dimensoes!$C$5))</f>
        <v/>
      </c>
      <c r="U377" s="0" t="str">
        <f aca="false">IF($A377="","",IF(OR(E377="concluida",E377="incompleta"),1,0))</f>
        <v/>
      </c>
    </row>
    <row r="378" customFormat="false" ht="15" hidden="false" customHeight="false" outlineLevel="0" collapsed="false">
      <c r="A378" s="0" t="str">
        <f aca="false">IF(Visitas!A378="","",Visitas!A378)</f>
        <v/>
      </c>
      <c r="B378" s="0" t="str">
        <f aca="false">IF($A378="","",Visitas!C378)</f>
        <v/>
      </c>
      <c r="C378" s="7" t="str">
        <f aca="false">IF($A378="","",Visitas!D378)</f>
        <v/>
      </c>
      <c r="D378" s="0" t="str">
        <f aca="false">IF($A378="","",Visitas!B378)</f>
        <v/>
      </c>
      <c r="E378" s="0" t="str">
        <f aca="false">IF($A378="","",Visitas!F378)</f>
        <v/>
      </c>
      <c r="F378" s="0" t="str">
        <f aca="false">IF($A378="","",SUMIFS(Avaliacoes!$G$2:$G$6000,Avaliacoes!$A$2:$A$6000,$A378,Avaliacoes!$F$2:$F$6000,"I",Avaliacoes!$H$2:$H$6000,0))</f>
        <v/>
      </c>
      <c r="G378" s="0" t="str">
        <f aca="false">IF($A378="","",SUMIFS(Avaliacoes!$G$2:$G$6000,Avaliacoes!$A$2:$A$6000,$A378,Avaliacoes!$F$2:$F$6000,"II",Avaliacoes!$H$2:$H$6000,0))</f>
        <v/>
      </c>
      <c r="H378" s="0" t="str">
        <f aca="false">IF($A378="","",SUMIFS(Avaliacoes!$G$2:$G$6000,Avaliacoes!$A$2:$A$6000,$A378,Avaliacoes!$F$2:$F$6000,"III",Avaliacoes!$H$2:$H$6000,0))</f>
        <v/>
      </c>
      <c r="I378" s="0" t="str">
        <f aca="false">IF($A378="","",SUMIFS(Avaliacoes!$G$2:$G$6000,Avaliacoes!$A$2:$A$6000,$A378,Avaliacoes!$F$2:$F$6000,"IV",Avaliacoes!$H$2:$H$6000,0))</f>
        <v/>
      </c>
      <c r="J378" s="0" t="str">
        <f aca="false">IF($A378="","",COUNTIFS(Avaliacoes!$A$2:$A$6000,$A378,Avaliacoes!$F$2:$F$6000,"I",Avaliacoes!$H$2:$H$6000,0,Avaliacoes!$G$2:$G$6000,"&lt;&gt;")*Dimensoes!$E$2)</f>
        <v/>
      </c>
      <c r="K378" s="0" t="str">
        <f aca="false">IF($A378="","",COUNTIFS(Avaliacoes!$A$2:$A$6000,$A378,Avaliacoes!$F$2:$F$6000,"II",Avaliacoes!$H$2:$H$6000,0,Avaliacoes!$G$2:$G$6000,"&lt;&gt;")*Dimensoes!$E$3)</f>
        <v/>
      </c>
      <c r="L378" s="0" t="str">
        <f aca="false">IF($A378="","",COUNTIFS(Avaliacoes!$A$2:$A$6000,$A378,Avaliacoes!$F$2:$F$6000,"III",Avaliacoes!$H$2:$H$6000,0,Avaliacoes!$G$2:$G$6000,"&lt;&gt;")*Dimensoes!$E$4)</f>
        <v/>
      </c>
      <c r="M378" s="0" t="str">
        <f aca="false">IF($A378="","",COUNTIFS(Avaliacoes!$A$2:$A$6000,$A378,Avaliacoes!$F$2:$F$6000,"IV",Avaliacoes!$H$2:$H$6000,0,Avaliacoes!$G$2:$G$6000,"&lt;&gt;")*Dimensoes!$E$5)</f>
        <v/>
      </c>
      <c r="N378" s="9" t="str">
        <f aca="false">IF($A378="","",IF(J378&gt;0,F378/J378,""))</f>
        <v/>
      </c>
      <c r="O378" s="9" t="str">
        <f aca="false">IF($A378="","",IF(K378&gt;0,G378/K378,""))</f>
        <v/>
      </c>
      <c r="P378" s="9" t="str">
        <f aca="false">IF($A378="","",IF(L378&gt;0,H378/L378,""))</f>
        <v/>
      </c>
      <c r="Q378" s="9" t="str">
        <f aca="false">IF($A378="","",IF(M378&gt;0,I378/M378,""))</f>
        <v/>
      </c>
      <c r="R378" s="17" t="str">
        <f aca="false">IF($A378="","",IF((IF(N378="",0,Dimensoes!$C$2)+IF(O378="",0,Dimensoes!$C$3)+IF(P378="",0,Dimensoes!$C$4)+IF(Q378="",0,Dimensoes!$C$5))=0,"",(IF(N378="",0,N378*Dimensoes!$C$2)+IF(O378="",0,O378*Dimensoes!$C$3)+IF(P378="",0,P378*Dimensoes!$C$4)+IF(Q378="",0,Q378*Dimensoes!$C$5))/(IF(N378="",0,Dimensoes!$C$2)+IF(O378="",0,Dimensoes!$C$3)+IF(P378="",0,Dimensoes!$C$4)+IF(Q378="",0,Dimensoes!$C$5))))</f>
        <v/>
      </c>
      <c r="S378" s="0" t="str">
        <f aca="false">IF(R378="","",IF(R378&lt;Faixas!$C$3,"vermelho",IF(R378&lt;Faixas!$C$4,"amarelo","verde")))</f>
        <v/>
      </c>
      <c r="T378" s="9" t="str">
        <f aca="false">IF($A378="","",IF(N378="",0,N378*Dimensoes!$C$2)+IF(O378="",0,O378*Dimensoes!$C$3)+IF(P378="",0,P378*Dimensoes!$C$4)+IF(Q378="",0,Q378*Dimensoes!$C$5))</f>
        <v/>
      </c>
      <c r="U378" s="0" t="str">
        <f aca="false">IF($A378="","",IF(OR(E378="concluida",E378="incompleta"),1,0))</f>
        <v/>
      </c>
    </row>
    <row r="379" customFormat="false" ht="15" hidden="false" customHeight="false" outlineLevel="0" collapsed="false">
      <c r="A379" s="0" t="str">
        <f aca="false">IF(Visitas!A379="","",Visitas!A379)</f>
        <v/>
      </c>
      <c r="B379" s="0" t="str">
        <f aca="false">IF($A379="","",Visitas!C379)</f>
        <v/>
      </c>
      <c r="C379" s="7" t="str">
        <f aca="false">IF($A379="","",Visitas!D379)</f>
        <v/>
      </c>
      <c r="D379" s="0" t="str">
        <f aca="false">IF($A379="","",Visitas!B379)</f>
        <v/>
      </c>
      <c r="E379" s="0" t="str">
        <f aca="false">IF($A379="","",Visitas!F379)</f>
        <v/>
      </c>
      <c r="F379" s="0" t="str">
        <f aca="false">IF($A379="","",SUMIFS(Avaliacoes!$G$2:$G$6000,Avaliacoes!$A$2:$A$6000,$A379,Avaliacoes!$F$2:$F$6000,"I",Avaliacoes!$H$2:$H$6000,0))</f>
        <v/>
      </c>
      <c r="G379" s="0" t="str">
        <f aca="false">IF($A379="","",SUMIFS(Avaliacoes!$G$2:$G$6000,Avaliacoes!$A$2:$A$6000,$A379,Avaliacoes!$F$2:$F$6000,"II",Avaliacoes!$H$2:$H$6000,0))</f>
        <v/>
      </c>
      <c r="H379" s="0" t="str">
        <f aca="false">IF($A379="","",SUMIFS(Avaliacoes!$G$2:$G$6000,Avaliacoes!$A$2:$A$6000,$A379,Avaliacoes!$F$2:$F$6000,"III",Avaliacoes!$H$2:$H$6000,0))</f>
        <v/>
      </c>
      <c r="I379" s="0" t="str">
        <f aca="false">IF($A379="","",SUMIFS(Avaliacoes!$G$2:$G$6000,Avaliacoes!$A$2:$A$6000,$A379,Avaliacoes!$F$2:$F$6000,"IV",Avaliacoes!$H$2:$H$6000,0))</f>
        <v/>
      </c>
      <c r="J379" s="0" t="str">
        <f aca="false">IF($A379="","",COUNTIFS(Avaliacoes!$A$2:$A$6000,$A379,Avaliacoes!$F$2:$F$6000,"I",Avaliacoes!$H$2:$H$6000,0,Avaliacoes!$G$2:$G$6000,"&lt;&gt;")*Dimensoes!$E$2)</f>
        <v/>
      </c>
      <c r="K379" s="0" t="str">
        <f aca="false">IF($A379="","",COUNTIFS(Avaliacoes!$A$2:$A$6000,$A379,Avaliacoes!$F$2:$F$6000,"II",Avaliacoes!$H$2:$H$6000,0,Avaliacoes!$G$2:$G$6000,"&lt;&gt;")*Dimensoes!$E$3)</f>
        <v/>
      </c>
      <c r="L379" s="0" t="str">
        <f aca="false">IF($A379="","",COUNTIFS(Avaliacoes!$A$2:$A$6000,$A379,Avaliacoes!$F$2:$F$6000,"III",Avaliacoes!$H$2:$H$6000,0,Avaliacoes!$G$2:$G$6000,"&lt;&gt;")*Dimensoes!$E$4)</f>
        <v/>
      </c>
      <c r="M379" s="0" t="str">
        <f aca="false">IF($A379="","",COUNTIFS(Avaliacoes!$A$2:$A$6000,$A379,Avaliacoes!$F$2:$F$6000,"IV",Avaliacoes!$H$2:$H$6000,0,Avaliacoes!$G$2:$G$6000,"&lt;&gt;")*Dimensoes!$E$5)</f>
        <v/>
      </c>
      <c r="N379" s="9" t="str">
        <f aca="false">IF($A379="","",IF(J379&gt;0,F379/J379,""))</f>
        <v/>
      </c>
      <c r="O379" s="9" t="str">
        <f aca="false">IF($A379="","",IF(K379&gt;0,G379/K379,""))</f>
        <v/>
      </c>
      <c r="P379" s="9" t="str">
        <f aca="false">IF($A379="","",IF(L379&gt;0,H379/L379,""))</f>
        <v/>
      </c>
      <c r="Q379" s="9" t="str">
        <f aca="false">IF($A379="","",IF(M379&gt;0,I379/M379,""))</f>
        <v/>
      </c>
      <c r="R379" s="17" t="str">
        <f aca="false">IF($A379="","",IF((IF(N379="",0,Dimensoes!$C$2)+IF(O379="",0,Dimensoes!$C$3)+IF(P379="",0,Dimensoes!$C$4)+IF(Q379="",0,Dimensoes!$C$5))=0,"",(IF(N379="",0,N379*Dimensoes!$C$2)+IF(O379="",0,O379*Dimensoes!$C$3)+IF(P379="",0,P379*Dimensoes!$C$4)+IF(Q379="",0,Q379*Dimensoes!$C$5))/(IF(N379="",0,Dimensoes!$C$2)+IF(O379="",0,Dimensoes!$C$3)+IF(P379="",0,Dimensoes!$C$4)+IF(Q379="",0,Dimensoes!$C$5))))</f>
        <v/>
      </c>
      <c r="S379" s="0" t="str">
        <f aca="false">IF(R379="","",IF(R379&lt;Faixas!$C$3,"vermelho",IF(R379&lt;Faixas!$C$4,"amarelo","verde")))</f>
        <v/>
      </c>
      <c r="T379" s="9" t="str">
        <f aca="false">IF($A379="","",IF(N379="",0,N379*Dimensoes!$C$2)+IF(O379="",0,O379*Dimensoes!$C$3)+IF(P379="",0,P379*Dimensoes!$C$4)+IF(Q379="",0,Q379*Dimensoes!$C$5))</f>
        <v/>
      </c>
      <c r="U379" s="0" t="str">
        <f aca="false">IF($A379="","",IF(OR(E379="concluida",E379="incompleta"),1,0))</f>
        <v/>
      </c>
    </row>
    <row r="380" customFormat="false" ht="15" hidden="false" customHeight="false" outlineLevel="0" collapsed="false">
      <c r="A380" s="0" t="str">
        <f aca="false">IF(Visitas!A380="","",Visitas!A380)</f>
        <v/>
      </c>
      <c r="B380" s="0" t="str">
        <f aca="false">IF($A380="","",Visitas!C380)</f>
        <v/>
      </c>
      <c r="C380" s="7" t="str">
        <f aca="false">IF($A380="","",Visitas!D380)</f>
        <v/>
      </c>
      <c r="D380" s="0" t="str">
        <f aca="false">IF($A380="","",Visitas!B380)</f>
        <v/>
      </c>
      <c r="E380" s="0" t="str">
        <f aca="false">IF($A380="","",Visitas!F380)</f>
        <v/>
      </c>
      <c r="F380" s="0" t="str">
        <f aca="false">IF($A380="","",SUMIFS(Avaliacoes!$G$2:$G$6000,Avaliacoes!$A$2:$A$6000,$A380,Avaliacoes!$F$2:$F$6000,"I",Avaliacoes!$H$2:$H$6000,0))</f>
        <v/>
      </c>
      <c r="G380" s="0" t="str">
        <f aca="false">IF($A380="","",SUMIFS(Avaliacoes!$G$2:$G$6000,Avaliacoes!$A$2:$A$6000,$A380,Avaliacoes!$F$2:$F$6000,"II",Avaliacoes!$H$2:$H$6000,0))</f>
        <v/>
      </c>
      <c r="H380" s="0" t="str">
        <f aca="false">IF($A380="","",SUMIFS(Avaliacoes!$G$2:$G$6000,Avaliacoes!$A$2:$A$6000,$A380,Avaliacoes!$F$2:$F$6000,"III",Avaliacoes!$H$2:$H$6000,0))</f>
        <v/>
      </c>
      <c r="I380" s="0" t="str">
        <f aca="false">IF($A380="","",SUMIFS(Avaliacoes!$G$2:$G$6000,Avaliacoes!$A$2:$A$6000,$A380,Avaliacoes!$F$2:$F$6000,"IV",Avaliacoes!$H$2:$H$6000,0))</f>
        <v/>
      </c>
      <c r="J380" s="0" t="str">
        <f aca="false">IF($A380="","",COUNTIFS(Avaliacoes!$A$2:$A$6000,$A380,Avaliacoes!$F$2:$F$6000,"I",Avaliacoes!$H$2:$H$6000,0,Avaliacoes!$G$2:$G$6000,"&lt;&gt;")*Dimensoes!$E$2)</f>
        <v/>
      </c>
      <c r="K380" s="0" t="str">
        <f aca="false">IF($A380="","",COUNTIFS(Avaliacoes!$A$2:$A$6000,$A380,Avaliacoes!$F$2:$F$6000,"II",Avaliacoes!$H$2:$H$6000,0,Avaliacoes!$G$2:$G$6000,"&lt;&gt;")*Dimensoes!$E$3)</f>
        <v/>
      </c>
      <c r="L380" s="0" t="str">
        <f aca="false">IF($A380="","",COUNTIFS(Avaliacoes!$A$2:$A$6000,$A380,Avaliacoes!$F$2:$F$6000,"III",Avaliacoes!$H$2:$H$6000,0,Avaliacoes!$G$2:$G$6000,"&lt;&gt;")*Dimensoes!$E$4)</f>
        <v/>
      </c>
      <c r="M380" s="0" t="str">
        <f aca="false">IF($A380="","",COUNTIFS(Avaliacoes!$A$2:$A$6000,$A380,Avaliacoes!$F$2:$F$6000,"IV",Avaliacoes!$H$2:$H$6000,0,Avaliacoes!$G$2:$G$6000,"&lt;&gt;")*Dimensoes!$E$5)</f>
        <v/>
      </c>
      <c r="N380" s="9" t="str">
        <f aca="false">IF($A380="","",IF(J380&gt;0,F380/J380,""))</f>
        <v/>
      </c>
      <c r="O380" s="9" t="str">
        <f aca="false">IF($A380="","",IF(K380&gt;0,G380/K380,""))</f>
        <v/>
      </c>
      <c r="P380" s="9" t="str">
        <f aca="false">IF($A380="","",IF(L380&gt;0,H380/L380,""))</f>
        <v/>
      </c>
      <c r="Q380" s="9" t="str">
        <f aca="false">IF($A380="","",IF(M380&gt;0,I380/M380,""))</f>
        <v/>
      </c>
      <c r="R380" s="17" t="str">
        <f aca="false">IF($A380="","",IF((IF(N380="",0,Dimensoes!$C$2)+IF(O380="",0,Dimensoes!$C$3)+IF(P380="",0,Dimensoes!$C$4)+IF(Q380="",0,Dimensoes!$C$5))=0,"",(IF(N380="",0,N380*Dimensoes!$C$2)+IF(O380="",0,O380*Dimensoes!$C$3)+IF(P380="",0,P380*Dimensoes!$C$4)+IF(Q380="",0,Q380*Dimensoes!$C$5))/(IF(N380="",0,Dimensoes!$C$2)+IF(O380="",0,Dimensoes!$C$3)+IF(P380="",0,Dimensoes!$C$4)+IF(Q380="",0,Dimensoes!$C$5))))</f>
        <v/>
      </c>
      <c r="S380" s="0" t="str">
        <f aca="false">IF(R380="","",IF(R380&lt;Faixas!$C$3,"vermelho",IF(R380&lt;Faixas!$C$4,"amarelo","verde")))</f>
        <v/>
      </c>
      <c r="T380" s="9" t="str">
        <f aca="false">IF($A380="","",IF(N380="",0,N380*Dimensoes!$C$2)+IF(O380="",0,O380*Dimensoes!$C$3)+IF(P380="",0,P380*Dimensoes!$C$4)+IF(Q380="",0,Q380*Dimensoes!$C$5))</f>
        <v/>
      </c>
      <c r="U380" s="0" t="str">
        <f aca="false">IF($A380="","",IF(OR(E380="concluida",E380="incompleta"),1,0))</f>
        <v/>
      </c>
    </row>
    <row r="381" customFormat="false" ht="15" hidden="false" customHeight="false" outlineLevel="0" collapsed="false">
      <c r="A381" s="0" t="str">
        <f aca="false">IF(Visitas!A381="","",Visitas!A381)</f>
        <v/>
      </c>
      <c r="B381" s="0" t="str">
        <f aca="false">IF($A381="","",Visitas!C381)</f>
        <v/>
      </c>
      <c r="C381" s="7" t="str">
        <f aca="false">IF($A381="","",Visitas!D381)</f>
        <v/>
      </c>
      <c r="D381" s="0" t="str">
        <f aca="false">IF($A381="","",Visitas!B381)</f>
        <v/>
      </c>
      <c r="E381" s="0" t="str">
        <f aca="false">IF($A381="","",Visitas!F381)</f>
        <v/>
      </c>
      <c r="F381" s="0" t="str">
        <f aca="false">IF($A381="","",SUMIFS(Avaliacoes!$G$2:$G$6000,Avaliacoes!$A$2:$A$6000,$A381,Avaliacoes!$F$2:$F$6000,"I",Avaliacoes!$H$2:$H$6000,0))</f>
        <v/>
      </c>
      <c r="G381" s="0" t="str">
        <f aca="false">IF($A381="","",SUMIFS(Avaliacoes!$G$2:$G$6000,Avaliacoes!$A$2:$A$6000,$A381,Avaliacoes!$F$2:$F$6000,"II",Avaliacoes!$H$2:$H$6000,0))</f>
        <v/>
      </c>
      <c r="H381" s="0" t="str">
        <f aca="false">IF($A381="","",SUMIFS(Avaliacoes!$G$2:$G$6000,Avaliacoes!$A$2:$A$6000,$A381,Avaliacoes!$F$2:$F$6000,"III",Avaliacoes!$H$2:$H$6000,0))</f>
        <v/>
      </c>
      <c r="I381" s="0" t="str">
        <f aca="false">IF($A381="","",SUMIFS(Avaliacoes!$G$2:$G$6000,Avaliacoes!$A$2:$A$6000,$A381,Avaliacoes!$F$2:$F$6000,"IV",Avaliacoes!$H$2:$H$6000,0))</f>
        <v/>
      </c>
      <c r="J381" s="0" t="str">
        <f aca="false">IF($A381="","",COUNTIFS(Avaliacoes!$A$2:$A$6000,$A381,Avaliacoes!$F$2:$F$6000,"I",Avaliacoes!$H$2:$H$6000,0,Avaliacoes!$G$2:$G$6000,"&lt;&gt;")*Dimensoes!$E$2)</f>
        <v/>
      </c>
      <c r="K381" s="0" t="str">
        <f aca="false">IF($A381="","",COUNTIFS(Avaliacoes!$A$2:$A$6000,$A381,Avaliacoes!$F$2:$F$6000,"II",Avaliacoes!$H$2:$H$6000,0,Avaliacoes!$G$2:$G$6000,"&lt;&gt;")*Dimensoes!$E$3)</f>
        <v/>
      </c>
      <c r="L381" s="0" t="str">
        <f aca="false">IF($A381="","",COUNTIFS(Avaliacoes!$A$2:$A$6000,$A381,Avaliacoes!$F$2:$F$6000,"III",Avaliacoes!$H$2:$H$6000,0,Avaliacoes!$G$2:$G$6000,"&lt;&gt;")*Dimensoes!$E$4)</f>
        <v/>
      </c>
      <c r="M381" s="0" t="str">
        <f aca="false">IF($A381="","",COUNTIFS(Avaliacoes!$A$2:$A$6000,$A381,Avaliacoes!$F$2:$F$6000,"IV",Avaliacoes!$H$2:$H$6000,0,Avaliacoes!$G$2:$G$6000,"&lt;&gt;")*Dimensoes!$E$5)</f>
        <v/>
      </c>
      <c r="N381" s="9" t="str">
        <f aca="false">IF($A381="","",IF(J381&gt;0,F381/J381,""))</f>
        <v/>
      </c>
      <c r="O381" s="9" t="str">
        <f aca="false">IF($A381="","",IF(K381&gt;0,G381/K381,""))</f>
        <v/>
      </c>
      <c r="P381" s="9" t="str">
        <f aca="false">IF($A381="","",IF(L381&gt;0,H381/L381,""))</f>
        <v/>
      </c>
      <c r="Q381" s="9" t="str">
        <f aca="false">IF($A381="","",IF(M381&gt;0,I381/M381,""))</f>
        <v/>
      </c>
      <c r="R381" s="17" t="str">
        <f aca="false">IF($A381="","",IF((IF(N381="",0,Dimensoes!$C$2)+IF(O381="",0,Dimensoes!$C$3)+IF(P381="",0,Dimensoes!$C$4)+IF(Q381="",0,Dimensoes!$C$5))=0,"",(IF(N381="",0,N381*Dimensoes!$C$2)+IF(O381="",0,O381*Dimensoes!$C$3)+IF(P381="",0,P381*Dimensoes!$C$4)+IF(Q381="",0,Q381*Dimensoes!$C$5))/(IF(N381="",0,Dimensoes!$C$2)+IF(O381="",0,Dimensoes!$C$3)+IF(P381="",0,Dimensoes!$C$4)+IF(Q381="",0,Dimensoes!$C$5))))</f>
        <v/>
      </c>
      <c r="S381" s="0" t="str">
        <f aca="false">IF(R381="","",IF(R381&lt;Faixas!$C$3,"vermelho",IF(R381&lt;Faixas!$C$4,"amarelo","verde")))</f>
        <v/>
      </c>
      <c r="T381" s="9" t="str">
        <f aca="false">IF($A381="","",IF(N381="",0,N381*Dimensoes!$C$2)+IF(O381="",0,O381*Dimensoes!$C$3)+IF(P381="",0,P381*Dimensoes!$C$4)+IF(Q381="",0,Q381*Dimensoes!$C$5))</f>
        <v/>
      </c>
      <c r="U381" s="0" t="str">
        <f aca="false">IF($A381="","",IF(OR(E381="concluida",E381="incompleta"),1,0))</f>
        <v/>
      </c>
    </row>
    <row r="382" customFormat="false" ht="15" hidden="false" customHeight="false" outlineLevel="0" collapsed="false">
      <c r="A382" s="0" t="str">
        <f aca="false">IF(Visitas!A382="","",Visitas!A382)</f>
        <v/>
      </c>
      <c r="B382" s="0" t="str">
        <f aca="false">IF($A382="","",Visitas!C382)</f>
        <v/>
      </c>
      <c r="C382" s="7" t="str">
        <f aca="false">IF($A382="","",Visitas!D382)</f>
        <v/>
      </c>
      <c r="D382" s="0" t="str">
        <f aca="false">IF($A382="","",Visitas!B382)</f>
        <v/>
      </c>
      <c r="E382" s="0" t="str">
        <f aca="false">IF($A382="","",Visitas!F382)</f>
        <v/>
      </c>
      <c r="F382" s="0" t="str">
        <f aca="false">IF($A382="","",SUMIFS(Avaliacoes!$G$2:$G$6000,Avaliacoes!$A$2:$A$6000,$A382,Avaliacoes!$F$2:$F$6000,"I",Avaliacoes!$H$2:$H$6000,0))</f>
        <v/>
      </c>
      <c r="G382" s="0" t="str">
        <f aca="false">IF($A382="","",SUMIFS(Avaliacoes!$G$2:$G$6000,Avaliacoes!$A$2:$A$6000,$A382,Avaliacoes!$F$2:$F$6000,"II",Avaliacoes!$H$2:$H$6000,0))</f>
        <v/>
      </c>
      <c r="H382" s="0" t="str">
        <f aca="false">IF($A382="","",SUMIFS(Avaliacoes!$G$2:$G$6000,Avaliacoes!$A$2:$A$6000,$A382,Avaliacoes!$F$2:$F$6000,"III",Avaliacoes!$H$2:$H$6000,0))</f>
        <v/>
      </c>
      <c r="I382" s="0" t="str">
        <f aca="false">IF($A382="","",SUMIFS(Avaliacoes!$G$2:$G$6000,Avaliacoes!$A$2:$A$6000,$A382,Avaliacoes!$F$2:$F$6000,"IV",Avaliacoes!$H$2:$H$6000,0))</f>
        <v/>
      </c>
      <c r="J382" s="0" t="str">
        <f aca="false">IF($A382="","",COUNTIFS(Avaliacoes!$A$2:$A$6000,$A382,Avaliacoes!$F$2:$F$6000,"I",Avaliacoes!$H$2:$H$6000,0,Avaliacoes!$G$2:$G$6000,"&lt;&gt;")*Dimensoes!$E$2)</f>
        <v/>
      </c>
      <c r="K382" s="0" t="str">
        <f aca="false">IF($A382="","",COUNTIFS(Avaliacoes!$A$2:$A$6000,$A382,Avaliacoes!$F$2:$F$6000,"II",Avaliacoes!$H$2:$H$6000,0,Avaliacoes!$G$2:$G$6000,"&lt;&gt;")*Dimensoes!$E$3)</f>
        <v/>
      </c>
      <c r="L382" s="0" t="str">
        <f aca="false">IF($A382="","",COUNTIFS(Avaliacoes!$A$2:$A$6000,$A382,Avaliacoes!$F$2:$F$6000,"III",Avaliacoes!$H$2:$H$6000,0,Avaliacoes!$G$2:$G$6000,"&lt;&gt;")*Dimensoes!$E$4)</f>
        <v/>
      </c>
      <c r="M382" s="0" t="str">
        <f aca="false">IF($A382="","",COUNTIFS(Avaliacoes!$A$2:$A$6000,$A382,Avaliacoes!$F$2:$F$6000,"IV",Avaliacoes!$H$2:$H$6000,0,Avaliacoes!$G$2:$G$6000,"&lt;&gt;")*Dimensoes!$E$5)</f>
        <v/>
      </c>
      <c r="N382" s="9" t="str">
        <f aca="false">IF($A382="","",IF(J382&gt;0,F382/J382,""))</f>
        <v/>
      </c>
      <c r="O382" s="9" t="str">
        <f aca="false">IF($A382="","",IF(K382&gt;0,G382/K382,""))</f>
        <v/>
      </c>
      <c r="P382" s="9" t="str">
        <f aca="false">IF($A382="","",IF(L382&gt;0,H382/L382,""))</f>
        <v/>
      </c>
      <c r="Q382" s="9" t="str">
        <f aca="false">IF($A382="","",IF(M382&gt;0,I382/M382,""))</f>
        <v/>
      </c>
      <c r="R382" s="17" t="str">
        <f aca="false">IF($A382="","",IF((IF(N382="",0,Dimensoes!$C$2)+IF(O382="",0,Dimensoes!$C$3)+IF(P382="",0,Dimensoes!$C$4)+IF(Q382="",0,Dimensoes!$C$5))=0,"",(IF(N382="",0,N382*Dimensoes!$C$2)+IF(O382="",0,O382*Dimensoes!$C$3)+IF(P382="",0,P382*Dimensoes!$C$4)+IF(Q382="",0,Q382*Dimensoes!$C$5))/(IF(N382="",0,Dimensoes!$C$2)+IF(O382="",0,Dimensoes!$C$3)+IF(P382="",0,Dimensoes!$C$4)+IF(Q382="",0,Dimensoes!$C$5))))</f>
        <v/>
      </c>
      <c r="S382" s="0" t="str">
        <f aca="false">IF(R382="","",IF(R382&lt;Faixas!$C$3,"vermelho",IF(R382&lt;Faixas!$C$4,"amarelo","verde")))</f>
        <v/>
      </c>
      <c r="T382" s="9" t="str">
        <f aca="false">IF($A382="","",IF(N382="",0,N382*Dimensoes!$C$2)+IF(O382="",0,O382*Dimensoes!$C$3)+IF(P382="",0,P382*Dimensoes!$C$4)+IF(Q382="",0,Q382*Dimensoes!$C$5))</f>
        <v/>
      </c>
      <c r="U382" s="0" t="str">
        <f aca="false">IF($A382="","",IF(OR(E382="concluida",E382="incompleta"),1,0))</f>
        <v/>
      </c>
    </row>
    <row r="383" customFormat="false" ht="15" hidden="false" customHeight="false" outlineLevel="0" collapsed="false">
      <c r="A383" s="0" t="str">
        <f aca="false">IF(Visitas!A383="","",Visitas!A383)</f>
        <v/>
      </c>
      <c r="B383" s="0" t="str">
        <f aca="false">IF($A383="","",Visitas!C383)</f>
        <v/>
      </c>
      <c r="C383" s="7" t="str">
        <f aca="false">IF($A383="","",Visitas!D383)</f>
        <v/>
      </c>
      <c r="D383" s="0" t="str">
        <f aca="false">IF($A383="","",Visitas!B383)</f>
        <v/>
      </c>
      <c r="E383" s="0" t="str">
        <f aca="false">IF($A383="","",Visitas!F383)</f>
        <v/>
      </c>
      <c r="F383" s="0" t="str">
        <f aca="false">IF($A383="","",SUMIFS(Avaliacoes!$G$2:$G$6000,Avaliacoes!$A$2:$A$6000,$A383,Avaliacoes!$F$2:$F$6000,"I",Avaliacoes!$H$2:$H$6000,0))</f>
        <v/>
      </c>
      <c r="G383" s="0" t="str">
        <f aca="false">IF($A383="","",SUMIFS(Avaliacoes!$G$2:$G$6000,Avaliacoes!$A$2:$A$6000,$A383,Avaliacoes!$F$2:$F$6000,"II",Avaliacoes!$H$2:$H$6000,0))</f>
        <v/>
      </c>
      <c r="H383" s="0" t="str">
        <f aca="false">IF($A383="","",SUMIFS(Avaliacoes!$G$2:$G$6000,Avaliacoes!$A$2:$A$6000,$A383,Avaliacoes!$F$2:$F$6000,"III",Avaliacoes!$H$2:$H$6000,0))</f>
        <v/>
      </c>
      <c r="I383" s="0" t="str">
        <f aca="false">IF($A383="","",SUMIFS(Avaliacoes!$G$2:$G$6000,Avaliacoes!$A$2:$A$6000,$A383,Avaliacoes!$F$2:$F$6000,"IV",Avaliacoes!$H$2:$H$6000,0))</f>
        <v/>
      </c>
      <c r="J383" s="0" t="str">
        <f aca="false">IF($A383="","",COUNTIFS(Avaliacoes!$A$2:$A$6000,$A383,Avaliacoes!$F$2:$F$6000,"I",Avaliacoes!$H$2:$H$6000,0,Avaliacoes!$G$2:$G$6000,"&lt;&gt;")*Dimensoes!$E$2)</f>
        <v/>
      </c>
      <c r="K383" s="0" t="str">
        <f aca="false">IF($A383="","",COUNTIFS(Avaliacoes!$A$2:$A$6000,$A383,Avaliacoes!$F$2:$F$6000,"II",Avaliacoes!$H$2:$H$6000,0,Avaliacoes!$G$2:$G$6000,"&lt;&gt;")*Dimensoes!$E$3)</f>
        <v/>
      </c>
      <c r="L383" s="0" t="str">
        <f aca="false">IF($A383="","",COUNTIFS(Avaliacoes!$A$2:$A$6000,$A383,Avaliacoes!$F$2:$F$6000,"III",Avaliacoes!$H$2:$H$6000,0,Avaliacoes!$G$2:$G$6000,"&lt;&gt;")*Dimensoes!$E$4)</f>
        <v/>
      </c>
      <c r="M383" s="0" t="str">
        <f aca="false">IF($A383="","",COUNTIFS(Avaliacoes!$A$2:$A$6000,$A383,Avaliacoes!$F$2:$F$6000,"IV",Avaliacoes!$H$2:$H$6000,0,Avaliacoes!$G$2:$G$6000,"&lt;&gt;")*Dimensoes!$E$5)</f>
        <v/>
      </c>
      <c r="N383" s="9" t="str">
        <f aca="false">IF($A383="","",IF(J383&gt;0,F383/J383,""))</f>
        <v/>
      </c>
      <c r="O383" s="9" t="str">
        <f aca="false">IF($A383="","",IF(K383&gt;0,G383/K383,""))</f>
        <v/>
      </c>
      <c r="P383" s="9" t="str">
        <f aca="false">IF($A383="","",IF(L383&gt;0,H383/L383,""))</f>
        <v/>
      </c>
      <c r="Q383" s="9" t="str">
        <f aca="false">IF($A383="","",IF(M383&gt;0,I383/M383,""))</f>
        <v/>
      </c>
      <c r="R383" s="17" t="str">
        <f aca="false">IF($A383="","",IF((IF(N383="",0,Dimensoes!$C$2)+IF(O383="",0,Dimensoes!$C$3)+IF(P383="",0,Dimensoes!$C$4)+IF(Q383="",0,Dimensoes!$C$5))=0,"",(IF(N383="",0,N383*Dimensoes!$C$2)+IF(O383="",0,O383*Dimensoes!$C$3)+IF(P383="",0,P383*Dimensoes!$C$4)+IF(Q383="",0,Q383*Dimensoes!$C$5))/(IF(N383="",0,Dimensoes!$C$2)+IF(O383="",0,Dimensoes!$C$3)+IF(P383="",0,Dimensoes!$C$4)+IF(Q383="",0,Dimensoes!$C$5))))</f>
        <v/>
      </c>
      <c r="S383" s="0" t="str">
        <f aca="false">IF(R383="","",IF(R383&lt;Faixas!$C$3,"vermelho",IF(R383&lt;Faixas!$C$4,"amarelo","verde")))</f>
        <v/>
      </c>
      <c r="T383" s="9" t="str">
        <f aca="false">IF($A383="","",IF(N383="",0,N383*Dimensoes!$C$2)+IF(O383="",0,O383*Dimensoes!$C$3)+IF(P383="",0,P383*Dimensoes!$C$4)+IF(Q383="",0,Q383*Dimensoes!$C$5))</f>
        <v/>
      </c>
      <c r="U383" s="0" t="str">
        <f aca="false">IF($A383="","",IF(OR(E383="concluida",E383="incompleta"),1,0))</f>
        <v/>
      </c>
    </row>
    <row r="384" customFormat="false" ht="15" hidden="false" customHeight="false" outlineLevel="0" collapsed="false">
      <c r="A384" s="0" t="str">
        <f aca="false">IF(Visitas!A384="","",Visitas!A384)</f>
        <v/>
      </c>
      <c r="B384" s="0" t="str">
        <f aca="false">IF($A384="","",Visitas!C384)</f>
        <v/>
      </c>
      <c r="C384" s="7" t="str">
        <f aca="false">IF($A384="","",Visitas!D384)</f>
        <v/>
      </c>
      <c r="D384" s="0" t="str">
        <f aca="false">IF($A384="","",Visitas!B384)</f>
        <v/>
      </c>
      <c r="E384" s="0" t="str">
        <f aca="false">IF($A384="","",Visitas!F384)</f>
        <v/>
      </c>
      <c r="F384" s="0" t="str">
        <f aca="false">IF($A384="","",SUMIFS(Avaliacoes!$G$2:$G$6000,Avaliacoes!$A$2:$A$6000,$A384,Avaliacoes!$F$2:$F$6000,"I",Avaliacoes!$H$2:$H$6000,0))</f>
        <v/>
      </c>
      <c r="G384" s="0" t="str">
        <f aca="false">IF($A384="","",SUMIFS(Avaliacoes!$G$2:$G$6000,Avaliacoes!$A$2:$A$6000,$A384,Avaliacoes!$F$2:$F$6000,"II",Avaliacoes!$H$2:$H$6000,0))</f>
        <v/>
      </c>
      <c r="H384" s="0" t="str">
        <f aca="false">IF($A384="","",SUMIFS(Avaliacoes!$G$2:$G$6000,Avaliacoes!$A$2:$A$6000,$A384,Avaliacoes!$F$2:$F$6000,"III",Avaliacoes!$H$2:$H$6000,0))</f>
        <v/>
      </c>
      <c r="I384" s="0" t="str">
        <f aca="false">IF($A384="","",SUMIFS(Avaliacoes!$G$2:$G$6000,Avaliacoes!$A$2:$A$6000,$A384,Avaliacoes!$F$2:$F$6000,"IV",Avaliacoes!$H$2:$H$6000,0))</f>
        <v/>
      </c>
      <c r="J384" s="0" t="str">
        <f aca="false">IF($A384="","",COUNTIFS(Avaliacoes!$A$2:$A$6000,$A384,Avaliacoes!$F$2:$F$6000,"I",Avaliacoes!$H$2:$H$6000,0,Avaliacoes!$G$2:$G$6000,"&lt;&gt;")*Dimensoes!$E$2)</f>
        <v/>
      </c>
      <c r="K384" s="0" t="str">
        <f aca="false">IF($A384="","",COUNTIFS(Avaliacoes!$A$2:$A$6000,$A384,Avaliacoes!$F$2:$F$6000,"II",Avaliacoes!$H$2:$H$6000,0,Avaliacoes!$G$2:$G$6000,"&lt;&gt;")*Dimensoes!$E$3)</f>
        <v/>
      </c>
      <c r="L384" s="0" t="str">
        <f aca="false">IF($A384="","",COUNTIFS(Avaliacoes!$A$2:$A$6000,$A384,Avaliacoes!$F$2:$F$6000,"III",Avaliacoes!$H$2:$H$6000,0,Avaliacoes!$G$2:$G$6000,"&lt;&gt;")*Dimensoes!$E$4)</f>
        <v/>
      </c>
      <c r="M384" s="0" t="str">
        <f aca="false">IF($A384="","",COUNTIFS(Avaliacoes!$A$2:$A$6000,$A384,Avaliacoes!$F$2:$F$6000,"IV",Avaliacoes!$H$2:$H$6000,0,Avaliacoes!$G$2:$G$6000,"&lt;&gt;")*Dimensoes!$E$5)</f>
        <v/>
      </c>
      <c r="N384" s="9" t="str">
        <f aca="false">IF($A384="","",IF(J384&gt;0,F384/J384,""))</f>
        <v/>
      </c>
      <c r="O384" s="9" t="str">
        <f aca="false">IF($A384="","",IF(K384&gt;0,G384/K384,""))</f>
        <v/>
      </c>
      <c r="P384" s="9" t="str">
        <f aca="false">IF($A384="","",IF(L384&gt;0,H384/L384,""))</f>
        <v/>
      </c>
      <c r="Q384" s="9" t="str">
        <f aca="false">IF($A384="","",IF(M384&gt;0,I384/M384,""))</f>
        <v/>
      </c>
      <c r="R384" s="17" t="str">
        <f aca="false">IF($A384="","",IF((IF(N384="",0,Dimensoes!$C$2)+IF(O384="",0,Dimensoes!$C$3)+IF(P384="",0,Dimensoes!$C$4)+IF(Q384="",0,Dimensoes!$C$5))=0,"",(IF(N384="",0,N384*Dimensoes!$C$2)+IF(O384="",0,O384*Dimensoes!$C$3)+IF(P384="",0,P384*Dimensoes!$C$4)+IF(Q384="",0,Q384*Dimensoes!$C$5))/(IF(N384="",0,Dimensoes!$C$2)+IF(O384="",0,Dimensoes!$C$3)+IF(P384="",0,Dimensoes!$C$4)+IF(Q384="",0,Dimensoes!$C$5))))</f>
        <v/>
      </c>
      <c r="S384" s="0" t="str">
        <f aca="false">IF(R384="","",IF(R384&lt;Faixas!$C$3,"vermelho",IF(R384&lt;Faixas!$C$4,"amarelo","verde")))</f>
        <v/>
      </c>
      <c r="T384" s="9" t="str">
        <f aca="false">IF($A384="","",IF(N384="",0,N384*Dimensoes!$C$2)+IF(O384="",0,O384*Dimensoes!$C$3)+IF(P384="",0,P384*Dimensoes!$C$4)+IF(Q384="",0,Q384*Dimensoes!$C$5))</f>
        <v/>
      </c>
      <c r="U384" s="0" t="str">
        <f aca="false">IF($A384="","",IF(OR(E384="concluida",E384="incompleta"),1,0))</f>
        <v/>
      </c>
    </row>
    <row r="385" customFormat="false" ht="15" hidden="false" customHeight="false" outlineLevel="0" collapsed="false">
      <c r="A385" s="0" t="str">
        <f aca="false">IF(Visitas!A385="","",Visitas!A385)</f>
        <v/>
      </c>
      <c r="B385" s="0" t="str">
        <f aca="false">IF($A385="","",Visitas!C385)</f>
        <v/>
      </c>
      <c r="C385" s="7" t="str">
        <f aca="false">IF($A385="","",Visitas!D385)</f>
        <v/>
      </c>
      <c r="D385" s="0" t="str">
        <f aca="false">IF($A385="","",Visitas!B385)</f>
        <v/>
      </c>
      <c r="E385" s="0" t="str">
        <f aca="false">IF($A385="","",Visitas!F385)</f>
        <v/>
      </c>
      <c r="F385" s="0" t="str">
        <f aca="false">IF($A385="","",SUMIFS(Avaliacoes!$G$2:$G$6000,Avaliacoes!$A$2:$A$6000,$A385,Avaliacoes!$F$2:$F$6000,"I",Avaliacoes!$H$2:$H$6000,0))</f>
        <v/>
      </c>
      <c r="G385" s="0" t="str">
        <f aca="false">IF($A385="","",SUMIFS(Avaliacoes!$G$2:$G$6000,Avaliacoes!$A$2:$A$6000,$A385,Avaliacoes!$F$2:$F$6000,"II",Avaliacoes!$H$2:$H$6000,0))</f>
        <v/>
      </c>
      <c r="H385" s="0" t="str">
        <f aca="false">IF($A385="","",SUMIFS(Avaliacoes!$G$2:$G$6000,Avaliacoes!$A$2:$A$6000,$A385,Avaliacoes!$F$2:$F$6000,"III",Avaliacoes!$H$2:$H$6000,0))</f>
        <v/>
      </c>
      <c r="I385" s="0" t="str">
        <f aca="false">IF($A385="","",SUMIFS(Avaliacoes!$G$2:$G$6000,Avaliacoes!$A$2:$A$6000,$A385,Avaliacoes!$F$2:$F$6000,"IV",Avaliacoes!$H$2:$H$6000,0))</f>
        <v/>
      </c>
      <c r="J385" s="0" t="str">
        <f aca="false">IF($A385="","",COUNTIFS(Avaliacoes!$A$2:$A$6000,$A385,Avaliacoes!$F$2:$F$6000,"I",Avaliacoes!$H$2:$H$6000,0,Avaliacoes!$G$2:$G$6000,"&lt;&gt;")*Dimensoes!$E$2)</f>
        <v/>
      </c>
      <c r="K385" s="0" t="str">
        <f aca="false">IF($A385="","",COUNTIFS(Avaliacoes!$A$2:$A$6000,$A385,Avaliacoes!$F$2:$F$6000,"II",Avaliacoes!$H$2:$H$6000,0,Avaliacoes!$G$2:$G$6000,"&lt;&gt;")*Dimensoes!$E$3)</f>
        <v/>
      </c>
      <c r="L385" s="0" t="str">
        <f aca="false">IF($A385="","",COUNTIFS(Avaliacoes!$A$2:$A$6000,$A385,Avaliacoes!$F$2:$F$6000,"III",Avaliacoes!$H$2:$H$6000,0,Avaliacoes!$G$2:$G$6000,"&lt;&gt;")*Dimensoes!$E$4)</f>
        <v/>
      </c>
      <c r="M385" s="0" t="str">
        <f aca="false">IF($A385="","",COUNTIFS(Avaliacoes!$A$2:$A$6000,$A385,Avaliacoes!$F$2:$F$6000,"IV",Avaliacoes!$H$2:$H$6000,0,Avaliacoes!$G$2:$G$6000,"&lt;&gt;")*Dimensoes!$E$5)</f>
        <v/>
      </c>
      <c r="N385" s="9" t="str">
        <f aca="false">IF($A385="","",IF(J385&gt;0,F385/J385,""))</f>
        <v/>
      </c>
      <c r="O385" s="9" t="str">
        <f aca="false">IF($A385="","",IF(K385&gt;0,G385/K385,""))</f>
        <v/>
      </c>
      <c r="P385" s="9" t="str">
        <f aca="false">IF($A385="","",IF(L385&gt;0,H385/L385,""))</f>
        <v/>
      </c>
      <c r="Q385" s="9" t="str">
        <f aca="false">IF($A385="","",IF(M385&gt;0,I385/M385,""))</f>
        <v/>
      </c>
      <c r="R385" s="17" t="str">
        <f aca="false">IF($A385="","",IF((IF(N385="",0,Dimensoes!$C$2)+IF(O385="",0,Dimensoes!$C$3)+IF(P385="",0,Dimensoes!$C$4)+IF(Q385="",0,Dimensoes!$C$5))=0,"",(IF(N385="",0,N385*Dimensoes!$C$2)+IF(O385="",0,O385*Dimensoes!$C$3)+IF(P385="",0,P385*Dimensoes!$C$4)+IF(Q385="",0,Q385*Dimensoes!$C$5))/(IF(N385="",0,Dimensoes!$C$2)+IF(O385="",0,Dimensoes!$C$3)+IF(P385="",0,Dimensoes!$C$4)+IF(Q385="",0,Dimensoes!$C$5))))</f>
        <v/>
      </c>
      <c r="S385" s="0" t="str">
        <f aca="false">IF(R385="","",IF(R385&lt;Faixas!$C$3,"vermelho",IF(R385&lt;Faixas!$C$4,"amarelo","verde")))</f>
        <v/>
      </c>
      <c r="T385" s="9" t="str">
        <f aca="false">IF($A385="","",IF(N385="",0,N385*Dimensoes!$C$2)+IF(O385="",0,O385*Dimensoes!$C$3)+IF(P385="",0,P385*Dimensoes!$C$4)+IF(Q385="",0,Q385*Dimensoes!$C$5))</f>
        <v/>
      </c>
      <c r="U385" s="0" t="str">
        <f aca="false">IF($A385="","",IF(OR(E385="concluida",E385="incompleta"),1,0))</f>
        <v/>
      </c>
    </row>
    <row r="386" customFormat="false" ht="15" hidden="false" customHeight="false" outlineLevel="0" collapsed="false">
      <c r="A386" s="0" t="str">
        <f aca="false">IF(Visitas!A386="","",Visitas!A386)</f>
        <v/>
      </c>
      <c r="B386" s="0" t="str">
        <f aca="false">IF($A386="","",Visitas!C386)</f>
        <v/>
      </c>
      <c r="C386" s="7" t="str">
        <f aca="false">IF($A386="","",Visitas!D386)</f>
        <v/>
      </c>
      <c r="D386" s="0" t="str">
        <f aca="false">IF($A386="","",Visitas!B386)</f>
        <v/>
      </c>
      <c r="E386" s="0" t="str">
        <f aca="false">IF($A386="","",Visitas!F386)</f>
        <v/>
      </c>
      <c r="F386" s="0" t="str">
        <f aca="false">IF($A386="","",SUMIFS(Avaliacoes!$G$2:$G$6000,Avaliacoes!$A$2:$A$6000,$A386,Avaliacoes!$F$2:$F$6000,"I",Avaliacoes!$H$2:$H$6000,0))</f>
        <v/>
      </c>
      <c r="G386" s="0" t="str">
        <f aca="false">IF($A386="","",SUMIFS(Avaliacoes!$G$2:$G$6000,Avaliacoes!$A$2:$A$6000,$A386,Avaliacoes!$F$2:$F$6000,"II",Avaliacoes!$H$2:$H$6000,0))</f>
        <v/>
      </c>
      <c r="H386" s="0" t="str">
        <f aca="false">IF($A386="","",SUMIFS(Avaliacoes!$G$2:$G$6000,Avaliacoes!$A$2:$A$6000,$A386,Avaliacoes!$F$2:$F$6000,"III",Avaliacoes!$H$2:$H$6000,0))</f>
        <v/>
      </c>
      <c r="I386" s="0" t="str">
        <f aca="false">IF($A386="","",SUMIFS(Avaliacoes!$G$2:$G$6000,Avaliacoes!$A$2:$A$6000,$A386,Avaliacoes!$F$2:$F$6000,"IV",Avaliacoes!$H$2:$H$6000,0))</f>
        <v/>
      </c>
      <c r="J386" s="0" t="str">
        <f aca="false">IF($A386="","",COUNTIFS(Avaliacoes!$A$2:$A$6000,$A386,Avaliacoes!$F$2:$F$6000,"I",Avaliacoes!$H$2:$H$6000,0,Avaliacoes!$G$2:$G$6000,"&lt;&gt;")*Dimensoes!$E$2)</f>
        <v/>
      </c>
      <c r="K386" s="0" t="str">
        <f aca="false">IF($A386="","",COUNTIFS(Avaliacoes!$A$2:$A$6000,$A386,Avaliacoes!$F$2:$F$6000,"II",Avaliacoes!$H$2:$H$6000,0,Avaliacoes!$G$2:$G$6000,"&lt;&gt;")*Dimensoes!$E$3)</f>
        <v/>
      </c>
      <c r="L386" s="0" t="str">
        <f aca="false">IF($A386="","",COUNTIFS(Avaliacoes!$A$2:$A$6000,$A386,Avaliacoes!$F$2:$F$6000,"III",Avaliacoes!$H$2:$H$6000,0,Avaliacoes!$G$2:$G$6000,"&lt;&gt;")*Dimensoes!$E$4)</f>
        <v/>
      </c>
      <c r="M386" s="0" t="str">
        <f aca="false">IF($A386="","",COUNTIFS(Avaliacoes!$A$2:$A$6000,$A386,Avaliacoes!$F$2:$F$6000,"IV",Avaliacoes!$H$2:$H$6000,0,Avaliacoes!$G$2:$G$6000,"&lt;&gt;")*Dimensoes!$E$5)</f>
        <v/>
      </c>
      <c r="N386" s="9" t="str">
        <f aca="false">IF($A386="","",IF(J386&gt;0,F386/J386,""))</f>
        <v/>
      </c>
      <c r="O386" s="9" t="str">
        <f aca="false">IF($A386="","",IF(K386&gt;0,G386/K386,""))</f>
        <v/>
      </c>
      <c r="P386" s="9" t="str">
        <f aca="false">IF($A386="","",IF(L386&gt;0,H386/L386,""))</f>
        <v/>
      </c>
      <c r="Q386" s="9" t="str">
        <f aca="false">IF($A386="","",IF(M386&gt;0,I386/M386,""))</f>
        <v/>
      </c>
      <c r="R386" s="17" t="str">
        <f aca="false">IF($A386="","",IF((IF(N386="",0,Dimensoes!$C$2)+IF(O386="",0,Dimensoes!$C$3)+IF(P386="",0,Dimensoes!$C$4)+IF(Q386="",0,Dimensoes!$C$5))=0,"",(IF(N386="",0,N386*Dimensoes!$C$2)+IF(O386="",0,O386*Dimensoes!$C$3)+IF(P386="",0,P386*Dimensoes!$C$4)+IF(Q386="",0,Q386*Dimensoes!$C$5))/(IF(N386="",0,Dimensoes!$C$2)+IF(O386="",0,Dimensoes!$C$3)+IF(P386="",0,Dimensoes!$C$4)+IF(Q386="",0,Dimensoes!$C$5))))</f>
        <v/>
      </c>
      <c r="S386" s="0" t="str">
        <f aca="false">IF(R386="","",IF(R386&lt;Faixas!$C$3,"vermelho",IF(R386&lt;Faixas!$C$4,"amarelo","verde")))</f>
        <v/>
      </c>
      <c r="T386" s="9" t="str">
        <f aca="false">IF($A386="","",IF(N386="",0,N386*Dimensoes!$C$2)+IF(O386="",0,O386*Dimensoes!$C$3)+IF(P386="",0,P386*Dimensoes!$C$4)+IF(Q386="",0,Q386*Dimensoes!$C$5))</f>
        <v/>
      </c>
      <c r="U386" s="0" t="str">
        <f aca="false">IF($A386="","",IF(OR(E386="concluida",E386="incompleta"),1,0))</f>
        <v/>
      </c>
    </row>
    <row r="387" customFormat="false" ht="15" hidden="false" customHeight="false" outlineLevel="0" collapsed="false">
      <c r="A387" s="0" t="str">
        <f aca="false">IF(Visitas!A387="","",Visitas!A387)</f>
        <v/>
      </c>
      <c r="B387" s="0" t="str">
        <f aca="false">IF($A387="","",Visitas!C387)</f>
        <v/>
      </c>
      <c r="C387" s="7" t="str">
        <f aca="false">IF($A387="","",Visitas!D387)</f>
        <v/>
      </c>
      <c r="D387" s="0" t="str">
        <f aca="false">IF($A387="","",Visitas!B387)</f>
        <v/>
      </c>
      <c r="E387" s="0" t="str">
        <f aca="false">IF($A387="","",Visitas!F387)</f>
        <v/>
      </c>
      <c r="F387" s="0" t="str">
        <f aca="false">IF($A387="","",SUMIFS(Avaliacoes!$G$2:$G$6000,Avaliacoes!$A$2:$A$6000,$A387,Avaliacoes!$F$2:$F$6000,"I",Avaliacoes!$H$2:$H$6000,0))</f>
        <v/>
      </c>
      <c r="G387" s="0" t="str">
        <f aca="false">IF($A387="","",SUMIFS(Avaliacoes!$G$2:$G$6000,Avaliacoes!$A$2:$A$6000,$A387,Avaliacoes!$F$2:$F$6000,"II",Avaliacoes!$H$2:$H$6000,0))</f>
        <v/>
      </c>
      <c r="H387" s="0" t="str">
        <f aca="false">IF($A387="","",SUMIFS(Avaliacoes!$G$2:$G$6000,Avaliacoes!$A$2:$A$6000,$A387,Avaliacoes!$F$2:$F$6000,"III",Avaliacoes!$H$2:$H$6000,0))</f>
        <v/>
      </c>
      <c r="I387" s="0" t="str">
        <f aca="false">IF($A387="","",SUMIFS(Avaliacoes!$G$2:$G$6000,Avaliacoes!$A$2:$A$6000,$A387,Avaliacoes!$F$2:$F$6000,"IV",Avaliacoes!$H$2:$H$6000,0))</f>
        <v/>
      </c>
      <c r="J387" s="0" t="str">
        <f aca="false">IF($A387="","",COUNTIFS(Avaliacoes!$A$2:$A$6000,$A387,Avaliacoes!$F$2:$F$6000,"I",Avaliacoes!$H$2:$H$6000,0,Avaliacoes!$G$2:$G$6000,"&lt;&gt;")*Dimensoes!$E$2)</f>
        <v/>
      </c>
      <c r="K387" s="0" t="str">
        <f aca="false">IF($A387="","",COUNTIFS(Avaliacoes!$A$2:$A$6000,$A387,Avaliacoes!$F$2:$F$6000,"II",Avaliacoes!$H$2:$H$6000,0,Avaliacoes!$G$2:$G$6000,"&lt;&gt;")*Dimensoes!$E$3)</f>
        <v/>
      </c>
      <c r="L387" s="0" t="str">
        <f aca="false">IF($A387="","",COUNTIFS(Avaliacoes!$A$2:$A$6000,$A387,Avaliacoes!$F$2:$F$6000,"III",Avaliacoes!$H$2:$H$6000,0,Avaliacoes!$G$2:$G$6000,"&lt;&gt;")*Dimensoes!$E$4)</f>
        <v/>
      </c>
      <c r="M387" s="0" t="str">
        <f aca="false">IF($A387="","",COUNTIFS(Avaliacoes!$A$2:$A$6000,$A387,Avaliacoes!$F$2:$F$6000,"IV",Avaliacoes!$H$2:$H$6000,0,Avaliacoes!$G$2:$G$6000,"&lt;&gt;")*Dimensoes!$E$5)</f>
        <v/>
      </c>
      <c r="N387" s="9" t="str">
        <f aca="false">IF($A387="","",IF(J387&gt;0,F387/J387,""))</f>
        <v/>
      </c>
      <c r="O387" s="9" t="str">
        <f aca="false">IF($A387="","",IF(K387&gt;0,G387/K387,""))</f>
        <v/>
      </c>
      <c r="P387" s="9" t="str">
        <f aca="false">IF($A387="","",IF(L387&gt;0,H387/L387,""))</f>
        <v/>
      </c>
      <c r="Q387" s="9" t="str">
        <f aca="false">IF($A387="","",IF(M387&gt;0,I387/M387,""))</f>
        <v/>
      </c>
      <c r="R387" s="17" t="str">
        <f aca="false">IF($A387="","",IF((IF(N387="",0,Dimensoes!$C$2)+IF(O387="",0,Dimensoes!$C$3)+IF(P387="",0,Dimensoes!$C$4)+IF(Q387="",0,Dimensoes!$C$5))=0,"",(IF(N387="",0,N387*Dimensoes!$C$2)+IF(O387="",0,O387*Dimensoes!$C$3)+IF(P387="",0,P387*Dimensoes!$C$4)+IF(Q387="",0,Q387*Dimensoes!$C$5))/(IF(N387="",0,Dimensoes!$C$2)+IF(O387="",0,Dimensoes!$C$3)+IF(P387="",0,Dimensoes!$C$4)+IF(Q387="",0,Dimensoes!$C$5))))</f>
        <v/>
      </c>
      <c r="S387" s="0" t="str">
        <f aca="false">IF(R387="","",IF(R387&lt;Faixas!$C$3,"vermelho",IF(R387&lt;Faixas!$C$4,"amarelo","verde")))</f>
        <v/>
      </c>
      <c r="T387" s="9" t="str">
        <f aca="false">IF($A387="","",IF(N387="",0,N387*Dimensoes!$C$2)+IF(O387="",0,O387*Dimensoes!$C$3)+IF(P387="",0,P387*Dimensoes!$C$4)+IF(Q387="",0,Q387*Dimensoes!$C$5))</f>
        <v/>
      </c>
      <c r="U387" s="0" t="str">
        <f aca="false">IF($A387="","",IF(OR(E387="concluida",E387="incompleta"),1,0))</f>
        <v/>
      </c>
    </row>
    <row r="388" customFormat="false" ht="15" hidden="false" customHeight="false" outlineLevel="0" collapsed="false">
      <c r="A388" s="0" t="str">
        <f aca="false">IF(Visitas!A388="","",Visitas!A388)</f>
        <v/>
      </c>
      <c r="B388" s="0" t="str">
        <f aca="false">IF($A388="","",Visitas!C388)</f>
        <v/>
      </c>
      <c r="C388" s="7" t="str">
        <f aca="false">IF($A388="","",Visitas!D388)</f>
        <v/>
      </c>
      <c r="D388" s="0" t="str">
        <f aca="false">IF($A388="","",Visitas!B388)</f>
        <v/>
      </c>
      <c r="E388" s="0" t="str">
        <f aca="false">IF($A388="","",Visitas!F388)</f>
        <v/>
      </c>
      <c r="F388" s="0" t="str">
        <f aca="false">IF($A388="","",SUMIFS(Avaliacoes!$G$2:$G$6000,Avaliacoes!$A$2:$A$6000,$A388,Avaliacoes!$F$2:$F$6000,"I",Avaliacoes!$H$2:$H$6000,0))</f>
        <v/>
      </c>
      <c r="G388" s="0" t="str">
        <f aca="false">IF($A388="","",SUMIFS(Avaliacoes!$G$2:$G$6000,Avaliacoes!$A$2:$A$6000,$A388,Avaliacoes!$F$2:$F$6000,"II",Avaliacoes!$H$2:$H$6000,0))</f>
        <v/>
      </c>
      <c r="H388" s="0" t="str">
        <f aca="false">IF($A388="","",SUMIFS(Avaliacoes!$G$2:$G$6000,Avaliacoes!$A$2:$A$6000,$A388,Avaliacoes!$F$2:$F$6000,"III",Avaliacoes!$H$2:$H$6000,0))</f>
        <v/>
      </c>
      <c r="I388" s="0" t="str">
        <f aca="false">IF($A388="","",SUMIFS(Avaliacoes!$G$2:$G$6000,Avaliacoes!$A$2:$A$6000,$A388,Avaliacoes!$F$2:$F$6000,"IV",Avaliacoes!$H$2:$H$6000,0))</f>
        <v/>
      </c>
      <c r="J388" s="0" t="str">
        <f aca="false">IF($A388="","",COUNTIFS(Avaliacoes!$A$2:$A$6000,$A388,Avaliacoes!$F$2:$F$6000,"I",Avaliacoes!$H$2:$H$6000,0,Avaliacoes!$G$2:$G$6000,"&lt;&gt;")*Dimensoes!$E$2)</f>
        <v/>
      </c>
      <c r="K388" s="0" t="str">
        <f aca="false">IF($A388="","",COUNTIFS(Avaliacoes!$A$2:$A$6000,$A388,Avaliacoes!$F$2:$F$6000,"II",Avaliacoes!$H$2:$H$6000,0,Avaliacoes!$G$2:$G$6000,"&lt;&gt;")*Dimensoes!$E$3)</f>
        <v/>
      </c>
      <c r="L388" s="0" t="str">
        <f aca="false">IF($A388="","",COUNTIFS(Avaliacoes!$A$2:$A$6000,$A388,Avaliacoes!$F$2:$F$6000,"III",Avaliacoes!$H$2:$H$6000,0,Avaliacoes!$G$2:$G$6000,"&lt;&gt;")*Dimensoes!$E$4)</f>
        <v/>
      </c>
      <c r="M388" s="0" t="str">
        <f aca="false">IF($A388="","",COUNTIFS(Avaliacoes!$A$2:$A$6000,$A388,Avaliacoes!$F$2:$F$6000,"IV",Avaliacoes!$H$2:$H$6000,0,Avaliacoes!$G$2:$G$6000,"&lt;&gt;")*Dimensoes!$E$5)</f>
        <v/>
      </c>
      <c r="N388" s="9" t="str">
        <f aca="false">IF($A388="","",IF(J388&gt;0,F388/J388,""))</f>
        <v/>
      </c>
      <c r="O388" s="9" t="str">
        <f aca="false">IF($A388="","",IF(K388&gt;0,G388/K388,""))</f>
        <v/>
      </c>
      <c r="P388" s="9" t="str">
        <f aca="false">IF($A388="","",IF(L388&gt;0,H388/L388,""))</f>
        <v/>
      </c>
      <c r="Q388" s="9" t="str">
        <f aca="false">IF($A388="","",IF(M388&gt;0,I388/M388,""))</f>
        <v/>
      </c>
      <c r="R388" s="17" t="str">
        <f aca="false">IF($A388="","",IF((IF(N388="",0,Dimensoes!$C$2)+IF(O388="",0,Dimensoes!$C$3)+IF(P388="",0,Dimensoes!$C$4)+IF(Q388="",0,Dimensoes!$C$5))=0,"",(IF(N388="",0,N388*Dimensoes!$C$2)+IF(O388="",0,O388*Dimensoes!$C$3)+IF(P388="",0,P388*Dimensoes!$C$4)+IF(Q388="",0,Q388*Dimensoes!$C$5))/(IF(N388="",0,Dimensoes!$C$2)+IF(O388="",0,Dimensoes!$C$3)+IF(P388="",0,Dimensoes!$C$4)+IF(Q388="",0,Dimensoes!$C$5))))</f>
        <v/>
      </c>
      <c r="S388" s="0" t="str">
        <f aca="false">IF(R388="","",IF(R388&lt;Faixas!$C$3,"vermelho",IF(R388&lt;Faixas!$C$4,"amarelo","verde")))</f>
        <v/>
      </c>
      <c r="T388" s="9" t="str">
        <f aca="false">IF($A388="","",IF(N388="",0,N388*Dimensoes!$C$2)+IF(O388="",0,O388*Dimensoes!$C$3)+IF(P388="",0,P388*Dimensoes!$C$4)+IF(Q388="",0,Q388*Dimensoes!$C$5))</f>
        <v/>
      </c>
      <c r="U388" s="0" t="str">
        <f aca="false">IF($A388="","",IF(OR(E388="concluida",E388="incompleta"),1,0))</f>
        <v/>
      </c>
    </row>
    <row r="389" customFormat="false" ht="15" hidden="false" customHeight="false" outlineLevel="0" collapsed="false">
      <c r="A389" s="0" t="str">
        <f aca="false">IF(Visitas!A389="","",Visitas!A389)</f>
        <v/>
      </c>
      <c r="B389" s="0" t="str">
        <f aca="false">IF($A389="","",Visitas!C389)</f>
        <v/>
      </c>
      <c r="C389" s="7" t="str">
        <f aca="false">IF($A389="","",Visitas!D389)</f>
        <v/>
      </c>
      <c r="D389" s="0" t="str">
        <f aca="false">IF($A389="","",Visitas!B389)</f>
        <v/>
      </c>
      <c r="E389" s="0" t="str">
        <f aca="false">IF($A389="","",Visitas!F389)</f>
        <v/>
      </c>
      <c r="F389" s="0" t="str">
        <f aca="false">IF($A389="","",SUMIFS(Avaliacoes!$G$2:$G$6000,Avaliacoes!$A$2:$A$6000,$A389,Avaliacoes!$F$2:$F$6000,"I",Avaliacoes!$H$2:$H$6000,0))</f>
        <v/>
      </c>
      <c r="G389" s="0" t="str">
        <f aca="false">IF($A389="","",SUMIFS(Avaliacoes!$G$2:$G$6000,Avaliacoes!$A$2:$A$6000,$A389,Avaliacoes!$F$2:$F$6000,"II",Avaliacoes!$H$2:$H$6000,0))</f>
        <v/>
      </c>
      <c r="H389" s="0" t="str">
        <f aca="false">IF($A389="","",SUMIFS(Avaliacoes!$G$2:$G$6000,Avaliacoes!$A$2:$A$6000,$A389,Avaliacoes!$F$2:$F$6000,"III",Avaliacoes!$H$2:$H$6000,0))</f>
        <v/>
      </c>
      <c r="I389" s="0" t="str">
        <f aca="false">IF($A389="","",SUMIFS(Avaliacoes!$G$2:$G$6000,Avaliacoes!$A$2:$A$6000,$A389,Avaliacoes!$F$2:$F$6000,"IV",Avaliacoes!$H$2:$H$6000,0))</f>
        <v/>
      </c>
      <c r="J389" s="0" t="str">
        <f aca="false">IF($A389="","",COUNTIFS(Avaliacoes!$A$2:$A$6000,$A389,Avaliacoes!$F$2:$F$6000,"I",Avaliacoes!$H$2:$H$6000,0,Avaliacoes!$G$2:$G$6000,"&lt;&gt;")*Dimensoes!$E$2)</f>
        <v/>
      </c>
      <c r="K389" s="0" t="str">
        <f aca="false">IF($A389="","",COUNTIFS(Avaliacoes!$A$2:$A$6000,$A389,Avaliacoes!$F$2:$F$6000,"II",Avaliacoes!$H$2:$H$6000,0,Avaliacoes!$G$2:$G$6000,"&lt;&gt;")*Dimensoes!$E$3)</f>
        <v/>
      </c>
      <c r="L389" s="0" t="str">
        <f aca="false">IF($A389="","",COUNTIFS(Avaliacoes!$A$2:$A$6000,$A389,Avaliacoes!$F$2:$F$6000,"III",Avaliacoes!$H$2:$H$6000,0,Avaliacoes!$G$2:$G$6000,"&lt;&gt;")*Dimensoes!$E$4)</f>
        <v/>
      </c>
      <c r="M389" s="0" t="str">
        <f aca="false">IF($A389="","",COUNTIFS(Avaliacoes!$A$2:$A$6000,$A389,Avaliacoes!$F$2:$F$6000,"IV",Avaliacoes!$H$2:$H$6000,0,Avaliacoes!$G$2:$G$6000,"&lt;&gt;")*Dimensoes!$E$5)</f>
        <v/>
      </c>
      <c r="N389" s="9" t="str">
        <f aca="false">IF($A389="","",IF(J389&gt;0,F389/J389,""))</f>
        <v/>
      </c>
      <c r="O389" s="9" t="str">
        <f aca="false">IF($A389="","",IF(K389&gt;0,G389/K389,""))</f>
        <v/>
      </c>
      <c r="P389" s="9" t="str">
        <f aca="false">IF($A389="","",IF(L389&gt;0,H389/L389,""))</f>
        <v/>
      </c>
      <c r="Q389" s="9" t="str">
        <f aca="false">IF($A389="","",IF(M389&gt;0,I389/M389,""))</f>
        <v/>
      </c>
      <c r="R389" s="17" t="str">
        <f aca="false">IF($A389="","",IF((IF(N389="",0,Dimensoes!$C$2)+IF(O389="",0,Dimensoes!$C$3)+IF(P389="",0,Dimensoes!$C$4)+IF(Q389="",0,Dimensoes!$C$5))=0,"",(IF(N389="",0,N389*Dimensoes!$C$2)+IF(O389="",0,O389*Dimensoes!$C$3)+IF(P389="",0,P389*Dimensoes!$C$4)+IF(Q389="",0,Q389*Dimensoes!$C$5))/(IF(N389="",0,Dimensoes!$C$2)+IF(O389="",0,Dimensoes!$C$3)+IF(P389="",0,Dimensoes!$C$4)+IF(Q389="",0,Dimensoes!$C$5))))</f>
        <v/>
      </c>
      <c r="S389" s="0" t="str">
        <f aca="false">IF(R389="","",IF(R389&lt;Faixas!$C$3,"vermelho",IF(R389&lt;Faixas!$C$4,"amarelo","verde")))</f>
        <v/>
      </c>
      <c r="T389" s="9" t="str">
        <f aca="false">IF($A389="","",IF(N389="",0,N389*Dimensoes!$C$2)+IF(O389="",0,O389*Dimensoes!$C$3)+IF(P389="",0,P389*Dimensoes!$C$4)+IF(Q389="",0,Q389*Dimensoes!$C$5))</f>
        <v/>
      </c>
      <c r="U389" s="0" t="str">
        <f aca="false">IF($A389="","",IF(OR(E389="concluida",E389="incompleta"),1,0))</f>
        <v/>
      </c>
    </row>
    <row r="390" customFormat="false" ht="15" hidden="false" customHeight="false" outlineLevel="0" collapsed="false">
      <c r="A390" s="0" t="str">
        <f aca="false">IF(Visitas!A390="","",Visitas!A390)</f>
        <v/>
      </c>
      <c r="B390" s="0" t="str">
        <f aca="false">IF($A390="","",Visitas!C390)</f>
        <v/>
      </c>
      <c r="C390" s="7" t="str">
        <f aca="false">IF($A390="","",Visitas!D390)</f>
        <v/>
      </c>
      <c r="D390" s="0" t="str">
        <f aca="false">IF($A390="","",Visitas!B390)</f>
        <v/>
      </c>
      <c r="E390" s="0" t="str">
        <f aca="false">IF($A390="","",Visitas!F390)</f>
        <v/>
      </c>
      <c r="F390" s="0" t="str">
        <f aca="false">IF($A390="","",SUMIFS(Avaliacoes!$G$2:$G$6000,Avaliacoes!$A$2:$A$6000,$A390,Avaliacoes!$F$2:$F$6000,"I",Avaliacoes!$H$2:$H$6000,0))</f>
        <v/>
      </c>
      <c r="G390" s="0" t="str">
        <f aca="false">IF($A390="","",SUMIFS(Avaliacoes!$G$2:$G$6000,Avaliacoes!$A$2:$A$6000,$A390,Avaliacoes!$F$2:$F$6000,"II",Avaliacoes!$H$2:$H$6000,0))</f>
        <v/>
      </c>
      <c r="H390" s="0" t="str">
        <f aca="false">IF($A390="","",SUMIFS(Avaliacoes!$G$2:$G$6000,Avaliacoes!$A$2:$A$6000,$A390,Avaliacoes!$F$2:$F$6000,"III",Avaliacoes!$H$2:$H$6000,0))</f>
        <v/>
      </c>
      <c r="I390" s="0" t="str">
        <f aca="false">IF($A390="","",SUMIFS(Avaliacoes!$G$2:$G$6000,Avaliacoes!$A$2:$A$6000,$A390,Avaliacoes!$F$2:$F$6000,"IV",Avaliacoes!$H$2:$H$6000,0))</f>
        <v/>
      </c>
      <c r="J390" s="0" t="str">
        <f aca="false">IF($A390="","",COUNTIFS(Avaliacoes!$A$2:$A$6000,$A390,Avaliacoes!$F$2:$F$6000,"I",Avaliacoes!$H$2:$H$6000,0,Avaliacoes!$G$2:$G$6000,"&lt;&gt;")*Dimensoes!$E$2)</f>
        <v/>
      </c>
      <c r="K390" s="0" t="str">
        <f aca="false">IF($A390="","",COUNTIFS(Avaliacoes!$A$2:$A$6000,$A390,Avaliacoes!$F$2:$F$6000,"II",Avaliacoes!$H$2:$H$6000,0,Avaliacoes!$G$2:$G$6000,"&lt;&gt;")*Dimensoes!$E$3)</f>
        <v/>
      </c>
      <c r="L390" s="0" t="str">
        <f aca="false">IF($A390="","",COUNTIFS(Avaliacoes!$A$2:$A$6000,$A390,Avaliacoes!$F$2:$F$6000,"III",Avaliacoes!$H$2:$H$6000,0,Avaliacoes!$G$2:$G$6000,"&lt;&gt;")*Dimensoes!$E$4)</f>
        <v/>
      </c>
      <c r="M390" s="0" t="str">
        <f aca="false">IF($A390="","",COUNTIFS(Avaliacoes!$A$2:$A$6000,$A390,Avaliacoes!$F$2:$F$6000,"IV",Avaliacoes!$H$2:$H$6000,0,Avaliacoes!$G$2:$G$6000,"&lt;&gt;")*Dimensoes!$E$5)</f>
        <v/>
      </c>
      <c r="N390" s="9" t="str">
        <f aca="false">IF($A390="","",IF(J390&gt;0,F390/J390,""))</f>
        <v/>
      </c>
      <c r="O390" s="9" t="str">
        <f aca="false">IF($A390="","",IF(K390&gt;0,G390/K390,""))</f>
        <v/>
      </c>
      <c r="P390" s="9" t="str">
        <f aca="false">IF($A390="","",IF(L390&gt;0,H390/L390,""))</f>
        <v/>
      </c>
      <c r="Q390" s="9" t="str">
        <f aca="false">IF($A390="","",IF(M390&gt;0,I390/M390,""))</f>
        <v/>
      </c>
      <c r="R390" s="17" t="str">
        <f aca="false">IF($A390="","",IF((IF(N390="",0,Dimensoes!$C$2)+IF(O390="",0,Dimensoes!$C$3)+IF(P390="",0,Dimensoes!$C$4)+IF(Q390="",0,Dimensoes!$C$5))=0,"",(IF(N390="",0,N390*Dimensoes!$C$2)+IF(O390="",0,O390*Dimensoes!$C$3)+IF(P390="",0,P390*Dimensoes!$C$4)+IF(Q390="",0,Q390*Dimensoes!$C$5))/(IF(N390="",0,Dimensoes!$C$2)+IF(O390="",0,Dimensoes!$C$3)+IF(P390="",0,Dimensoes!$C$4)+IF(Q390="",0,Dimensoes!$C$5))))</f>
        <v/>
      </c>
      <c r="S390" s="0" t="str">
        <f aca="false">IF(R390="","",IF(R390&lt;Faixas!$C$3,"vermelho",IF(R390&lt;Faixas!$C$4,"amarelo","verde")))</f>
        <v/>
      </c>
      <c r="T390" s="9" t="str">
        <f aca="false">IF($A390="","",IF(N390="",0,N390*Dimensoes!$C$2)+IF(O390="",0,O390*Dimensoes!$C$3)+IF(P390="",0,P390*Dimensoes!$C$4)+IF(Q390="",0,Q390*Dimensoes!$C$5))</f>
        <v/>
      </c>
      <c r="U390" s="0" t="str">
        <f aca="false">IF($A390="","",IF(OR(E390="concluida",E390="incompleta"),1,0))</f>
        <v/>
      </c>
    </row>
    <row r="391" customFormat="false" ht="15" hidden="false" customHeight="false" outlineLevel="0" collapsed="false">
      <c r="A391" s="0" t="str">
        <f aca="false">IF(Visitas!A391="","",Visitas!A391)</f>
        <v/>
      </c>
      <c r="B391" s="0" t="str">
        <f aca="false">IF($A391="","",Visitas!C391)</f>
        <v/>
      </c>
      <c r="C391" s="7" t="str">
        <f aca="false">IF($A391="","",Visitas!D391)</f>
        <v/>
      </c>
      <c r="D391" s="0" t="str">
        <f aca="false">IF($A391="","",Visitas!B391)</f>
        <v/>
      </c>
      <c r="E391" s="0" t="str">
        <f aca="false">IF($A391="","",Visitas!F391)</f>
        <v/>
      </c>
      <c r="F391" s="0" t="str">
        <f aca="false">IF($A391="","",SUMIFS(Avaliacoes!$G$2:$G$6000,Avaliacoes!$A$2:$A$6000,$A391,Avaliacoes!$F$2:$F$6000,"I",Avaliacoes!$H$2:$H$6000,0))</f>
        <v/>
      </c>
      <c r="G391" s="0" t="str">
        <f aca="false">IF($A391="","",SUMIFS(Avaliacoes!$G$2:$G$6000,Avaliacoes!$A$2:$A$6000,$A391,Avaliacoes!$F$2:$F$6000,"II",Avaliacoes!$H$2:$H$6000,0))</f>
        <v/>
      </c>
      <c r="H391" s="0" t="str">
        <f aca="false">IF($A391="","",SUMIFS(Avaliacoes!$G$2:$G$6000,Avaliacoes!$A$2:$A$6000,$A391,Avaliacoes!$F$2:$F$6000,"III",Avaliacoes!$H$2:$H$6000,0))</f>
        <v/>
      </c>
      <c r="I391" s="0" t="str">
        <f aca="false">IF($A391="","",SUMIFS(Avaliacoes!$G$2:$G$6000,Avaliacoes!$A$2:$A$6000,$A391,Avaliacoes!$F$2:$F$6000,"IV",Avaliacoes!$H$2:$H$6000,0))</f>
        <v/>
      </c>
      <c r="J391" s="0" t="str">
        <f aca="false">IF($A391="","",COUNTIFS(Avaliacoes!$A$2:$A$6000,$A391,Avaliacoes!$F$2:$F$6000,"I",Avaliacoes!$H$2:$H$6000,0,Avaliacoes!$G$2:$G$6000,"&lt;&gt;")*Dimensoes!$E$2)</f>
        <v/>
      </c>
      <c r="K391" s="0" t="str">
        <f aca="false">IF($A391="","",COUNTIFS(Avaliacoes!$A$2:$A$6000,$A391,Avaliacoes!$F$2:$F$6000,"II",Avaliacoes!$H$2:$H$6000,0,Avaliacoes!$G$2:$G$6000,"&lt;&gt;")*Dimensoes!$E$3)</f>
        <v/>
      </c>
      <c r="L391" s="0" t="str">
        <f aca="false">IF($A391="","",COUNTIFS(Avaliacoes!$A$2:$A$6000,$A391,Avaliacoes!$F$2:$F$6000,"III",Avaliacoes!$H$2:$H$6000,0,Avaliacoes!$G$2:$G$6000,"&lt;&gt;")*Dimensoes!$E$4)</f>
        <v/>
      </c>
      <c r="M391" s="0" t="str">
        <f aca="false">IF($A391="","",COUNTIFS(Avaliacoes!$A$2:$A$6000,$A391,Avaliacoes!$F$2:$F$6000,"IV",Avaliacoes!$H$2:$H$6000,0,Avaliacoes!$G$2:$G$6000,"&lt;&gt;")*Dimensoes!$E$5)</f>
        <v/>
      </c>
      <c r="N391" s="9" t="str">
        <f aca="false">IF($A391="","",IF(J391&gt;0,F391/J391,""))</f>
        <v/>
      </c>
      <c r="O391" s="9" t="str">
        <f aca="false">IF($A391="","",IF(K391&gt;0,G391/K391,""))</f>
        <v/>
      </c>
      <c r="P391" s="9" t="str">
        <f aca="false">IF($A391="","",IF(L391&gt;0,H391/L391,""))</f>
        <v/>
      </c>
      <c r="Q391" s="9" t="str">
        <f aca="false">IF($A391="","",IF(M391&gt;0,I391/M391,""))</f>
        <v/>
      </c>
      <c r="R391" s="17" t="str">
        <f aca="false">IF($A391="","",IF((IF(N391="",0,Dimensoes!$C$2)+IF(O391="",0,Dimensoes!$C$3)+IF(P391="",0,Dimensoes!$C$4)+IF(Q391="",0,Dimensoes!$C$5))=0,"",(IF(N391="",0,N391*Dimensoes!$C$2)+IF(O391="",0,O391*Dimensoes!$C$3)+IF(P391="",0,P391*Dimensoes!$C$4)+IF(Q391="",0,Q391*Dimensoes!$C$5))/(IF(N391="",0,Dimensoes!$C$2)+IF(O391="",0,Dimensoes!$C$3)+IF(P391="",0,Dimensoes!$C$4)+IF(Q391="",0,Dimensoes!$C$5))))</f>
        <v/>
      </c>
      <c r="S391" s="0" t="str">
        <f aca="false">IF(R391="","",IF(R391&lt;Faixas!$C$3,"vermelho",IF(R391&lt;Faixas!$C$4,"amarelo","verde")))</f>
        <v/>
      </c>
      <c r="T391" s="9" t="str">
        <f aca="false">IF($A391="","",IF(N391="",0,N391*Dimensoes!$C$2)+IF(O391="",0,O391*Dimensoes!$C$3)+IF(P391="",0,P391*Dimensoes!$C$4)+IF(Q391="",0,Q391*Dimensoes!$C$5))</f>
        <v/>
      </c>
      <c r="U391" s="0" t="str">
        <f aca="false">IF($A391="","",IF(OR(E391="concluida",E391="incompleta"),1,0))</f>
        <v/>
      </c>
    </row>
    <row r="392" customFormat="false" ht="15" hidden="false" customHeight="false" outlineLevel="0" collapsed="false">
      <c r="A392" s="0" t="str">
        <f aca="false">IF(Visitas!A392="","",Visitas!A392)</f>
        <v/>
      </c>
      <c r="B392" s="0" t="str">
        <f aca="false">IF($A392="","",Visitas!C392)</f>
        <v/>
      </c>
      <c r="C392" s="7" t="str">
        <f aca="false">IF($A392="","",Visitas!D392)</f>
        <v/>
      </c>
      <c r="D392" s="0" t="str">
        <f aca="false">IF($A392="","",Visitas!B392)</f>
        <v/>
      </c>
      <c r="E392" s="0" t="str">
        <f aca="false">IF($A392="","",Visitas!F392)</f>
        <v/>
      </c>
      <c r="F392" s="0" t="str">
        <f aca="false">IF($A392="","",SUMIFS(Avaliacoes!$G$2:$G$6000,Avaliacoes!$A$2:$A$6000,$A392,Avaliacoes!$F$2:$F$6000,"I",Avaliacoes!$H$2:$H$6000,0))</f>
        <v/>
      </c>
      <c r="G392" s="0" t="str">
        <f aca="false">IF($A392="","",SUMIFS(Avaliacoes!$G$2:$G$6000,Avaliacoes!$A$2:$A$6000,$A392,Avaliacoes!$F$2:$F$6000,"II",Avaliacoes!$H$2:$H$6000,0))</f>
        <v/>
      </c>
      <c r="H392" s="0" t="str">
        <f aca="false">IF($A392="","",SUMIFS(Avaliacoes!$G$2:$G$6000,Avaliacoes!$A$2:$A$6000,$A392,Avaliacoes!$F$2:$F$6000,"III",Avaliacoes!$H$2:$H$6000,0))</f>
        <v/>
      </c>
      <c r="I392" s="0" t="str">
        <f aca="false">IF($A392="","",SUMIFS(Avaliacoes!$G$2:$G$6000,Avaliacoes!$A$2:$A$6000,$A392,Avaliacoes!$F$2:$F$6000,"IV",Avaliacoes!$H$2:$H$6000,0))</f>
        <v/>
      </c>
      <c r="J392" s="0" t="str">
        <f aca="false">IF($A392="","",COUNTIFS(Avaliacoes!$A$2:$A$6000,$A392,Avaliacoes!$F$2:$F$6000,"I",Avaliacoes!$H$2:$H$6000,0,Avaliacoes!$G$2:$G$6000,"&lt;&gt;")*Dimensoes!$E$2)</f>
        <v/>
      </c>
      <c r="K392" s="0" t="str">
        <f aca="false">IF($A392="","",COUNTIFS(Avaliacoes!$A$2:$A$6000,$A392,Avaliacoes!$F$2:$F$6000,"II",Avaliacoes!$H$2:$H$6000,0,Avaliacoes!$G$2:$G$6000,"&lt;&gt;")*Dimensoes!$E$3)</f>
        <v/>
      </c>
      <c r="L392" s="0" t="str">
        <f aca="false">IF($A392="","",COUNTIFS(Avaliacoes!$A$2:$A$6000,$A392,Avaliacoes!$F$2:$F$6000,"III",Avaliacoes!$H$2:$H$6000,0,Avaliacoes!$G$2:$G$6000,"&lt;&gt;")*Dimensoes!$E$4)</f>
        <v/>
      </c>
      <c r="M392" s="0" t="str">
        <f aca="false">IF($A392="","",COUNTIFS(Avaliacoes!$A$2:$A$6000,$A392,Avaliacoes!$F$2:$F$6000,"IV",Avaliacoes!$H$2:$H$6000,0,Avaliacoes!$G$2:$G$6000,"&lt;&gt;")*Dimensoes!$E$5)</f>
        <v/>
      </c>
      <c r="N392" s="9" t="str">
        <f aca="false">IF($A392="","",IF(J392&gt;0,F392/J392,""))</f>
        <v/>
      </c>
      <c r="O392" s="9" t="str">
        <f aca="false">IF($A392="","",IF(K392&gt;0,G392/K392,""))</f>
        <v/>
      </c>
      <c r="P392" s="9" t="str">
        <f aca="false">IF($A392="","",IF(L392&gt;0,H392/L392,""))</f>
        <v/>
      </c>
      <c r="Q392" s="9" t="str">
        <f aca="false">IF($A392="","",IF(M392&gt;0,I392/M392,""))</f>
        <v/>
      </c>
      <c r="R392" s="17" t="str">
        <f aca="false">IF($A392="","",IF((IF(N392="",0,Dimensoes!$C$2)+IF(O392="",0,Dimensoes!$C$3)+IF(P392="",0,Dimensoes!$C$4)+IF(Q392="",0,Dimensoes!$C$5))=0,"",(IF(N392="",0,N392*Dimensoes!$C$2)+IF(O392="",0,O392*Dimensoes!$C$3)+IF(P392="",0,P392*Dimensoes!$C$4)+IF(Q392="",0,Q392*Dimensoes!$C$5))/(IF(N392="",0,Dimensoes!$C$2)+IF(O392="",0,Dimensoes!$C$3)+IF(P392="",0,Dimensoes!$C$4)+IF(Q392="",0,Dimensoes!$C$5))))</f>
        <v/>
      </c>
      <c r="S392" s="0" t="str">
        <f aca="false">IF(R392="","",IF(R392&lt;Faixas!$C$3,"vermelho",IF(R392&lt;Faixas!$C$4,"amarelo","verde")))</f>
        <v/>
      </c>
      <c r="T392" s="9" t="str">
        <f aca="false">IF($A392="","",IF(N392="",0,N392*Dimensoes!$C$2)+IF(O392="",0,O392*Dimensoes!$C$3)+IF(P392="",0,P392*Dimensoes!$C$4)+IF(Q392="",0,Q392*Dimensoes!$C$5))</f>
        <v/>
      </c>
      <c r="U392" s="0" t="str">
        <f aca="false">IF($A392="","",IF(OR(E392="concluida",E392="incompleta"),1,0))</f>
        <v/>
      </c>
    </row>
    <row r="393" customFormat="false" ht="15" hidden="false" customHeight="false" outlineLevel="0" collapsed="false">
      <c r="A393" s="0" t="str">
        <f aca="false">IF(Visitas!A393="","",Visitas!A393)</f>
        <v/>
      </c>
      <c r="B393" s="0" t="str">
        <f aca="false">IF($A393="","",Visitas!C393)</f>
        <v/>
      </c>
      <c r="C393" s="7" t="str">
        <f aca="false">IF($A393="","",Visitas!D393)</f>
        <v/>
      </c>
      <c r="D393" s="0" t="str">
        <f aca="false">IF($A393="","",Visitas!B393)</f>
        <v/>
      </c>
      <c r="E393" s="0" t="str">
        <f aca="false">IF($A393="","",Visitas!F393)</f>
        <v/>
      </c>
      <c r="F393" s="0" t="str">
        <f aca="false">IF($A393="","",SUMIFS(Avaliacoes!$G$2:$G$6000,Avaliacoes!$A$2:$A$6000,$A393,Avaliacoes!$F$2:$F$6000,"I",Avaliacoes!$H$2:$H$6000,0))</f>
        <v/>
      </c>
      <c r="G393" s="0" t="str">
        <f aca="false">IF($A393="","",SUMIFS(Avaliacoes!$G$2:$G$6000,Avaliacoes!$A$2:$A$6000,$A393,Avaliacoes!$F$2:$F$6000,"II",Avaliacoes!$H$2:$H$6000,0))</f>
        <v/>
      </c>
      <c r="H393" s="0" t="str">
        <f aca="false">IF($A393="","",SUMIFS(Avaliacoes!$G$2:$G$6000,Avaliacoes!$A$2:$A$6000,$A393,Avaliacoes!$F$2:$F$6000,"III",Avaliacoes!$H$2:$H$6000,0))</f>
        <v/>
      </c>
      <c r="I393" s="0" t="str">
        <f aca="false">IF($A393="","",SUMIFS(Avaliacoes!$G$2:$G$6000,Avaliacoes!$A$2:$A$6000,$A393,Avaliacoes!$F$2:$F$6000,"IV",Avaliacoes!$H$2:$H$6000,0))</f>
        <v/>
      </c>
      <c r="J393" s="0" t="str">
        <f aca="false">IF($A393="","",COUNTIFS(Avaliacoes!$A$2:$A$6000,$A393,Avaliacoes!$F$2:$F$6000,"I",Avaliacoes!$H$2:$H$6000,0,Avaliacoes!$G$2:$G$6000,"&lt;&gt;")*Dimensoes!$E$2)</f>
        <v/>
      </c>
      <c r="K393" s="0" t="str">
        <f aca="false">IF($A393="","",COUNTIFS(Avaliacoes!$A$2:$A$6000,$A393,Avaliacoes!$F$2:$F$6000,"II",Avaliacoes!$H$2:$H$6000,0,Avaliacoes!$G$2:$G$6000,"&lt;&gt;")*Dimensoes!$E$3)</f>
        <v/>
      </c>
      <c r="L393" s="0" t="str">
        <f aca="false">IF($A393="","",COUNTIFS(Avaliacoes!$A$2:$A$6000,$A393,Avaliacoes!$F$2:$F$6000,"III",Avaliacoes!$H$2:$H$6000,0,Avaliacoes!$G$2:$G$6000,"&lt;&gt;")*Dimensoes!$E$4)</f>
        <v/>
      </c>
      <c r="M393" s="0" t="str">
        <f aca="false">IF($A393="","",COUNTIFS(Avaliacoes!$A$2:$A$6000,$A393,Avaliacoes!$F$2:$F$6000,"IV",Avaliacoes!$H$2:$H$6000,0,Avaliacoes!$G$2:$G$6000,"&lt;&gt;")*Dimensoes!$E$5)</f>
        <v/>
      </c>
      <c r="N393" s="9" t="str">
        <f aca="false">IF($A393="","",IF(J393&gt;0,F393/J393,""))</f>
        <v/>
      </c>
      <c r="O393" s="9" t="str">
        <f aca="false">IF($A393="","",IF(K393&gt;0,G393/K393,""))</f>
        <v/>
      </c>
      <c r="P393" s="9" t="str">
        <f aca="false">IF($A393="","",IF(L393&gt;0,H393/L393,""))</f>
        <v/>
      </c>
      <c r="Q393" s="9" t="str">
        <f aca="false">IF($A393="","",IF(M393&gt;0,I393/M393,""))</f>
        <v/>
      </c>
      <c r="R393" s="17" t="str">
        <f aca="false">IF($A393="","",IF((IF(N393="",0,Dimensoes!$C$2)+IF(O393="",0,Dimensoes!$C$3)+IF(P393="",0,Dimensoes!$C$4)+IF(Q393="",0,Dimensoes!$C$5))=0,"",(IF(N393="",0,N393*Dimensoes!$C$2)+IF(O393="",0,O393*Dimensoes!$C$3)+IF(P393="",0,P393*Dimensoes!$C$4)+IF(Q393="",0,Q393*Dimensoes!$C$5))/(IF(N393="",0,Dimensoes!$C$2)+IF(O393="",0,Dimensoes!$C$3)+IF(P393="",0,Dimensoes!$C$4)+IF(Q393="",0,Dimensoes!$C$5))))</f>
        <v/>
      </c>
      <c r="S393" s="0" t="str">
        <f aca="false">IF(R393="","",IF(R393&lt;Faixas!$C$3,"vermelho",IF(R393&lt;Faixas!$C$4,"amarelo","verde")))</f>
        <v/>
      </c>
      <c r="T393" s="9" t="str">
        <f aca="false">IF($A393="","",IF(N393="",0,N393*Dimensoes!$C$2)+IF(O393="",0,O393*Dimensoes!$C$3)+IF(P393="",0,P393*Dimensoes!$C$4)+IF(Q393="",0,Q393*Dimensoes!$C$5))</f>
        <v/>
      </c>
      <c r="U393" s="0" t="str">
        <f aca="false">IF($A393="","",IF(OR(E393="concluida",E393="incompleta"),1,0))</f>
        <v/>
      </c>
    </row>
    <row r="394" customFormat="false" ht="15" hidden="false" customHeight="false" outlineLevel="0" collapsed="false">
      <c r="A394" s="0" t="str">
        <f aca="false">IF(Visitas!A394="","",Visitas!A394)</f>
        <v/>
      </c>
      <c r="B394" s="0" t="str">
        <f aca="false">IF($A394="","",Visitas!C394)</f>
        <v/>
      </c>
      <c r="C394" s="7" t="str">
        <f aca="false">IF($A394="","",Visitas!D394)</f>
        <v/>
      </c>
      <c r="D394" s="0" t="str">
        <f aca="false">IF($A394="","",Visitas!B394)</f>
        <v/>
      </c>
      <c r="E394" s="0" t="str">
        <f aca="false">IF($A394="","",Visitas!F394)</f>
        <v/>
      </c>
      <c r="F394" s="0" t="str">
        <f aca="false">IF($A394="","",SUMIFS(Avaliacoes!$G$2:$G$6000,Avaliacoes!$A$2:$A$6000,$A394,Avaliacoes!$F$2:$F$6000,"I",Avaliacoes!$H$2:$H$6000,0))</f>
        <v/>
      </c>
      <c r="G394" s="0" t="str">
        <f aca="false">IF($A394="","",SUMIFS(Avaliacoes!$G$2:$G$6000,Avaliacoes!$A$2:$A$6000,$A394,Avaliacoes!$F$2:$F$6000,"II",Avaliacoes!$H$2:$H$6000,0))</f>
        <v/>
      </c>
      <c r="H394" s="0" t="str">
        <f aca="false">IF($A394="","",SUMIFS(Avaliacoes!$G$2:$G$6000,Avaliacoes!$A$2:$A$6000,$A394,Avaliacoes!$F$2:$F$6000,"III",Avaliacoes!$H$2:$H$6000,0))</f>
        <v/>
      </c>
      <c r="I394" s="0" t="str">
        <f aca="false">IF($A394="","",SUMIFS(Avaliacoes!$G$2:$G$6000,Avaliacoes!$A$2:$A$6000,$A394,Avaliacoes!$F$2:$F$6000,"IV",Avaliacoes!$H$2:$H$6000,0))</f>
        <v/>
      </c>
      <c r="J394" s="0" t="str">
        <f aca="false">IF($A394="","",COUNTIFS(Avaliacoes!$A$2:$A$6000,$A394,Avaliacoes!$F$2:$F$6000,"I",Avaliacoes!$H$2:$H$6000,0,Avaliacoes!$G$2:$G$6000,"&lt;&gt;")*Dimensoes!$E$2)</f>
        <v/>
      </c>
      <c r="K394" s="0" t="str">
        <f aca="false">IF($A394="","",COUNTIFS(Avaliacoes!$A$2:$A$6000,$A394,Avaliacoes!$F$2:$F$6000,"II",Avaliacoes!$H$2:$H$6000,0,Avaliacoes!$G$2:$G$6000,"&lt;&gt;")*Dimensoes!$E$3)</f>
        <v/>
      </c>
      <c r="L394" s="0" t="str">
        <f aca="false">IF($A394="","",COUNTIFS(Avaliacoes!$A$2:$A$6000,$A394,Avaliacoes!$F$2:$F$6000,"III",Avaliacoes!$H$2:$H$6000,0,Avaliacoes!$G$2:$G$6000,"&lt;&gt;")*Dimensoes!$E$4)</f>
        <v/>
      </c>
      <c r="M394" s="0" t="str">
        <f aca="false">IF($A394="","",COUNTIFS(Avaliacoes!$A$2:$A$6000,$A394,Avaliacoes!$F$2:$F$6000,"IV",Avaliacoes!$H$2:$H$6000,0,Avaliacoes!$G$2:$G$6000,"&lt;&gt;")*Dimensoes!$E$5)</f>
        <v/>
      </c>
      <c r="N394" s="9" t="str">
        <f aca="false">IF($A394="","",IF(J394&gt;0,F394/J394,""))</f>
        <v/>
      </c>
      <c r="O394" s="9" t="str">
        <f aca="false">IF($A394="","",IF(K394&gt;0,G394/K394,""))</f>
        <v/>
      </c>
      <c r="P394" s="9" t="str">
        <f aca="false">IF($A394="","",IF(L394&gt;0,H394/L394,""))</f>
        <v/>
      </c>
      <c r="Q394" s="9" t="str">
        <f aca="false">IF($A394="","",IF(M394&gt;0,I394/M394,""))</f>
        <v/>
      </c>
      <c r="R394" s="17" t="str">
        <f aca="false">IF($A394="","",IF((IF(N394="",0,Dimensoes!$C$2)+IF(O394="",0,Dimensoes!$C$3)+IF(P394="",0,Dimensoes!$C$4)+IF(Q394="",0,Dimensoes!$C$5))=0,"",(IF(N394="",0,N394*Dimensoes!$C$2)+IF(O394="",0,O394*Dimensoes!$C$3)+IF(P394="",0,P394*Dimensoes!$C$4)+IF(Q394="",0,Q394*Dimensoes!$C$5))/(IF(N394="",0,Dimensoes!$C$2)+IF(O394="",0,Dimensoes!$C$3)+IF(P394="",0,Dimensoes!$C$4)+IF(Q394="",0,Dimensoes!$C$5))))</f>
        <v/>
      </c>
      <c r="S394" s="0" t="str">
        <f aca="false">IF(R394="","",IF(R394&lt;Faixas!$C$3,"vermelho",IF(R394&lt;Faixas!$C$4,"amarelo","verde")))</f>
        <v/>
      </c>
      <c r="T394" s="9" t="str">
        <f aca="false">IF($A394="","",IF(N394="",0,N394*Dimensoes!$C$2)+IF(O394="",0,O394*Dimensoes!$C$3)+IF(P394="",0,P394*Dimensoes!$C$4)+IF(Q394="",0,Q394*Dimensoes!$C$5))</f>
        <v/>
      </c>
      <c r="U394" s="0" t="str">
        <f aca="false">IF($A394="","",IF(OR(E394="concluida",E394="incompleta"),1,0))</f>
        <v/>
      </c>
    </row>
    <row r="395" customFormat="false" ht="15" hidden="false" customHeight="false" outlineLevel="0" collapsed="false">
      <c r="A395" s="0" t="str">
        <f aca="false">IF(Visitas!A395="","",Visitas!A395)</f>
        <v/>
      </c>
      <c r="B395" s="0" t="str">
        <f aca="false">IF($A395="","",Visitas!C395)</f>
        <v/>
      </c>
      <c r="C395" s="7" t="str">
        <f aca="false">IF($A395="","",Visitas!D395)</f>
        <v/>
      </c>
      <c r="D395" s="0" t="str">
        <f aca="false">IF($A395="","",Visitas!B395)</f>
        <v/>
      </c>
      <c r="E395" s="0" t="str">
        <f aca="false">IF($A395="","",Visitas!F395)</f>
        <v/>
      </c>
      <c r="F395" s="0" t="str">
        <f aca="false">IF($A395="","",SUMIFS(Avaliacoes!$G$2:$G$6000,Avaliacoes!$A$2:$A$6000,$A395,Avaliacoes!$F$2:$F$6000,"I",Avaliacoes!$H$2:$H$6000,0))</f>
        <v/>
      </c>
      <c r="G395" s="0" t="str">
        <f aca="false">IF($A395="","",SUMIFS(Avaliacoes!$G$2:$G$6000,Avaliacoes!$A$2:$A$6000,$A395,Avaliacoes!$F$2:$F$6000,"II",Avaliacoes!$H$2:$H$6000,0))</f>
        <v/>
      </c>
      <c r="H395" s="0" t="str">
        <f aca="false">IF($A395="","",SUMIFS(Avaliacoes!$G$2:$G$6000,Avaliacoes!$A$2:$A$6000,$A395,Avaliacoes!$F$2:$F$6000,"III",Avaliacoes!$H$2:$H$6000,0))</f>
        <v/>
      </c>
      <c r="I395" s="0" t="str">
        <f aca="false">IF($A395="","",SUMIFS(Avaliacoes!$G$2:$G$6000,Avaliacoes!$A$2:$A$6000,$A395,Avaliacoes!$F$2:$F$6000,"IV",Avaliacoes!$H$2:$H$6000,0))</f>
        <v/>
      </c>
      <c r="J395" s="0" t="str">
        <f aca="false">IF($A395="","",COUNTIFS(Avaliacoes!$A$2:$A$6000,$A395,Avaliacoes!$F$2:$F$6000,"I",Avaliacoes!$H$2:$H$6000,0,Avaliacoes!$G$2:$G$6000,"&lt;&gt;")*Dimensoes!$E$2)</f>
        <v/>
      </c>
      <c r="K395" s="0" t="str">
        <f aca="false">IF($A395="","",COUNTIFS(Avaliacoes!$A$2:$A$6000,$A395,Avaliacoes!$F$2:$F$6000,"II",Avaliacoes!$H$2:$H$6000,0,Avaliacoes!$G$2:$G$6000,"&lt;&gt;")*Dimensoes!$E$3)</f>
        <v/>
      </c>
      <c r="L395" s="0" t="str">
        <f aca="false">IF($A395="","",COUNTIFS(Avaliacoes!$A$2:$A$6000,$A395,Avaliacoes!$F$2:$F$6000,"III",Avaliacoes!$H$2:$H$6000,0,Avaliacoes!$G$2:$G$6000,"&lt;&gt;")*Dimensoes!$E$4)</f>
        <v/>
      </c>
      <c r="M395" s="0" t="str">
        <f aca="false">IF($A395="","",COUNTIFS(Avaliacoes!$A$2:$A$6000,$A395,Avaliacoes!$F$2:$F$6000,"IV",Avaliacoes!$H$2:$H$6000,0,Avaliacoes!$G$2:$G$6000,"&lt;&gt;")*Dimensoes!$E$5)</f>
        <v/>
      </c>
      <c r="N395" s="9" t="str">
        <f aca="false">IF($A395="","",IF(J395&gt;0,F395/J395,""))</f>
        <v/>
      </c>
      <c r="O395" s="9" t="str">
        <f aca="false">IF($A395="","",IF(K395&gt;0,G395/K395,""))</f>
        <v/>
      </c>
      <c r="P395" s="9" t="str">
        <f aca="false">IF($A395="","",IF(L395&gt;0,H395/L395,""))</f>
        <v/>
      </c>
      <c r="Q395" s="9" t="str">
        <f aca="false">IF($A395="","",IF(M395&gt;0,I395/M395,""))</f>
        <v/>
      </c>
      <c r="R395" s="17" t="str">
        <f aca="false">IF($A395="","",IF((IF(N395="",0,Dimensoes!$C$2)+IF(O395="",0,Dimensoes!$C$3)+IF(P395="",0,Dimensoes!$C$4)+IF(Q395="",0,Dimensoes!$C$5))=0,"",(IF(N395="",0,N395*Dimensoes!$C$2)+IF(O395="",0,O395*Dimensoes!$C$3)+IF(P395="",0,P395*Dimensoes!$C$4)+IF(Q395="",0,Q395*Dimensoes!$C$5))/(IF(N395="",0,Dimensoes!$C$2)+IF(O395="",0,Dimensoes!$C$3)+IF(P395="",0,Dimensoes!$C$4)+IF(Q395="",0,Dimensoes!$C$5))))</f>
        <v/>
      </c>
      <c r="S395" s="0" t="str">
        <f aca="false">IF(R395="","",IF(R395&lt;Faixas!$C$3,"vermelho",IF(R395&lt;Faixas!$C$4,"amarelo","verde")))</f>
        <v/>
      </c>
      <c r="T395" s="9" t="str">
        <f aca="false">IF($A395="","",IF(N395="",0,N395*Dimensoes!$C$2)+IF(O395="",0,O395*Dimensoes!$C$3)+IF(P395="",0,P395*Dimensoes!$C$4)+IF(Q395="",0,Q395*Dimensoes!$C$5))</f>
        <v/>
      </c>
      <c r="U395" s="0" t="str">
        <f aca="false">IF($A395="","",IF(OR(E395="concluida",E395="incompleta"),1,0))</f>
        <v/>
      </c>
    </row>
    <row r="396" customFormat="false" ht="15" hidden="false" customHeight="false" outlineLevel="0" collapsed="false">
      <c r="A396" s="0" t="str">
        <f aca="false">IF(Visitas!A396="","",Visitas!A396)</f>
        <v/>
      </c>
      <c r="B396" s="0" t="str">
        <f aca="false">IF($A396="","",Visitas!C396)</f>
        <v/>
      </c>
      <c r="C396" s="7" t="str">
        <f aca="false">IF($A396="","",Visitas!D396)</f>
        <v/>
      </c>
      <c r="D396" s="0" t="str">
        <f aca="false">IF($A396="","",Visitas!B396)</f>
        <v/>
      </c>
      <c r="E396" s="0" t="str">
        <f aca="false">IF($A396="","",Visitas!F396)</f>
        <v/>
      </c>
      <c r="F396" s="0" t="str">
        <f aca="false">IF($A396="","",SUMIFS(Avaliacoes!$G$2:$G$6000,Avaliacoes!$A$2:$A$6000,$A396,Avaliacoes!$F$2:$F$6000,"I",Avaliacoes!$H$2:$H$6000,0))</f>
        <v/>
      </c>
      <c r="G396" s="0" t="str">
        <f aca="false">IF($A396="","",SUMIFS(Avaliacoes!$G$2:$G$6000,Avaliacoes!$A$2:$A$6000,$A396,Avaliacoes!$F$2:$F$6000,"II",Avaliacoes!$H$2:$H$6000,0))</f>
        <v/>
      </c>
      <c r="H396" s="0" t="str">
        <f aca="false">IF($A396="","",SUMIFS(Avaliacoes!$G$2:$G$6000,Avaliacoes!$A$2:$A$6000,$A396,Avaliacoes!$F$2:$F$6000,"III",Avaliacoes!$H$2:$H$6000,0))</f>
        <v/>
      </c>
      <c r="I396" s="0" t="str">
        <f aca="false">IF($A396="","",SUMIFS(Avaliacoes!$G$2:$G$6000,Avaliacoes!$A$2:$A$6000,$A396,Avaliacoes!$F$2:$F$6000,"IV",Avaliacoes!$H$2:$H$6000,0))</f>
        <v/>
      </c>
      <c r="J396" s="0" t="str">
        <f aca="false">IF($A396="","",COUNTIFS(Avaliacoes!$A$2:$A$6000,$A396,Avaliacoes!$F$2:$F$6000,"I",Avaliacoes!$H$2:$H$6000,0,Avaliacoes!$G$2:$G$6000,"&lt;&gt;")*Dimensoes!$E$2)</f>
        <v/>
      </c>
      <c r="K396" s="0" t="str">
        <f aca="false">IF($A396="","",COUNTIFS(Avaliacoes!$A$2:$A$6000,$A396,Avaliacoes!$F$2:$F$6000,"II",Avaliacoes!$H$2:$H$6000,0,Avaliacoes!$G$2:$G$6000,"&lt;&gt;")*Dimensoes!$E$3)</f>
        <v/>
      </c>
      <c r="L396" s="0" t="str">
        <f aca="false">IF($A396="","",COUNTIFS(Avaliacoes!$A$2:$A$6000,$A396,Avaliacoes!$F$2:$F$6000,"III",Avaliacoes!$H$2:$H$6000,0,Avaliacoes!$G$2:$G$6000,"&lt;&gt;")*Dimensoes!$E$4)</f>
        <v/>
      </c>
      <c r="M396" s="0" t="str">
        <f aca="false">IF($A396="","",COUNTIFS(Avaliacoes!$A$2:$A$6000,$A396,Avaliacoes!$F$2:$F$6000,"IV",Avaliacoes!$H$2:$H$6000,0,Avaliacoes!$G$2:$G$6000,"&lt;&gt;")*Dimensoes!$E$5)</f>
        <v/>
      </c>
      <c r="N396" s="9" t="str">
        <f aca="false">IF($A396="","",IF(J396&gt;0,F396/J396,""))</f>
        <v/>
      </c>
      <c r="O396" s="9" t="str">
        <f aca="false">IF($A396="","",IF(K396&gt;0,G396/K396,""))</f>
        <v/>
      </c>
      <c r="P396" s="9" t="str">
        <f aca="false">IF($A396="","",IF(L396&gt;0,H396/L396,""))</f>
        <v/>
      </c>
      <c r="Q396" s="9" t="str">
        <f aca="false">IF($A396="","",IF(M396&gt;0,I396/M396,""))</f>
        <v/>
      </c>
      <c r="R396" s="17" t="str">
        <f aca="false">IF($A396="","",IF((IF(N396="",0,Dimensoes!$C$2)+IF(O396="",0,Dimensoes!$C$3)+IF(P396="",0,Dimensoes!$C$4)+IF(Q396="",0,Dimensoes!$C$5))=0,"",(IF(N396="",0,N396*Dimensoes!$C$2)+IF(O396="",0,O396*Dimensoes!$C$3)+IF(P396="",0,P396*Dimensoes!$C$4)+IF(Q396="",0,Q396*Dimensoes!$C$5))/(IF(N396="",0,Dimensoes!$C$2)+IF(O396="",0,Dimensoes!$C$3)+IF(P396="",0,Dimensoes!$C$4)+IF(Q396="",0,Dimensoes!$C$5))))</f>
        <v/>
      </c>
      <c r="S396" s="0" t="str">
        <f aca="false">IF(R396="","",IF(R396&lt;Faixas!$C$3,"vermelho",IF(R396&lt;Faixas!$C$4,"amarelo","verde")))</f>
        <v/>
      </c>
      <c r="T396" s="9" t="str">
        <f aca="false">IF($A396="","",IF(N396="",0,N396*Dimensoes!$C$2)+IF(O396="",0,O396*Dimensoes!$C$3)+IF(P396="",0,P396*Dimensoes!$C$4)+IF(Q396="",0,Q396*Dimensoes!$C$5))</f>
        <v/>
      </c>
      <c r="U396" s="0" t="str">
        <f aca="false">IF($A396="","",IF(OR(E396="concluida",E396="incompleta"),1,0))</f>
        <v/>
      </c>
    </row>
    <row r="397" customFormat="false" ht="15" hidden="false" customHeight="false" outlineLevel="0" collapsed="false">
      <c r="A397" s="0" t="str">
        <f aca="false">IF(Visitas!A397="","",Visitas!A397)</f>
        <v/>
      </c>
      <c r="B397" s="0" t="str">
        <f aca="false">IF($A397="","",Visitas!C397)</f>
        <v/>
      </c>
      <c r="C397" s="7" t="str">
        <f aca="false">IF($A397="","",Visitas!D397)</f>
        <v/>
      </c>
      <c r="D397" s="0" t="str">
        <f aca="false">IF($A397="","",Visitas!B397)</f>
        <v/>
      </c>
      <c r="E397" s="0" t="str">
        <f aca="false">IF($A397="","",Visitas!F397)</f>
        <v/>
      </c>
      <c r="F397" s="0" t="str">
        <f aca="false">IF($A397="","",SUMIFS(Avaliacoes!$G$2:$G$6000,Avaliacoes!$A$2:$A$6000,$A397,Avaliacoes!$F$2:$F$6000,"I",Avaliacoes!$H$2:$H$6000,0))</f>
        <v/>
      </c>
      <c r="G397" s="0" t="str">
        <f aca="false">IF($A397="","",SUMIFS(Avaliacoes!$G$2:$G$6000,Avaliacoes!$A$2:$A$6000,$A397,Avaliacoes!$F$2:$F$6000,"II",Avaliacoes!$H$2:$H$6000,0))</f>
        <v/>
      </c>
      <c r="H397" s="0" t="str">
        <f aca="false">IF($A397="","",SUMIFS(Avaliacoes!$G$2:$G$6000,Avaliacoes!$A$2:$A$6000,$A397,Avaliacoes!$F$2:$F$6000,"III",Avaliacoes!$H$2:$H$6000,0))</f>
        <v/>
      </c>
      <c r="I397" s="0" t="str">
        <f aca="false">IF($A397="","",SUMIFS(Avaliacoes!$G$2:$G$6000,Avaliacoes!$A$2:$A$6000,$A397,Avaliacoes!$F$2:$F$6000,"IV",Avaliacoes!$H$2:$H$6000,0))</f>
        <v/>
      </c>
      <c r="J397" s="0" t="str">
        <f aca="false">IF($A397="","",COUNTIFS(Avaliacoes!$A$2:$A$6000,$A397,Avaliacoes!$F$2:$F$6000,"I",Avaliacoes!$H$2:$H$6000,0,Avaliacoes!$G$2:$G$6000,"&lt;&gt;")*Dimensoes!$E$2)</f>
        <v/>
      </c>
      <c r="K397" s="0" t="str">
        <f aca="false">IF($A397="","",COUNTIFS(Avaliacoes!$A$2:$A$6000,$A397,Avaliacoes!$F$2:$F$6000,"II",Avaliacoes!$H$2:$H$6000,0,Avaliacoes!$G$2:$G$6000,"&lt;&gt;")*Dimensoes!$E$3)</f>
        <v/>
      </c>
      <c r="L397" s="0" t="str">
        <f aca="false">IF($A397="","",COUNTIFS(Avaliacoes!$A$2:$A$6000,$A397,Avaliacoes!$F$2:$F$6000,"III",Avaliacoes!$H$2:$H$6000,0,Avaliacoes!$G$2:$G$6000,"&lt;&gt;")*Dimensoes!$E$4)</f>
        <v/>
      </c>
      <c r="M397" s="0" t="str">
        <f aca="false">IF($A397="","",COUNTIFS(Avaliacoes!$A$2:$A$6000,$A397,Avaliacoes!$F$2:$F$6000,"IV",Avaliacoes!$H$2:$H$6000,0,Avaliacoes!$G$2:$G$6000,"&lt;&gt;")*Dimensoes!$E$5)</f>
        <v/>
      </c>
      <c r="N397" s="9" t="str">
        <f aca="false">IF($A397="","",IF(J397&gt;0,F397/J397,""))</f>
        <v/>
      </c>
      <c r="O397" s="9" t="str">
        <f aca="false">IF($A397="","",IF(K397&gt;0,G397/K397,""))</f>
        <v/>
      </c>
      <c r="P397" s="9" t="str">
        <f aca="false">IF($A397="","",IF(L397&gt;0,H397/L397,""))</f>
        <v/>
      </c>
      <c r="Q397" s="9" t="str">
        <f aca="false">IF($A397="","",IF(M397&gt;0,I397/M397,""))</f>
        <v/>
      </c>
      <c r="R397" s="17" t="str">
        <f aca="false">IF($A397="","",IF((IF(N397="",0,Dimensoes!$C$2)+IF(O397="",0,Dimensoes!$C$3)+IF(P397="",0,Dimensoes!$C$4)+IF(Q397="",0,Dimensoes!$C$5))=0,"",(IF(N397="",0,N397*Dimensoes!$C$2)+IF(O397="",0,O397*Dimensoes!$C$3)+IF(P397="",0,P397*Dimensoes!$C$4)+IF(Q397="",0,Q397*Dimensoes!$C$5))/(IF(N397="",0,Dimensoes!$C$2)+IF(O397="",0,Dimensoes!$C$3)+IF(P397="",0,Dimensoes!$C$4)+IF(Q397="",0,Dimensoes!$C$5))))</f>
        <v/>
      </c>
      <c r="S397" s="0" t="str">
        <f aca="false">IF(R397="","",IF(R397&lt;Faixas!$C$3,"vermelho",IF(R397&lt;Faixas!$C$4,"amarelo","verde")))</f>
        <v/>
      </c>
      <c r="T397" s="9" t="str">
        <f aca="false">IF($A397="","",IF(N397="",0,N397*Dimensoes!$C$2)+IF(O397="",0,O397*Dimensoes!$C$3)+IF(P397="",0,P397*Dimensoes!$C$4)+IF(Q397="",0,Q397*Dimensoes!$C$5))</f>
        <v/>
      </c>
      <c r="U397" s="0" t="str">
        <f aca="false">IF($A397="","",IF(OR(E397="concluida",E397="incompleta"),1,0))</f>
        <v/>
      </c>
    </row>
    <row r="398" customFormat="false" ht="15" hidden="false" customHeight="false" outlineLevel="0" collapsed="false">
      <c r="A398" s="0" t="str">
        <f aca="false">IF(Visitas!A398="","",Visitas!A398)</f>
        <v/>
      </c>
      <c r="B398" s="0" t="str">
        <f aca="false">IF($A398="","",Visitas!C398)</f>
        <v/>
      </c>
      <c r="C398" s="7" t="str">
        <f aca="false">IF($A398="","",Visitas!D398)</f>
        <v/>
      </c>
      <c r="D398" s="0" t="str">
        <f aca="false">IF($A398="","",Visitas!B398)</f>
        <v/>
      </c>
      <c r="E398" s="0" t="str">
        <f aca="false">IF($A398="","",Visitas!F398)</f>
        <v/>
      </c>
      <c r="F398" s="0" t="str">
        <f aca="false">IF($A398="","",SUMIFS(Avaliacoes!$G$2:$G$6000,Avaliacoes!$A$2:$A$6000,$A398,Avaliacoes!$F$2:$F$6000,"I",Avaliacoes!$H$2:$H$6000,0))</f>
        <v/>
      </c>
      <c r="G398" s="0" t="str">
        <f aca="false">IF($A398="","",SUMIFS(Avaliacoes!$G$2:$G$6000,Avaliacoes!$A$2:$A$6000,$A398,Avaliacoes!$F$2:$F$6000,"II",Avaliacoes!$H$2:$H$6000,0))</f>
        <v/>
      </c>
      <c r="H398" s="0" t="str">
        <f aca="false">IF($A398="","",SUMIFS(Avaliacoes!$G$2:$G$6000,Avaliacoes!$A$2:$A$6000,$A398,Avaliacoes!$F$2:$F$6000,"III",Avaliacoes!$H$2:$H$6000,0))</f>
        <v/>
      </c>
      <c r="I398" s="0" t="str">
        <f aca="false">IF($A398="","",SUMIFS(Avaliacoes!$G$2:$G$6000,Avaliacoes!$A$2:$A$6000,$A398,Avaliacoes!$F$2:$F$6000,"IV",Avaliacoes!$H$2:$H$6000,0))</f>
        <v/>
      </c>
      <c r="J398" s="0" t="str">
        <f aca="false">IF($A398="","",COUNTIFS(Avaliacoes!$A$2:$A$6000,$A398,Avaliacoes!$F$2:$F$6000,"I",Avaliacoes!$H$2:$H$6000,0,Avaliacoes!$G$2:$G$6000,"&lt;&gt;")*Dimensoes!$E$2)</f>
        <v/>
      </c>
      <c r="K398" s="0" t="str">
        <f aca="false">IF($A398="","",COUNTIFS(Avaliacoes!$A$2:$A$6000,$A398,Avaliacoes!$F$2:$F$6000,"II",Avaliacoes!$H$2:$H$6000,0,Avaliacoes!$G$2:$G$6000,"&lt;&gt;")*Dimensoes!$E$3)</f>
        <v/>
      </c>
      <c r="L398" s="0" t="str">
        <f aca="false">IF($A398="","",COUNTIFS(Avaliacoes!$A$2:$A$6000,$A398,Avaliacoes!$F$2:$F$6000,"III",Avaliacoes!$H$2:$H$6000,0,Avaliacoes!$G$2:$G$6000,"&lt;&gt;")*Dimensoes!$E$4)</f>
        <v/>
      </c>
      <c r="M398" s="0" t="str">
        <f aca="false">IF($A398="","",COUNTIFS(Avaliacoes!$A$2:$A$6000,$A398,Avaliacoes!$F$2:$F$6000,"IV",Avaliacoes!$H$2:$H$6000,0,Avaliacoes!$G$2:$G$6000,"&lt;&gt;")*Dimensoes!$E$5)</f>
        <v/>
      </c>
      <c r="N398" s="9" t="str">
        <f aca="false">IF($A398="","",IF(J398&gt;0,F398/J398,""))</f>
        <v/>
      </c>
      <c r="O398" s="9" t="str">
        <f aca="false">IF($A398="","",IF(K398&gt;0,G398/K398,""))</f>
        <v/>
      </c>
      <c r="P398" s="9" t="str">
        <f aca="false">IF($A398="","",IF(L398&gt;0,H398/L398,""))</f>
        <v/>
      </c>
      <c r="Q398" s="9" t="str">
        <f aca="false">IF($A398="","",IF(M398&gt;0,I398/M398,""))</f>
        <v/>
      </c>
      <c r="R398" s="17" t="str">
        <f aca="false">IF($A398="","",IF((IF(N398="",0,Dimensoes!$C$2)+IF(O398="",0,Dimensoes!$C$3)+IF(P398="",0,Dimensoes!$C$4)+IF(Q398="",0,Dimensoes!$C$5))=0,"",(IF(N398="",0,N398*Dimensoes!$C$2)+IF(O398="",0,O398*Dimensoes!$C$3)+IF(P398="",0,P398*Dimensoes!$C$4)+IF(Q398="",0,Q398*Dimensoes!$C$5))/(IF(N398="",0,Dimensoes!$C$2)+IF(O398="",0,Dimensoes!$C$3)+IF(P398="",0,Dimensoes!$C$4)+IF(Q398="",0,Dimensoes!$C$5))))</f>
        <v/>
      </c>
      <c r="S398" s="0" t="str">
        <f aca="false">IF(R398="","",IF(R398&lt;Faixas!$C$3,"vermelho",IF(R398&lt;Faixas!$C$4,"amarelo","verde")))</f>
        <v/>
      </c>
      <c r="T398" s="9" t="str">
        <f aca="false">IF($A398="","",IF(N398="",0,N398*Dimensoes!$C$2)+IF(O398="",0,O398*Dimensoes!$C$3)+IF(P398="",0,P398*Dimensoes!$C$4)+IF(Q398="",0,Q398*Dimensoes!$C$5))</f>
        <v/>
      </c>
      <c r="U398" s="0" t="str">
        <f aca="false">IF($A398="","",IF(OR(E398="concluida",E398="incompleta"),1,0))</f>
        <v/>
      </c>
    </row>
    <row r="399" customFormat="false" ht="15" hidden="false" customHeight="false" outlineLevel="0" collapsed="false">
      <c r="A399" s="0" t="str">
        <f aca="false">IF(Visitas!A399="","",Visitas!A399)</f>
        <v/>
      </c>
      <c r="B399" s="0" t="str">
        <f aca="false">IF($A399="","",Visitas!C399)</f>
        <v/>
      </c>
      <c r="C399" s="7" t="str">
        <f aca="false">IF($A399="","",Visitas!D399)</f>
        <v/>
      </c>
      <c r="D399" s="0" t="str">
        <f aca="false">IF($A399="","",Visitas!B399)</f>
        <v/>
      </c>
      <c r="E399" s="0" t="str">
        <f aca="false">IF($A399="","",Visitas!F399)</f>
        <v/>
      </c>
      <c r="F399" s="0" t="str">
        <f aca="false">IF($A399="","",SUMIFS(Avaliacoes!$G$2:$G$6000,Avaliacoes!$A$2:$A$6000,$A399,Avaliacoes!$F$2:$F$6000,"I",Avaliacoes!$H$2:$H$6000,0))</f>
        <v/>
      </c>
      <c r="G399" s="0" t="str">
        <f aca="false">IF($A399="","",SUMIFS(Avaliacoes!$G$2:$G$6000,Avaliacoes!$A$2:$A$6000,$A399,Avaliacoes!$F$2:$F$6000,"II",Avaliacoes!$H$2:$H$6000,0))</f>
        <v/>
      </c>
      <c r="H399" s="0" t="str">
        <f aca="false">IF($A399="","",SUMIFS(Avaliacoes!$G$2:$G$6000,Avaliacoes!$A$2:$A$6000,$A399,Avaliacoes!$F$2:$F$6000,"III",Avaliacoes!$H$2:$H$6000,0))</f>
        <v/>
      </c>
      <c r="I399" s="0" t="str">
        <f aca="false">IF($A399="","",SUMIFS(Avaliacoes!$G$2:$G$6000,Avaliacoes!$A$2:$A$6000,$A399,Avaliacoes!$F$2:$F$6000,"IV",Avaliacoes!$H$2:$H$6000,0))</f>
        <v/>
      </c>
      <c r="J399" s="0" t="str">
        <f aca="false">IF($A399="","",COUNTIFS(Avaliacoes!$A$2:$A$6000,$A399,Avaliacoes!$F$2:$F$6000,"I",Avaliacoes!$H$2:$H$6000,0,Avaliacoes!$G$2:$G$6000,"&lt;&gt;")*Dimensoes!$E$2)</f>
        <v/>
      </c>
      <c r="K399" s="0" t="str">
        <f aca="false">IF($A399="","",COUNTIFS(Avaliacoes!$A$2:$A$6000,$A399,Avaliacoes!$F$2:$F$6000,"II",Avaliacoes!$H$2:$H$6000,0,Avaliacoes!$G$2:$G$6000,"&lt;&gt;")*Dimensoes!$E$3)</f>
        <v/>
      </c>
      <c r="L399" s="0" t="str">
        <f aca="false">IF($A399="","",COUNTIFS(Avaliacoes!$A$2:$A$6000,$A399,Avaliacoes!$F$2:$F$6000,"III",Avaliacoes!$H$2:$H$6000,0,Avaliacoes!$G$2:$G$6000,"&lt;&gt;")*Dimensoes!$E$4)</f>
        <v/>
      </c>
      <c r="M399" s="0" t="str">
        <f aca="false">IF($A399="","",COUNTIFS(Avaliacoes!$A$2:$A$6000,$A399,Avaliacoes!$F$2:$F$6000,"IV",Avaliacoes!$H$2:$H$6000,0,Avaliacoes!$G$2:$G$6000,"&lt;&gt;")*Dimensoes!$E$5)</f>
        <v/>
      </c>
      <c r="N399" s="9" t="str">
        <f aca="false">IF($A399="","",IF(J399&gt;0,F399/J399,""))</f>
        <v/>
      </c>
      <c r="O399" s="9" t="str">
        <f aca="false">IF($A399="","",IF(K399&gt;0,G399/K399,""))</f>
        <v/>
      </c>
      <c r="P399" s="9" t="str">
        <f aca="false">IF($A399="","",IF(L399&gt;0,H399/L399,""))</f>
        <v/>
      </c>
      <c r="Q399" s="9" t="str">
        <f aca="false">IF($A399="","",IF(M399&gt;0,I399/M399,""))</f>
        <v/>
      </c>
      <c r="R399" s="17" t="str">
        <f aca="false">IF($A399="","",IF((IF(N399="",0,Dimensoes!$C$2)+IF(O399="",0,Dimensoes!$C$3)+IF(P399="",0,Dimensoes!$C$4)+IF(Q399="",0,Dimensoes!$C$5))=0,"",(IF(N399="",0,N399*Dimensoes!$C$2)+IF(O399="",0,O399*Dimensoes!$C$3)+IF(P399="",0,P399*Dimensoes!$C$4)+IF(Q399="",0,Q399*Dimensoes!$C$5))/(IF(N399="",0,Dimensoes!$C$2)+IF(O399="",0,Dimensoes!$C$3)+IF(P399="",0,Dimensoes!$C$4)+IF(Q399="",0,Dimensoes!$C$5))))</f>
        <v/>
      </c>
      <c r="S399" s="0" t="str">
        <f aca="false">IF(R399="","",IF(R399&lt;Faixas!$C$3,"vermelho",IF(R399&lt;Faixas!$C$4,"amarelo","verde")))</f>
        <v/>
      </c>
      <c r="T399" s="9" t="str">
        <f aca="false">IF($A399="","",IF(N399="",0,N399*Dimensoes!$C$2)+IF(O399="",0,O399*Dimensoes!$C$3)+IF(P399="",0,P399*Dimensoes!$C$4)+IF(Q399="",0,Q399*Dimensoes!$C$5))</f>
        <v/>
      </c>
      <c r="U399" s="0" t="str">
        <f aca="false">IF($A399="","",IF(OR(E399="concluida",E399="incompleta"),1,0))</f>
        <v/>
      </c>
    </row>
    <row r="400" customFormat="false" ht="15" hidden="false" customHeight="false" outlineLevel="0" collapsed="false">
      <c r="A400" s="0" t="str">
        <f aca="false">IF(Visitas!A400="","",Visitas!A400)</f>
        <v/>
      </c>
      <c r="B400" s="0" t="str">
        <f aca="false">IF($A400="","",Visitas!C400)</f>
        <v/>
      </c>
      <c r="C400" s="7" t="str">
        <f aca="false">IF($A400="","",Visitas!D400)</f>
        <v/>
      </c>
      <c r="D400" s="0" t="str">
        <f aca="false">IF($A400="","",Visitas!B400)</f>
        <v/>
      </c>
      <c r="E400" s="0" t="str">
        <f aca="false">IF($A400="","",Visitas!F400)</f>
        <v/>
      </c>
      <c r="F400" s="0" t="str">
        <f aca="false">IF($A400="","",SUMIFS(Avaliacoes!$G$2:$G$6000,Avaliacoes!$A$2:$A$6000,$A400,Avaliacoes!$F$2:$F$6000,"I",Avaliacoes!$H$2:$H$6000,0))</f>
        <v/>
      </c>
      <c r="G400" s="0" t="str">
        <f aca="false">IF($A400="","",SUMIFS(Avaliacoes!$G$2:$G$6000,Avaliacoes!$A$2:$A$6000,$A400,Avaliacoes!$F$2:$F$6000,"II",Avaliacoes!$H$2:$H$6000,0))</f>
        <v/>
      </c>
      <c r="H400" s="0" t="str">
        <f aca="false">IF($A400="","",SUMIFS(Avaliacoes!$G$2:$G$6000,Avaliacoes!$A$2:$A$6000,$A400,Avaliacoes!$F$2:$F$6000,"III",Avaliacoes!$H$2:$H$6000,0))</f>
        <v/>
      </c>
      <c r="I400" s="0" t="str">
        <f aca="false">IF($A400="","",SUMIFS(Avaliacoes!$G$2:$G$6000,Avaliacoes!$A$2:$A$6000,$A400,Avaliacoes!$F$2:$F$6000,"IV",Avaliacoes!$H$2:$H$6000,0))</f>
        <v/>
      </c>
      <c r="J400" s="0" t="str">
        <f aca="false">IF($A400="","",COUNTIFS(Avaliacoes!$A$2:$A$6000,$A400,Avaliacoes!$F$2:$F$6000,"I",Avaliacoes!$H$2:$H$6000,0,Avaliacoes!$G$2:$G$6000,"&lt;&gt;")*Dimensoes!$E$2)</f>
        <v/>
      </c>
      <c r="K400" s="0" t="str">
        <f aca="false">IF($A400="","",COUNTIFS(Avaliacoes!$A$2:$A$6000,$A400,Avaliacoes!$F$2:$F$6000,"II",Avaliacoes!$H$2:$H$6000,0,Avaliacoes!$G$2:$G$6000,"&lt;&gt;")*Dimensoes!$E$3)</f>
        <v/>
      </c>
      <c r="L400" s="0" t="str">
        <f aca="false">IF($A400="","",COUNTIFS(Avaliacoes!$A$2:$A$6000,$A400,Avaliacoes!$F$2:$F$6000,"III",Avaliacoes!$H$2:$H$6000,0,Avaliacoes!$G$2:$G$6000,"&lt;&gt;")*Dimensoes!$E$4)</f>
        <v/>
      </c>
      <c r="M400" s="0" t="str">
        <f aca="false">IF($A400="","",COUNTIFS(Avaliacoes!$A$2:$A$6000,$A400,Avaliacoes!$F$2:$F$6000,"IV",Avaliacoes!$H$2:$H$6000,0,Avaliacoes!$G$2:$G$6000,"&lt;&gt;")*Dimensoes!$E$5)</f>
        <v/>
      </c>
      <c r="N400" s="9" t="str">
        <f aca="false">IF($A400="","",IF(J400&gt;0,F400/J400,""))</f>
        <v/>
      </c>
      <c r="O400" s="9" t="str">
        <f aca="false">IF($A400="","",IF(K400&gt;0,G400/K400,""))</f>
        <v/>
      </c>
      <c r="P400" s="9" t="str">
        <f aca="false">IF($A400="","",IF(L400&gt;0,H400/L400,""))</f>
        <v/>
      </c>
      <c r="Q400" s="9" t="str">
        <f aca="false">IF($A400="","",IF(M400&gt;0,I400/M400,""))</f>
        <v/>
      </c>
      <c r="R400" s="17" t="str">
        <f aca="false">IF($A400="","",IF((IF(N400="",0,Dimensoes!$C$2)+IF(O400="",0,Dimensoes!$C$3)+IF(P400="",0,Dimensoes!$C$4)+IF(Q400="",0,Dimensoes!$C$5))=0,"",(IF(N400="",0,N400*Dimensoes!$C$2)+IF(O400="",0,O400*Dimensoes!$C$3)+IF(P400="",0,P400*Dimensoes!$C$4)+IF(Q400="",0,Q400*Dimensoes!$C$5))/(IF(N400="",0,Dimensoes!$C$2)+IF(O400="",0,Dimensoes!$C$3)+IF(P400="",0,Dimensoes!$C$4)+IF(Q400="",0,Dimensoes!$C$5))))</f>
        <v/>
      </c>
      <c r="S400" s="0" t="str">
        <f aca="false">IF(R400="","",IF(R400&lt;Faixas!$C$3,"vermelho",IF(R400&lt;Faixas!$C$4,"amarelo","verde")))</f>
        <v/>
      </c>
      <c r="T400" s="9" t="str">
        <f aca="false">IF($A400="","",IF(N400="",0,N400*Dimensoes!$C$2)+IF(O400="",0,O400*Dimensoes!$C$3)+IF(P400="",0,P400*Dimensoes!$C$4)+IF(Q400="",0,Q400*Dimensoes!$C$5))</f>
        <v/>
      </c>
      <c r="U400" s="0" t="str">
        <f aca="false">IF($A400="","",IF(OR(E400="concluida",E400="incompleta"),1,0))</f>
        <v/>
      </c>
    </row>
    <row r="401" customFormat="false" ht="15" hidden="false" customHeight="false" outlineLevel="0" collapsed="false">
      <c r="A401" s="0" t="str">
        <f aca="false">IF(Visitas!A401="","",Visitas!A401)</f>
        <v/>
      </c>
      <c r="B401" s="0" t="str">
        <f aca="false">IF($A401="","",Visitas!C401)</f>
        <v/>
      </c>
      <c r="C401" s="7" t="str">
        <f aca="false">IF($A401="","",Visitas!D401)</f>
        <v/>
      </c>
      <c r="D401" s="0" t="str">
        <f aca="false">IF($A401="","",Visitas!B401)</f>
        <v/>
      </c>
      <c r="E401" s="0" t="str">
        <f aca="false">IF($A401="","",Visitas!F401)</f>
        <v/>
      </c>
      <c r="F401" s="0" t="str">
        <f aca="false">IF($A401="","",SUMIFS(Avaliacoes!$G$2:$G$6000,Avaliacoes!$A$2:$A$6000,$A401,Avaliacoes!$F$2:$F$6000,"I",Avaliacoes!$H$2:$H$6000,0))</f>
        <v/>
      </c>
      <c r="G401" s="0" t="str">
        <f aca="false">IF($A401="","",SUMIFS(Avaliacoes!$G$2:$G$6000,Avaliacoes!$A$2:$A$6000,$A401,Avaliacoes!$F$2:$F$6000,"II",Avaliacoes!$H$2:$H$6000,0))</f>
        <v/>
      </c>
      <c r="H401" s="0" t="str">
        <f aca="false">IF($A401="","",SUMIFS(Avaliacoes!$G$2:$G$6000,Avaliacoes!$A$2:$A$6000,$A401,Avaliacoes!$F$2:$F$6000,"III",Avaliacoes!$H$2:$H$6000,0))</f>
        <v/>
      </c>
      <c r="I401" s="0" t="str">
        <f aca="false">IF($A401="","",SUMIFS(Avaliacoes!$G$2:$G$6000,Avaliacoes!$A$2:$A$6000,$A401,Avaliacoes!$F$2:$F$6000,"IV",Avaliacoes!$H$2:$H$6000,0))</f>
        <v/>
      </c>
      <c r="J401" s="0" t="str">
        <f aca="false">IF($A401="","",COUNTIFS(Avaliacoes!$A$2:$A$6000,$A401,Avaliacoes!$F$2:$F$6000,"I",Avaliacoes!$H$2:$H$6000,0,Avaliacoes!$G$2:$G$6000,"&lt;&gt;")*Dimensoes!$E$2)</f>
        <v/>
      </c>
      <c r="K401" s="0" t="str">
        <f aca="false">IF($A401="","",COUNTIFS(Avaliacoes!$A$2:$A$6000,$A401,Avaliacoes!$F$2:$F$6000,"II",Avaliacoes!$H$2:$H$6000,0,Avaliacoes!$G$2:$G$6000,"&lt;&gt;")*Dimensoes!$E$3)</f>
        <v/>
      </c>
      <c r="L401" s="0" t="str">
        <f aca="false">IF($A401="","",COUNTIFS(Avaliacoes!$A$2:$A$6000,$A401,Avaliacoes!$F$2:$F$6000,"III",Avaliacoes!$H$2:$H$6000,0,Avaliacoes!$G$2:$G$6000,"&lt;&gt;")*Dimensoes!$E$4)</f>
        <v/>
      </c>
      <c r="M401" s="0" t="str">
        <f aca="false">IF($A401="","",COUNTIFS(Avaliacoes!$A$2:$A$6000,$A401,Avaliacoes!$F$2:$F$6000,"IV",Avaliacoes!$H$2:$H$6000,0,Avaliacoes!$G$2:$G$6000,"&lt;&gt;")*Dimensoes!$E$5)</f>
        <v/>
      </c>
      <c r="N401" s="9" t="str">
        <f aca="false">IF($A401="","",IF(J401&gt;0,F401/J401,""))</f>
        <v/>
      </c>
      <c r="O401" s="9" t="str">
        <f aca="false">IF($A401="","",IF(K401&gt;0,G401/K401,""))</f>
        <v/>
      </c>
      <c r="P401" s="9" t="str">
        <f aca="false">IF($A401="","",IF(L401&gt;0,H401/L401,""))</f>
        <v/>
      </c>
      <c r="Q401" s="9" t="str">
        <f aca="false">IF($A401="","",IF(M401&gt;0,I401/M401,""))</f>
        <v/>
      </c>
      <c r="R401" s="17" t="str">
        <f aca="false">IF($A401="","",IF((IF(N401="",0,Dimensoes!$C$2)+IF(O401="",0,Dimensoes!$C$3)+IF(P401="",0,Dimensoes!$C$4)+IF(Q401="",0,Dimensoes!$C$5))=0,"",(IF(N401="",0,N401*Dimensoes!$C$2)+IF(O401="",0,O401*Dimensoes!$C$3)+IF(P401="",0,P401*Dimensoes!$C$4)+IF(Q401="",0,Q401*Dimensoes!$C$5))/(IF(N401="",0,Dimensoes!$C$2)+IF(O401="",0,Dimensoes!$C$3)+IF(P401="",0,Dimensoes!$C$4)+IF(Q401="",0,Dimensoes!$C$5))))</f>
        <v/>
      </c>
      <c r="S401" s="0" t="str">
        <f aca="false">IF(R401="","",IF(R401&lt;Faixas!$C$3,"vermelho",IF(R401&lt;Faixas!$C$4,"amarelo","verde")))</f>
        <v/>
      </c>
      <c r="T401" s="9" t="str">
        <f aca="false">IF($A401="","",IF(N401="",0,N401*Dimensoes!$C$2)+IF(O401="",0,O401*Dimensoes!$C$3)+IF(P401="",0,P401*Dimensoes!$C$4)+IF(Q401="",0,Q401*Dimensoes!$C$5))</f>
        <v/>
      </c>
      <c r="U401" s="0" t="str">
        <f aca="false">IF($A401="","",IF(OR(E401="concluida",E401="incompleta"),1,0))</f>
        <v/>
      </c>
    </row>
  </sheetData>
  <autoFilter ref="A1:U401"/>
  <conditionalFormatting sqref="N2:R401">
    <cfRule type="expression" priority="2" aboveAverage="0" equalAverage="0" bottom="0" percent="0" rank="0" text="" dxfId="10">
      <formula>AND(ISNUMBER(N2),N2&lt;Faixas!$C$3)</formula>
    </cfRule>
    <cfRule type="expression" priority="3" aboveAverage="0" equalAverage="0" bottom="0" percent="0" rank="0" text="" dxfId="11">
      <formula>AND(ISNUMBER(N2),N2&gt;=Faixas!$C$3,N2&lt;Faixas!$C$4)</formula>
    </cfRule>
    <cfRule type="expression" priority="4" aboveAverage="0" equalAverage="0" bottom="0" percent="0" rank="0" text="" dxfId="12">
      <formula>AND(ISNUMBER(N2),N2&gt;=Faixas!$C$4)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40"/>
    <col collapsed="false" customWidth="true" hidden="false" outlineLevel="0" max="4" min="4" style="0" width="26"/>
    <col collapsed="false" customWidth="true" hidden="false" outlineLevel="0" max="5" min="5" style="0" width="12"/>
    <col collapsed="false" customWidth="true" hidden="false" outlineLevel="0" max="6" min="6" style="0" width="22"/>
    <col collapsed="false" customWidth="true" hidden="false" outlineLevel="0" max="7" min="7" style="0" width="14"/>
    <col collapsed="false" customWidth="true" hidden="false" outlineLevel="0" max="8" min="8" style="0" width="90"/>
  </cols>
  <sheetData>
    <row r="1" customFormat="false" ht="28.35" hidden="false" customHeight="false" outlineLevel="0" collapsed="false">
      <c r="A1" s="8" t="s">
        <v>318</v>
      </c>
      <c r="B1" s="8" t="s">
        <v>319</v>
      </c>
      <c r="C1" s="8" t="s">
        <v>320</v>
      </c>
      <c r="D1" s="8" t="s">
        <v>321</v>
      </c>
      <c r="E1" s="8" t="s">
        <v>322</v>
      </c>
      <c r="F1" s="8" t="s">
        <v>323</v>
      </c>
      <c r="G1" s="8" t="s">
        <v>324</v>
      </c>
      <c r="H1" s="8" t="s">
        <v>325</v>
      </c>
    </row>
    <row r="2" customFormat="false" ht="15" hidden="false" customHeight="false" outlineLevel="0" collapsed="false">
      <c r="A2" s="0" t="n">
        <v>1</v>
      </c>
      <c r="B2" s="0" t="s">
        <v>135</v>
      </c>
      <c r="C2" s="0" t="s">
        <v>133</v>
      </c>
      <c r="D2" s="0" t="s">
        <v>135</v>
      </c>
      <c r="E2" s="7" t="n">
        <v>46164</v>
      </c>
      <c r="F2" s="6" t="s">
        <v>326</v>
      </c>
      <c r="G2" s="6" t="s">
        <v>327</v>
      </c>
    </row>
    <row r="3" customFormat="false" ht="15" hidden="false" customHeight="false" outlineLevel="0" collapsed="false">
      <c r="A3" s="0" t="n">
        <v>2</v>
      </c>
      <c r="B3" s="0" t="s">
        <v>139</v>
      </c>
      <c r="C3" s="0" t="s">
        <v>137</v>
      </c>
      <c r="D3" s="0" t="s">
        <v>328</v>
      </c>
      <c r="E3" s="7" t="n">
        <v>46090</v>
      </c>
      <c r="F3" s="6" t="s">
        <v>329</v>
      </c>
      <c r="G3" s="6" t="s">
        <v>327</v>
      </c>
    </row>
    <row r="4" customFormat="false" ht="15" hidden="false" customHeight="false" outlineLevel="0" collapsed="false">
      <c r="A4" s="0" t="n">
        <v>3</v>
      </c>
      <c r="B4" s="0" t="s">
        <v>142</v>
      </c>
      <c r="C4" s="0" t="s">
        <v>140</v>
      </c>
      <c r="D4" s="0" t="s">
        <v>330</v>
      </c>
      <c r="E4" s="7" t="n">
        <v>46091</v>
      </c>
      <c r="F4" s="6" t="s">
        <v>331</v>
      </c>
      <c r="G4" s="6" t="s">
        <v>327</v>
      </c>
    </row>
    <row r="5" customFormat="false" ht="15" hidden="false" customHeight="false" outlineLevel="0" collapsed="false">
      <c r="A5" s="0" t="n">
        <v>4</v>
      </c>
      <c r="B5" s="0" t="s">
        <v>146</v>
      </c>
      <c r="C5" s="0" t="s">
        <v>144</v>
      </c>
      <c r="D5" s="0" t="s">
        <v>332</v>
      </c>
      <c r="E5" s="7" t="n">
        <v>46093</v>
      </c>
      <c r="F5" s="6" t="s">
        <v>333</v>
      </c>
      <c r="G5" s="6" t="s">
        <v>327</v>
      </c>
    </row>
    <row r="6" customFormat="false" ht="15" hidden="false" customHeight="false" outlineLevel="0" collapsed="false">
      <c r="A6" s="0" t="n">
        <v>5</v>
      </c>
      <c r="B6" s="0" t="s">
        <v>148</v>
      </c>
      <c r="C6" s="0" t="s">
        <v>148</v>
      </c>
      <c r="D6" s="0" t="s">
        <v>334</v>
      </c>
      <c r="E6" s="7" t="n">
        <v>46122</v>
      </c>
      <c r="F6" s="6" t="s">
        <v>335</v>
      </c>
      <c r="G6" s="6" t="s">
        <v>327</v>
      </c>
    </row>
    <row r="7" customFormat="false" ht="15" hidden="false" customHeight="false" outlineLevel="0" collapsed="false">
      <c r="A7" s="0" t="n">
        <v>6</v>
      </c>
      <c r="B7" s="0" t="s">
        <v>150</v>
      </c>
      <c r="C7" s="0" t="s">
        <v>150</v>
      </c>
      <c r="D7" s="0" t="s">
        <v>336</v>
      </c>
      <c r="E7" s="7" t="n">
        <v>46156</v>
      </c>
      <c r="F7" s="6" t="s">
        <v>337</v>
      </c>
      <c r="G7" s="6" t="s">
        <v>327</v>
      </c>
    </row>
    <row r="8" customFormat="false" ht="15" hidden="false" customHeight="false" outlineLevel="0" collapsed="false">
      <c r="A8" s="0" t="n">
        <v>7</v>
      </c>
      <c r="B8" s="0" t="s">
        <v>152</v>
      </c>
      <c r="C8" s="0" t="s">
        <v>152</v>
      </c>
      <c r="D8" s="0" t="s">
        <v>338</v>
      </c>
      <c r="E8" s="7" t="n">
        <v>46142</v>
      </c>
      <c r="F8" s="6" t="s">
        <v>339</v>
      </c>
      <c r="G8" s="6" t="s">
        <v>327</v>
      </c>
    </row>
    <row r="9" customFormat="false" ht="15" hidden="false" customHeight="false" outlineLevel="0" collapsed="false">
      <c r="A9" s="0" t="n">
        <v>8</v>
      </c>
      <c r="B9" s="0" t="s">
        <v>155</v>
      </c>
      <c r="C9" s="0" t="s">
        <v>155</v>
      </c>
      <c r="D9" s="0" t="s">
        <v>340</v>
      </c>
      <c r="E9" s="7" t="n">
        <v>46190</v>
      </c>
      <c r="F9" s="6" t="s">
        <v>341</v>
      </c>
      <c r="G9" s="6" t="s">
        <v>327</v>
      </c>
    </row>
    <row r="10" customFormat="false" ht="15" hidden="false" customHeight="false" outlineLevel="0" collapsed="false">
      <c r="A10" s="0" t="n">
        <v>9</v>
      </c>
      <c r="B10" s="0" t="s">
        <v>156</v>
      </c>
      <c r="C10" s="0" t="s">
        <v>156</v>
      </c>
      <c r="D10" s="0" t="s">
        <v>342</v>
      </c>
      <c r="E10" s="7" t="n">
        <v>46162</v>
      </c>
      <c r="F10" s="6" t="s">
        <v>343</v>
      </c>
      <c r="G10" s="6" t="s">
        <v>327</v>
      </c>
    </row>
    <row r="11" customFormat="false" ht="15" hidden="false" customHeight="false" outlineLevel="0" collapsed="false">
      <c r="A11" s="0" t="n">
        <v>10</v>
      </c>
      <c r="B11" s="0" t="s">
        <v>159</v>
      </c>
      <c r="C11" s="0" t="s">
        <v>157</v>
      </c>
      <c r="D11" s="0" t="s">
        <v>344</v>
      </c>
      <c r="E11" s="7" t="n">
        <v>46094</v>
      </c>
      <c r="F11" s="6" t="s">
        <v>345</v>
      </c>
      <c r="G11" s="6" t="s">
        <v>327</v>
      </c>
    </row>
    <row r="12" customFormat="false" ht="15" hidden="false" customHeight="false" outlineLevel="0" collapsed="false">
      <c r="A12" s="0" t="n">
        <v>11</v>
      </c>
      <c r="B12" s="0" t="s">
        <v>161</v>
      </c>
      <c r="C12" s="0" t="s">
        <v>161</v>
      </c>
      <c r="D12" s="0" t="s">
        <v>346</v>
      </c>
      <c r="E12" s="7" t="n">
        <v>46125</v>
      </c>
      <c r="F12" s="6" t="s">
        <v>347</v>
      </c>
      <c r="G12" s="6" t="s">
        <v>327</v>
      </c>
    </row>
    <row r="13" customFormat="false" ht="15" hidden="false" customHeight="false" outlineLevel="0" collapsed="false">
      <c r="A13" s="0" t="n">
        <v>12</v>
      </c>
      <c r="B13" s="0" t="s">
        <v>162</v>
      </c>
      <c r="C13" s="0" t="s">
        <v>162</v>
      </c>
      <c r="D13" s="0" t="s">
        <v>348</v>
      </c>
      <c r="E13" s="7" t="n">
        <v>46189</v>
      </c>
      <c r="F13" s="6" t="s">
        <v>343</v>
      </c>
      <c r="G13" s="6" t="s">
        <v>327</v>
      </c>
    </row>
    <row r="14" customFormat="false" ht="15" hidden="false" customHeight="false" outlineLevel="0" collapsed="false">
      <c r="A14" s="0" t="n">
        <v>13</v>
      </c>
      <c r="B14" s="0" t="s">
        <v>164</v>
      </c>
      <c r="C14" s="0" t="s">
        <v>163</v>
      </c>
      <c r="D14" s="0" t="s">
        <v>349</v>
      </c>
      <c r="E14" s="7" t="n">
        <v>46234</v>
      </c>
      <c r="F14" s="6" t="s">
        <v>350</v>
      </c>
      <c r="G14" s="6" t="s">
        <v>327</v>
      </c>
    </row>
    <row r="15" customFormat="false" ht="15" hidden="false" customHeight="false" outlineLevel="0" collapsed="false">
      <c r="A15" s="0" t="n">
        <v>14</v>
      </c>
      <c r="B15" s="0" t="s">
        <v>165</v>
      </c>
      <c r="C15" s="0" t="s">
        <v>165</v>
      </c>
      <c r="D15" s="0" t="s">
        <v>351</v>
      </c>
      <c r="E15" s="7" t="n">
        <v>46254</v>
      </c>
      <c r="F15" s="6" t="s">
        <v>352</v>
      </c>
      <c r="G15" s="6" t="s">
        <v>327</v>
      </c>
    </row>
    <row r="16" customFormat="false" ht="15" hidden="false" customHeight="false" outlineLevel="0" collapsed="false">
      <c r="A16" s="0" t="n">
        <v>15</v>
      </c>
      <c r="B16" s="0" t="s">
        <v>166</v>
      </c>
      <c r="C16" s="0" t="s">
        <v>166</v>
      </c>
      <c r="D16" s="0" t="s">
        <v>353</v>
      </c>
      <c r="E16" s="7" t="n">
        <v>46240</v>
      </c>
      <c r="F16" s="6" t="s">
        <v>354</v>
      </c>
      <c r="G16" s="6" t="s">
        <v>327</v>
      </c>
    </row>
    <row r="17" customFormat="false" ht="15" hidden="false" customHeight="false" outlineLevel="0" collapsed="false">
      <c r="A17" s="0" t="n">
        <v>16</v>
      </c>
      <c r="B17" s="0" t="s">
        <v>167</v>
      </c>
      <c r="C17" s="0" t="s">
        <v>167</v>
      </c>
      <c r="D17" s="0" t="s">
        <v>355</v>
      </c>
      <c r="E17" s="7" t="n">
        <v>46258</v>
      </c>
      <c r="F17" s="6" t="s">
        <v>356</v>
      </c>
      <c r="G17" s="6" t="s">
        <v>327</v>
      </c>
    </row>
    <row r="18" customFormat="false" ht="15" hidden="false" customHeight="false" outlineLevel="0" collapsed="false">
      <c r="A18" s="0" t="n">
        <v>17</v>
      </c>
      <c r="B18" s="0" t="s">
        <v>168</v>
      </c>
      <c r="C18" s="0" t="s">
        <v>168</v>
      </c>
      <c r="D18" s="0" t="s">
        <v>357</v>
      </c>
      <c r="E18" s="7" t="n">
        <v>46239</v>
      </c>
      <c r="F18" s="6" t="s">
        <v>358</v>
      </c>
      <c r="G18" s="6" t="s">
        <v>327</v>
      </c>
    </row>
    <row r="19" customFormat="false" ht="15" hidden="false" customHeight="false" outlineLevel="0" collapsed="false">
      <c r="A19" s="0" t="n">
        <v>18</v>
      </c>
      <c r="B19" s="0" t="s">
        <v>169</v>
      </c>
      <c r="C19" s="0" t="s">
        <v>169</v>
      </c>
      <c r="D19" s="0" t="s">
        <v>359</v>
      </c>
      <c r="E19" s="7" t="n">
        <v>45106</v>
      </c>
      <c r="F19" s="6" t="s">
        <v>360</v>
      </c>
      <c r="G19" s="6" t="s">
        <v>361</v>
      </c>
      <c r="H19" s="6" t="s">
        <v>362</v>
      </c>
    </row>
    <row r="20" customFormat="false" ht="15" hidden="false" customHeight="false" outlineLevel="0" collapsed="false">
      <c r="A20" s="0" t="n">
        <v>19</v>
      </c>
      <c r="B20" s="0" t="s">
        <v>170</v>
      </c>
      <c r="C20" s="0" t="s">
        <v>170</v>
      </c>
      <c r="D20" s="0" t="s">
        <v>170</v>
      </c>
      <c r="E20" s="7" t="n">
        <v>45106</v>
      </c>
      <c r="F20" s="6" t="s">
        <v>360</v>
      </c>
      <c r="G20" s="6" t="s">
        <v>361</v>
      </c>
      <c r="H20" s="6" t="s">
        <v>362</v>
      </c>
    </row>
    <row r="21" customFormat="false" ht="15" hidden="false" customHeight="false" outlineLevel="0" collapsed="false">
      <c r="A21" s="0" t="n">
        <v>20</v>
      </c>
      <c r="B21" s="0" t="s">
        <v>172</v>
      </c>
      <c r="C21" s="0" t="s">
        <v>172</v>
      </c>
      <c r="D21" s="0" t="s">
        <v>172</v>
      </c>
      <c r="E21" s="7" t="n">
        <v>45106</v>
      </c>
      <c r="F21" s="6" t="s">
        <v>360</v>
      </c>
      <c r="G21" s="6" t="s">
        <v>361</v>
      </c>
      <c r="H21" s="6" t="s">
        <v>362</v>
      </c>
    </row>
    <row r="22" customFormat="false" ht="15" hidden="false" customHeight="false" outlineLevel="0" collapsed="false">
      <c r="A22" s="0" t="n">
        <v>21</v>
      </c>
      <c r="B22" s="0" t="s">
        <v>363</v>
      </c>
      <c r="C22" s="0" t="s">
        <v>174</v>
      </c>
      <c r="D22" s="0" t="s">
        <v>364</v>
      </c>
      <c r="E22" s="7" t="n">
        <v>46254</v>
      </c>
      <c r="F22" s="6" t="s">
        <v>365</v>
      </c>
      <c r="G22" s="6" t="s">
        <v>327</v>
      </c>
    </row>
    <row r="23" customFormat="false" ht="15" hidden="false" customHeight="false" outlineLevel="0" collapsed="false">
      <c r="A23" s="0" t="n">
        <v>22</v>
      </c>
      <c r="B23" s="0" t="s">
        <v>178</v>
      </c>
      <c r="C23" s="0" t="s">
        <v>176</v>
      </c>
      <c r="D23" s="0" t="s">
        <v>178</v>
      </c>
      <c r="E23" s="7" t="n">
        <v>45268</v>
      </c>
      <c r="F23" s="6" t="s">
        <v>366</v>
      </c>
      <c r="G23" s="6" t="s">
        <v>361</v>
      </c>
      <c r="H23" s="6" t="s">
        <v>367</v>
      </c>
    </row>
    <row r="24" customFormat="false" ht="15" hidden="false" customHeight="false" outlineLevel="0" collapsed="false">
      <c r="A24" s="0" t="n">
        <v>23</v>
      </c>
      <c r="B24" s="0" t="s">
        <v>179</v>
      </c>
      <c r="C24" s="0" t="s">
        <v>179</v>
      </c>
      <c r="D24" s="0" t="s">
        <v>179</v>
      </c>
      <c r="E24" s="7"/>
      <c r="F24" s="6" t="s">
        <v>343</v>
      </c>
      <c r="G24" s="6" t="s">
        <v>361</v>
      </c>
      <c r="H24" s="6" t="s">
        <v>368</v>
      </c>
    </row>
    <row r="25" customFormat="false" ht="15" hidden="false" customHeight="false" outlineLevel="0" collapsed="false">
      <c r="A25" s="0" t="n">
        <v>24</v>
      </c>
      <c r="B25" s="0" t="s">
        <v>182</v>
      </c>
      <c r="C25" s="0" t="s">
        <v>180</v>
      </c>
      <c r="D25" s="0" t="s">
        <v>182</v>
      </c>
      <c r="E25" s="7" t="n">
        <v>45106</v>
      </c>
      <c r="F25" s="6" t="s">
        <v>369</v>
      </c>
      <c r="G25" s="6" t="s">
        <v>361</v>
      </c>
      <c r="H25" s="6" t="s">
        <v>370</v>
      </c>
    </row>
    <row r="26" customFormat="false" ht="15" hidden="false" customHeight="false" outlineLevel="0" collapsed="false">
      <c r="A26" s="0" t="n">
        <v>25</v>
      </c>
      <c r="B26" s="0" t="s">
        <v>184</v>
      </c>
      <c r="C26" s="0" t="s">
        <v>183</v>
      </c>
      <c r="D26" s="0" t="s">
        <v>183</v>
      </c>
      <c r="E26" s="7" t="n">
        <v>46191</v>
      </c>
      <c r="F26" s="6" t="s">
        <v>371</v>
      </c>
      <c r="G26" s="6" t="s">
        <v>327</v>
      </c>
    </row>
    <row r="27" customFormat="false" ht="15" hidden="false" customHeight="false" outlineLevel="0" collapsed="false">
      <c r="A27" s="0" t="n">
        <v>26</v>
      </c>
      <c r="B27" s="0" t="s">
        <v>186</v>
      </c>
      <c r="C27" s="0" t="s">
        <v>186</v>
      </c>
      <c r="D27" s="0" t="s">
        <v>372</v>
      </c>
      <c r="E27" s="7" t="n">
        <v>45106</v>
      </c>
      <c r="F27" s="6" t="s">
        <v>360</v>
      </c>
      <c r="G27" s="6" t="s">
        <v>361</v>
      </c>
      <c r="H27" s="6" t="s">
        <v>362</v>
      </c>
    </row>
    <row r="28" customFormat="false" ht="15" hidden="false" customHeight="false" outlineLevel="0" collapsed="false">
      <c r="A28" s="0" t="n">
        <v>27</v>
      </c>
      <c r="B28" s="0" t="s">
        <v>188</v>
      </c>
      <c r="C28" s="0" t="s">
        <v>188</v>
      </c>
      <c r="D28" s="0" t="s">
        <v>373</v>
      </c>
      <c r="E28" s="7" t="n">
        <v>46092</v>
      </c>
      <c r="F28" s="6" t="s">
        <v>374</v>
      </c>
      <c r="G28" s="6" t="s">
        <v>327</v>
      </c>
    </row>
    <row r="29" customFormat="false" ht="15" hidden="false" customHeight="false" outlineLevel="0" collapsed="false">
      <c r="A29" s="0" t="n">
        <v>28</v>
      </c>
      <c r="B29" s="0" t="s">
        <v>375</v>
      </c>
      <c r="C29" s="0" t="s">
        <v>189</v>
      </c>
      <c r="D29" s="0" t="s">
        <v>190</v>
      </c>
      <c r="E29" s="7" t="n">
        <v>46161</v>
      </c>
      <c r="F29" s="6" t="s">
        <v>376</v>
      </c>
      <c r="G29" s="6" t="s">
        <v>327</v>
      </c>
    </row>
    <row r="30" customFormat="false" ht="15" hidden="false" customHeight="false" outlineLevel="0" collapsed="false">
      <c r="A30" s="0" t="n">
        <v>29</v>
      </c>
      <c r="B30" s="0" t="s">
        <v>192</v>
      </c>
      <c r="C30" s="0" t="s">
        <v>191</v>
      </c>
      <c r="D30" s="0" t="s">
        <v>192</v>
      </c>
      <c r="E30" s="7" t="n">
        <v>45268</v>
      </c>
      <c r="F30" s="6" t="s">
        <v>377</v>
      </c>
      <c r="G30" s="6" t="s">
        <v>361</v>
      </c>
      <c r="H30" s="6" t="s">
        <v>367</v>
      </c>
    </row>
    <row r="31" customFormat="false" ht="15" hidden="false" customHeight="false" outlineLevel="0" collapsed="false">
      <c r="A31" s="0" t="n">
        <v>30</v>
      </c>
      <c r="B31" s="0" t="s">
        <v>193</v>
      </c>
      <c r="C31" s="0" t="s">
        <v>193</v>
      </c>
      <c r="D31" s="0" t="s">
        <v>378</v>
      </c>
      <c r="E31" s="7" t="n">
        <v>46189</v>
      </c>
      <c r="F31" s="6" t="s">
        <v>379</v>
      </c>
      <c r="G31" s="6" t="s">
        <v>327</v>
      </c>
    </row>
    <row r="32" customFormat="false" ht="15" hidden="false" customHeight="false" outlineLevel="0" collapsed="false">
      <c r="A32" s="0" t="n">
        <v>31</v>
      </c>
      <c r="B32" s="0" t="s">
        <v>195</v>
      </c>
      <c r="C32" s="0" t="s">
        <v>194</v>
      </c>
      <c r="D32" s="0" t="s">
        <v>380</v>
      </c>
      <c r="E32" s="7" t="n">
        <v>45257</v>
      </c>
      <c r="F32" s="6" t="s">
        <v>381</v>
      </c>
      <c r="G32" s="6" t="s">
        <v>361</v>
      </c>
      <c r="H32" s="6" t="s">
        <v>367</v>
      </c>
    </row>
    <row r="33" customFormat="false" ht="15" hidden="false" customHeight="false" outlineLevel="0" collapsed="false">
      <c r="A33" s="0" t="n">
        <v>32</v>
      </c>
      <c r="B33" s="0" t="s">
        <v>197</v>
      </c>
      <c r="C33" s="0" t="s">
        <v>196</v>
      </c>
      <c r="D33" s="0" t="s">
        <v>382</v>
      </c>
      <c r="E33" s="7" t="n">
        <v>46107</v>
      </c>
      <c r="F33" s="6" t="s">
        <v>383</v>
      </c>
      <c r="G33" s="6" t="s">
        <v>327</v>
      </c>
    </row>
    <row r="34" customFormat="false" ht="15" hidden="false" customHeight="false" outlineLevel="0" collapsed="false">
      <c r="A34" s="0" t="n">
        <v>33</v>
      </c>
      <c r="B34" s="0" t="s">
        <v>199</v>
      </c>
      <c r="C34" s="0" t="s">
        <v>199</v>
      </c>
      <c r="D34" s="0" t="s">
        <v>384</v>
      </c>
      <c r="E34" s="7" t="n">
        <v>45229</v>
      </c>
      <c r="F34" s="6" t="s">
        <v>337</v>
      </c>
      <c r="G34" s="6" t="s">
        <v>361</v>
      </c>
      <c r="H34" s="6" t="s">
        <v>385</v>
      </c>
    </row>
    <row r="35" customFormat="false" ht="15" hidden="false" customHeight="false" outlineLevel="0" collapsed="false">
      <c r="A35" s="0" t="n">
        <v>34</v>
      </c>
      <c r="B35" s="0" t="s">
        <v>386</v>
      </c>
      <c r="C35" s="0" t="s">
        <v>200</v>
      </c>
      <c r="D35" s="0" t="s">
        <v>387</v>
      </c>
      <c r="E35" s="7" t="n">
        <v>46163</v>
      </c>
      <c r="F35" s="6" t="s">
        <v>388</v>
      </c>
      <c r="G35" s="6" t="s">
        <v>327</v>
      </c>
    </row>
    <row r="36" customFormat="false" ht="15" hidden="false" customHeight="false" outlineLevel="0" collapsed="false">
      <c r="A36" s="0" t="n">
        <v>35</v>
      </c>
      <c r="B36" s="0" t="s">
        <v>389</v>
      </c>
      <c r="C36" s="0" t="s">
        <v>202</v>
      </c>
      <c r="D36" s="0" t="s">
        <v>390</v>
      </c>
      <c r="E36" s="7" t="n">
        <v>46136</v>
      </c>
      <c r="F36" s="6" t="s">
        <v>391</v>
      </c>
      <c r="G36" s="6" t="s">
        <v>327</v>
      </c>
    </row>
    <row r="37" customFormat="false" ht="15" hidden="false" customHeight="false" outlineLevel="0" collapsed="false">
      <c r="A37" s="0" t="n">
        <v>36</v>
      </c>
      <c r="B37" s="0" t="s">
        <v>203</v>
      </c>
      <c r="C37" s="0" t="s">
        <v>203</v>
      </c>
      <c r="D37" s="0" t="s">
        <v>392</v>
      </c>
      <c r="E37" s="7" t="n">
        <v>46240</v>
      </c>
      <c r="F37" s="6" t="s">
        <v>393</v>
      </c>
      <c r="G37" s="6" t="s">
        <v>327</v>
      </c>
    </row>
    <row r="38" customFormat="false" ht="15" hidden="false" customHeight="false" outlineLevel="0" collapsed="false">
      <c r="A38" s="0" t="n">
        <v>37</v>
      </c>
      <c r="B38" s="0" t="s">
        <v>394</v>
      </c>
      <c r="C38" s="0" t="s">
        <v>204</v>
      </c>
      <c r="D38" s="0" t="s">
        <v>395</v>
      </c>
      <c r="E38" s="7" t="n">
        <v>46119</v>
      </c>
      <c r="F38" s="6" t="s">
        <v>396</v>
      </c>
      <c r="G38" s="6" t="s">
        <v>327</v>
      </c>
    </row>
    <row r="39" customFormat="false" ht="15" hidden="false" customHeight="false" outlineLevel="0" collapsed="false">
      <c r="A39" s="0" t="n">
        <v>38</v>
      </c>
      <c r="B39" s="0" t="s">
        <v>397</v>
      </c>
      <c r="C39" s="0" t="s">
        <v>206</v>
      </c>
      <c r="D39" s="0" t="s">
        <v>398</v>
      </c>
      <c r="E39" s="7" t="n">
        <v>46134</v>
      </c>
      <c r="F39" s="6" t="s">
        <v>399</v>
      </c>
      <c r="G39" s="6" t="s">
        <v>327</v>
      </c>
    </row>
    <row r="40" customFormat="false" ht="15" hidden="false" customHeight="false" outlineLevel="0" collapsed="false">
      <c r="A40" s="0" t="n">
        <v>39</v>
      </c>
      <c r="B40" s="0" t="s">
        <v>400</v>
      </c>
      <c r="C40" s="0" t="s">
        <v>207</v>
      </c>
      <c r="D40" s="0" t="s">
        <v>401</v>
      </c>
      <c r="E40" s="7" t="n">
        <v>46198</v>
      </c>
      <c r="F40" s="6" t="s">
        <v>402</v>
      </c>
      <c r="G40" s="6" t="s">
        <v>327</v>
      </c>
    </row>
    <row r="41" customFormat="false" ht="15" hidden="false" customHeight="false" outlineLevel="0" collapsed="false">
      <c r="A41" s="0" t="n">
        <v>40</v>
      </c>
      <c r="B41" s="0" t="s">
        <v>209</v>
      </c>
      <c r="C41" s="0" t="s">
        <v>208</v>
      </c>
      <c r="D41" s="0" t="s">
        <v>384</v>
      </c>
      <c r="E41" s="7" t="n">
        <v>45229</v>
      </c>
      <c r="F41" s="6" t="s">
        <v>337</v>
      </c>
      <c r="G41" s="6" t="s">
        <v>361</v>
      </c>
      <c r="H41" s="6" t="s">
        <v>403</v>
      </c>
    </row>
    <row r="42" customFormat="false" ht="15" hidden="false" customHeight="false" outlineLevel="0" collapsed="false">
      <c r="A42" s="0" t="n">
        <v>41</v>
      </c>
      <c r="B42" s="0" t="s">
        <v>211</v>
      </c>
      <c r="C42" s="0" t="s">
        <v>210</v>
      </c>
      <c r="D42" s="0" t="s">
        <v>384</v>
      </c>
      <c r="E42" s="7" t="n">
        <v>46240</v>
      </c>
      <c r="F42" s="6" t="s">
        <v>404</v>
      </c>
      <c r="G42" s="6" t="s">
        <v>327</v>
      </c>
    </row>
    <row r="43" customFormat="false" ht="15" hidden="false" customHeight="false" outlineLevel="0" collapsed="false">
      <c r="A43" s="0" t="n">
        <v>42</v>
      </c>
      <c r="B43" s="0" t="s">
        <v>215</v>
      </c>
      <c r="C43" s="0" t="s">
        <v>213</v>
      </c>
      <c r="D43" s="0" t="s">
        <v>384</v>
      </c>
      <c r="E43" s="7" t="n">
        <v>46258</v>
      </c>
      <c r="F43" s="6" t="s">
        <v>405</v>
      </c>
      <c r="G43" s="6" t="s">
        <v>327</v>
      </c>
    </row>
    <row r="44" customFormat="false" ht="15" hidden="false" customHeight="false" outlineLevel="0" collapsed="false">
      <c r="A44" s="0" t="n">
        <v>43</v>
      </c>
      <c r="B44" s="0" t="s">
        <v>217</v>
      </c>
      <c r="C44" s="0" t="s">
        <v>216</v>
      </c>
      <c r="D44" s="0" t="s">
        <v>384</v>
      </c>
      <c r="E44" s="7" t="n">
        <v>46188</v>
      </c>
      <c r="F44" s="6" t="s">
        <v>406</v>
      </c>
      <c r="G44" s="6"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2026-10-03T20:04:44Z</dcterms:created>
  <dc:creator>openpyxl</dc:creator>
  <dc:description/>
  <dc:language>en-US</dc:language>
  <cp:lastModifiedBy/>
  <dcterms:modified xsi:type="dcterms:W3CDTF">2026-10-03T20:04:44Z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